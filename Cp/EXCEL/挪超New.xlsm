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F:\ILIKEMAKE2017\AutoMakeCode\AutoCode\slnAC\Cp\EXCEL\"/>
    </mc:Choice>
  </mc:AlternateContent>
  <bookViews>
    <workbookView xWindow="0" yWindow="0" windowWidth="28800" windowHeight="12435" activeTab="2"/>
  </bookViews>
  <sheets>
    <sheet name="Sheet1" sheetId="1" r:id="rId1"/>
    <sheet name="Sheet2" sheetId="2" r:id="rId2"/>
    <sheet name="Sheet2 (2)" sheetId="4" r:id="rId3"/>
    <sheet name="Sheet3" sheetId="3" r:id="rId4"/>
  </sheets>
  <definedNames>
    <definedName name="_xlnm._FilterDatabase" localSheetId="0" hidden="1">Sheet1!$D$10:$Q$981</definedName>
    <definedName name="_xlnm._FilterDatabase" localSheetId="1" hidden="1">Sheet2!$D$11:$O$981</definedName>
    <definedName name="_xlnm._FilterDatabase" localSheetId="2" hidden="1">'Sheet2 (2)'!$D$11:$O$981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981" i="4" l="1"/>
  <c r="P981" i="4"/>
  <c r="Q980" i="4"/>
  <c r="P980" i="4"/>
  <c r="Q979" i="4"/>
  <c r="P979" i="4"/>
  <c r="Q978" i="4"/>
  <c r="P978" i="4"/>
  <c r="Q977" i="4"/>
  <c r="P977" i="4"/>
  <c r="Q976" i="4"/>
  <c r="P976" i="4"/>
  <c r="Q975" i="4"/>
  <c r="P975" i="4"/>
  <c r="Q974" i="4"/>
  <c r="P974" i="4"/>
  <c r="Q973" i="4"/>
  <c r="P973" i="4"/>
  <c r="Q972" i="4"/>
  <c r="P972" i="4"/>
  <c r="Q971" i="4"/>
  <c r="P971" i="4"/>
  <c r="Q970" i="4"/>
  <c r="P970" i="4"/>
  <c r="Q969" i="4"/>
  <c r="P969" i="4"/>
  <c r="Q968" i="4"/>
  <c r="P968" i="4"/>
  <c r="Q967" i="4"/>
  <c r="P967" i="4"/>
  <c r="Q966" i="4"/>
  <c r="P966" i="4"/>
  <c r="Q965" i="4"/>
  <c r="P965" i="4"/>
  <c r="Q964" i="4"/>
  <c r="P964" i="4"/>
  <c r="Q963" i="4"/>
  <c r="P963" i="4"/>
  <c r="Q962" i="4"/>
  <c r="P962" i="4"/>
  <c r="Q961" i="4"/>
  <c r="P961" i="4"/>
  <c r="Q960" i="4"/>
  <c r="P960" i="4"/>
  <c r="Q959" i="4"/>
  <c r="P959" i="4"/>
  <c r="Q958" i="4"/>
  <c r="P958" i="4"/>
  <c r="Q957" i="4"/>
  <c r="P957" i="4"/>
  <c r="Q956" i="4"/>
  <c r="P956" i="4"/>
  <c r="Q955" i="4"/>
  <c r="P955" i="4"/>
  <c r="Q954" i="4"/>
  <c r="P954" i="4"/>
  <c r="Q953" i="4"/>
  <c r="P953" i="4"/>
  <c r="Q952" i="4"/>
  <c r="P952" i="4"/>
  <c r="Q951" i="4"/>
  <c r="P951" i="4"/>
  <c r="Q950" i="4"/>
  <c r="P950" i="4"/>
  <c r="Q949" i="4"/>
  <c r="P949" i="4"/>
  <c r="Q948" i="4"/>
  <c r="P948" i="4"/>
  <c r="Q947" i="4"/>
  <c r="P947" i="4"/>
  <c r="Q946" i="4"/>
  <c r="P946" i="4"/>
  <c r="Q945" i="4"/>
  <c r="P945" i="4"/>
  <c r="Q944" i="4"/>
  <c r="P944" i="4"/>
  <c r="Q943" i="4"/>
  <c r="P943" i="4"/>
  <c r="Q942" i="4"/>
  <c r="P942" i="4"/>
  <c r="Q941" i="4"/>
  <c r="P941" i="4"/>
  <c r="Q940" i="4"/>
  <c r="P940" i="4"/>
  <c r="Q939" i="4"/>
  <c r="P939" i="4"/>
  <c r="Q938" i="4"/>
  <c r="P938" i="4"/>
  <c r="Q937" i="4"/>
  <c r="P937" i="4"/>
  <c r="Q936" i="4"/>
  <c r="P936" i="4"/>
  <c r="Q935" i="4"/>
  <c r="P935" i="4"/>
  <c r="Q934" i="4"/>
  <c r="P934" i="4"/>
  <c r="Q933" i="4"/>
  <c r="P933" i="4"/>
  <c r="Q932" i="4"/>
  <c r="P932" i="4"/>
  <c r="Q931" i="4"/>
  <c r="P931" i="4"/>
  <c r="Q930" i="4"/>
  <c r="P930" i="4"/>
  <c r="Q929" i="4"/>
  <c r="P929" i="4"/>
  <c r="Q928" i="4"/>
  <c r="P928" i="4"/>
  <c r="Q927" i="4"/>
  <c r="P927" i="4"/>
  <c r="Q926" i="4"/>
  <c r="P926" i="4"/>
  <c r="Q925" i="4"/>
  <c r="P925" i="4"/>
  <c r="Q924" i="4"/>
  <c r="P924" i="4"/>
  <c r="Q923" i="4"/>
  <c r="P923" i="4"/>
  <c r="Q922" i="4"/>
  <c r="P922" i="4"/>
  <c r="Q921" i="4"/>
  <c r="P921" i="4"/>
  <c r="Q920" i="4"/>
  <c r="P920" i="4"/>
  <c r="Q919" i="4"/>
  <c r="P919" i="4"/>
  <c r="Q918" i="4"/>
  <c r="P918" i="4"/>
  <c r="Q917" i="4"/>
  <c r="P917" i="4"/>
  <c r="Q916" i="4"/>
  <c r="P916" i="4"/>
  <c r="Q915" i="4"/>
  <c r="P915" i="4"/>
  <c r="Q914" i="4"/>
  <c r="P914" i="4"/>
  <c r="Q913" i="4"/>
  <c r="P913" i="4"/>
  <c r="Q912" i="4"/>
  <c r="P912" i="4"/>
  <c r="Q911" i="4"/>
  <c r="P911" i="4"/>
  <c r="Q910" i="4"/>
  <c r="P910" i="4"/>
  <c r="Q909" i="4"/>
  <c r="P909" i="4"/>
  <c r="Q908" i="4"/>
  <c r="P908" i="4"/>
  <c r="Q907" i="4"/>
  <c r="P907" i="4"/>
  <c r="Q906" i="4"/>
  <c r="P906" i="4"/>
  <c r="Q905" i="4"/>
  <c r="P905" i="4"/>
  <c r="Q904" i="4"/>
  <c r="P904" i="4"/>
  <c r="Q903" i="4"/>
  <c r="P903" i="4"/>
  <c r="Q902" i="4"/>
  <c r="P902" i="4"/>
  <c r="Q901" i="4"/>
  <c r="P901" i="4"/>
  <c r="Q900" i="4"/>
  <c r="P900" i="4"/>
  <c r="Q899" i="4"/>
  <c r="P899" i="4"/>
  <c r="Q898" i="4"/>
  <c r="P898" i="4"/>
  <c r="Q897" i="4"/>
  <c r="P897" i="4"/>
  <c r="Q896" i="4"/>
  <c r="P896" i="4"/>
  <c r="Q895" i="4"/>
  <c r="P895" i="4"/>
  <c r="Q894" i="4"/>
  <c r="P894" i="4"/>
  <c r="Q893" i="4"/>
  <c r="P893" i="4"/>
  <c r="Q892" i="4"/>
  <c r="P892" i="4"/>
  <c r="Q891" i="4"/>
  <c r="P891" i="4"/>
  <c r="Q890" i="4"/>
  <c r="P890" i="4"/>
  <c r="Q889" i="4"/>
  <c r="P889" i="4"/>
  <c r="Q888" i="4"/>
  <c r="P888" i="4"/>
  <c r="Q887" i="4"/>
  <c r="P887" i="4"/>
  <c r="Q886" i="4"/>
  <c r="P886" i="4"/>
  <c r="Q885" i="4"/>
  <c r="P885" i="4"/>
  <c r="Q884" i="4"/>
  <c r="P884" i="4"/>
  <c r="Q883" i="4"/>
  <c r="P883" i="4"/>
  <c r="Q882" i="4"/>
  <c r="P882" i="4"/>
  <c r="Q881" i="4"/>
  <c r="P881" i="4"/>
  <c r="Q880" i="4"/>
  <c r="P880" i="4"/>
  <c r="Q879" i="4"/>
  <c r="P879" i="4"/>
  <c r="Q878" i="4"/>
  <c r="P878" i="4"/>
  <c r="Q877" i="4"/>
  <c r="P877" i="4"/>
  <c r="Q876" i="4"/>
  <c r="P876" i="4"/>
  <c r="Q875" i="4"/>
  <c r="P875" i="4"/>
  <c r="Q874" i="4"/>
  <c r="P874" i="4"/>
  <c r="Q873" i="4"/>
  <c r="P873" i="4"/>
  <c r="Q872" i="4"/>
  <c r="P872" i="4"/>
  <c r="Q871" i="4"/>
  <c r="P871" i="4"/>
  <c r="Q870" i="4"/>
  <c r="P870" i="4"/>
  <c r="Q869" i="4"/>
  <c r="P869" i="4"/>
  <c r="Q868" i="4"/>
  <c r="P868" i="4"/>
  <c r="Q867" i="4"/>
  <c r="P867" i="4"/>
  <c r="Q866" i="4"/>
  <c r="P866" i="4"/>
  <c r="Q865" i="4"/>
  <c r="P865" i="4"/>
  <c r="Q864" i="4"/>
  <c r="P864" i="4"/>
  <c r="Q863" i="4"/>
  <c r="P863" i="4"/>
  <c r="Q862" i="4"/>
  <c r="P862" i="4"/>
  <c r="Q861" i="4"/>
  <c r="P861" i="4"/>
  <c r="Q860" i="4"/>
  <c r="P860" i="4"/>
  <c r="Q859" i="4"/>
  <c r="P859" i="4"/>
  <c r="Q858" i="4"/>
  <c r="P858" i="4"/>
  <c r="Q857" i="4"/>
  <c r="P857" i="4"/>
  <c r="Q856" i="4"/>
  <c r="P856" i="4"/>
  <c r="Q855" i="4"/>
  <c r="P855" i="4"/>
  <c r="Q854" i="4"/>
  <c r="P854" i="4"/>
  <c r="Q853" i="4"/>
  <c r="P853" i="4"/>
  <c r="Q852" i="4"/>
  <c r="P852" i="4"/>
  <c r="Q851" i="4"/>
  <c r="P851" i="4"/>
  <c r="Q850" i="4"/>
  <c r="P850" i="4"/>
  <c r="Q849" i="4"/>
  <c r="P849" i="4"/>
  <c r="Q848" i="4"/>
  <c r="P848" i="4"/>
  <c r="Q847" i="4"/>
  <c r="P847" i="4"/>
  <c r="Q846" i="4"/>
  <c r="P846" i="4"/>
  <c r="Q845" i="4"/>
  <c r="P845" i="4"/>
  <c r="Q844" i="4"/>
  <c r="P844" i="4"/>
  <c r="Q843" i="4"/>
  <c r="P843" i="4"/>
  <c r="Q842" i="4"/>
  <c r="P842" i="4"/>
  <c r="Q841" i="4"/>
  <c r="P841" i="4"/>
  <c r="Q840" i="4"/>
  <c r="P840" i="4"/>
  <c r="Q839" i="4"/>
  <c r="P839" i="4"/>
  <c r="Q838" i="4"/>
  <c r="P838" i="4"/>
  <c r="Q837" i="4"/>
  <c r="P837" i="4"/>
  <c r="Q836" i="4"/>
  <c r="P836" i="4"/>
  <c r="Q835" i="4"/>
  <c r="P835" i="4"/>
  <c r="Q834" i="4"/>
  <c r="P834" i="4"/>
  <c r="Q833" i="4"/>
  <c r="P833" i="4"/>
  <c r="Q832" i="4"/>
  <c r="P832" i="4"/>
  <c r="Q831" i="4"/>
  <c r="P831" i="4"/>
  <c r="Q830" i="4"/>
  <c r="P830" i="4"/>
  <c r="Q829" i="4"/>
  <c r="P829" i="4"/>
  <c r="Q828" i="4"/>
  <c r="P828" i="4"/>
  <c r="Q827" i="4"/>
  <c r="P827" i="4"/>
  <c r="Q826" i="4"/>
  <c r="P826" i="4"/>
  <c r="Q825" i="4"/>
  <c r="P825" i="4"/>
  <c r="Q824" i="4"/>
  <c r="P824" i="4"/>
  <c r="Q823" i="4"/>
  <c r="P823" i="4"/>
  <c r="Q822" i="4"/>
  <c r="P822" i="4"/>
  <c r="Q821" i="4"/>
  <c r="P821" i="4"/>
  <c r="Q820" i="4"/>
  <c r="P820" i="4"/>
  <c r="Q819" i="4"/>
  <c r="P819" i="4"/>
  <c r="Q818" i="4"/>
  <c r="P818" i="4"/>
  <c r="Q817" i="4"/>
  <c r="P817" i="4"/>
  <c r="Q816" i="4"/>
  <c r="P816" i="4"/>
  <c r="Q815" i="4"/>
  <c r="P815" i="4"/>
  <c r="Q814" i="4"/>
  <c r="P814" i="4"/>
  <c r="Q813" i="4"/>
  <c r="P813" i="4"/>
  <c r="Q812" i="4"/>
  <c r="P812" i="4"/>
  <c r="Q811" i="4"/>
  <c r="P811" i="4"/>
  <c r="Q810" i="4"/>
  <c r="P810" i="4"/>
  <c r="Q809" i="4"/>
  <c r="P809" i="4"/>
  <c r="Q808" i="4"/>
  <c r="P808" i="4"/>
  <c r="Q807" i="4"/>
  <c r="P807" i="4"/>
  <c r="Q806" i="4"/>
  <c r="P806" i="4"/>
  <c r="Q805" i="4"/>
  <c r="P805" i="4"/>
  <c r="Q804" i="4"/>
  <c r="P804" i="4"/>
  <c r="Q803" i="4"/>
  <c r="P803" i="4"/>
  <c r="Q802" i="4"/>
  <c r="P802" i="4"/>
  <c r="Q801" i="4"/>
  <c r="P801" i="4"/>
  <c r="Q800" i="4"/>
  <c r="P800" i="4"/>
  <c r="Q799" i="4"/>
  <c r="P799" i="4"/>
  <c r="Q798" i="4"/>
  <c r="P798" i="4"/>
  <c r="Q797" i="4"/>
  <c r="P797" i="4"/>
  <c r="Q796" i="4"/>
  <c r="P796" i="4"/>
  <c r="Q795" i="4"/>
  <c r="P795" i="4"/>
  <c r="Q794" i="4"/>
  <c r="P794" i="4"/>
  <c r="Q793" i="4"/>
  <c r="P793" i="4"/>
  <c r="Q792" i="4"/>
  <c r="P792" i="4"/>
  <c r="Q791" i="4"/>
  <c r="P791" i="4"/>
  <c r="Q790" i="4"/>
  <c r="P790" i="4"/>
  <c r="Q789" i="4"/>
  <c r="P789" i="4"/>
  <c r="Q788" i="4"/>
  <c r="P788" i="4"/>
  <c r="Q787" i="4"/>
  <c r="P787" i="4"/>
  <c r="Q786" i="4"/>
  <c r="P786" i="4"/>
  <c r="Q785" i="4"/>
  <c r="P785" i="4"/>
  <c r="Q784" i="4"/>
  <c r="P784" i="4"/>
  <c r="Q783" i="4"/>
  <c r="P783" i="4"/>
  <c r="Q782" i="4"/>
  <c r="P782" i="4"/>
  <c r="Q781" i="4"/>
  <c r="P781" i="4"/>
  <c r="Q780" i="4"/>
  <c r="P780" i="4"/>
  <c r="Q779" i="4"/>
  <c r="P779" i="4"/>
  <c r="Q778" i="4"/>
  <c r="P778" i="4"/>
  <c r="Q777" i="4"/>
  <c r="P777" i="4"/>
  <c r="Q776" i="4"/>
  <c r="P776" i="4"/>
  <c r="Q775" i="4"/>
  <c r="P775" i="4"/>
  <c r="Q774" i="4"/>
  <c r="P774" i="4"/>
  <c r="Q773" i="4"/>
  <c r="P773" i="4"/>
  <c r="Q772" i="4"/>
  <c r="P772" i="4"/>
  <c r="Q771" i="4"/>
  <c r="P771" i="4"/>
  <c r="Q770" i="4"/>
  <c r="P770" i="4"/>
  <c r="Q769" i="4"/>
  <c r="P769" i="4"/>
  <c r="Q768" i="4"/>
  <c r="P768" i="4"/>
  <c r="Q767" i="4"/>
  <c r="P767" i="4"/>
  <c r="Q766" i="4"/>
  <c r="P766" i="4"/>
  <c r="Q765" i="4"/>
  <c r="P765" i="4"/>
  <c r="Q764" i="4"/>
  <c r="P764" i="4"/>
  <c r="Q763" i="4"/>
  <c r="P763" i="4"/>
  <c r="Q762" i="4"/>
  <c r="P762" i="4"/>
  <c r="Q761" i="4"/>
  <c r="P761" i="4"/>
  <c r="Q760" i="4"/>
  <c r="P760" i="4"/>
  <c r="Q759" i="4"/>
  <c r="P759" i="4"/>
  <c r="Q758" i="4"/>
  <c r="P758" i="4"/>
  <c r="Q757" i="4"/>
  <c r="P757" i="4"/>
  <c r="Q756" i="4"/>
  <c r="P756" i="4"/>
  <c r="Q755" i="4"/>
  <c r="P755" i="4"/>
  <c r="Q754" i="4"/>
  <c r="P754" i="4"/>
  <c r="Q753" i="4"/>
  <c r="P753" i="4"/>
  <c r="Q752" i="4"/>
  <c r="P752" i="4"/>
  <c r="Q751" i="4"/>
  <c r="P751" i="4"/>
  <c r="Q750" i="4"/>
  <c r="P750" i="4"/>
  <c r="Q749" i="4"/>
  <c r="P749" i="4"/>
  <c r="Q748" i="4"/>
  <c r="P748" i="4"/>
  <c r="Q747" i="4"/>
  <c r="P747" i="4"/>
  <c r="Q746" i="4"/>
  <c r="P746" i="4"/>
  <c r="Q745" i="4"/>
  <c r="P745" i="4"/>
  <c r="Q744" i="4"/>
  <c r="P744" i="4"/>
  <c r="Q743" i="4"/>
  <c r="P743" i="4"/>
  <c r="Q742" i="4"/>
  <c r="P742" i="4"/>
  <c r="Q741" i="4"/>
  <c r="P741" i="4"/>
  <c r="Q740" i="4"/>
  <c r="P740" i="4"/>
  <c r="Q739" i="4"/>
  <c r="P739" i="4"/>
  <c r="Q738" i="4"/>
  <c r="P738" i="4"/>
  <c r="Q737" i="4"/>
  <c r="P737" i="4"/>
  <c r="Q736" i="4"/>
  <c r="P736" i="4"/>
  <c r="Q735" i="4"/>
  <c r="P735" i="4"/>
  <c r="Q734" i="4"/>
  <c r="P734" i="4"/>
  <c r="Q733" i="4"/>
  <c r="P733" i="4"/>
  <c r="Q732" i="4"/>
  <c r="P732" i="4"/>
  <c r="Q731" i="4"/>
  <c r="P731" i="4"/>
  <c r="Q730" i="4"/>
  <c r="P730" i="4"/>
  <c r="Q729" i="4"/>
  <c r="P729" i="4"/>
  <c r="Q728" i="4"/>
  <c r="P728" i="4"/>
  <c r="Q727" i="4"/>
  <c r="P727" i="4"/>
  <c r="Q726" i="4"/>
  <c r="P726" i="4"/>
  <c r="Q725" i="4"/>
  <c r="P725" i="4"/>
  <c r="Q724" i="4"/>
  <c r="P724" i="4"/>
  <c r="Q723" i="4"/>
  <c r="P723" i="4"/>
  <c r="Q722" i="4"/>
  <c r="P722" i="4"/>
  <c r="Q721" i="4"/>
  <c r="P721" i="4"/>
  <c r="Q720" i="4"/>
  <c r="P720" i="4"/>
  <c r="Q719" i="4"/>
  <c r="P719" i="4"/>
  <c r="Q718" i="4"/>
  <c r="P718" i="4"/>
  <c r="Q717" i="4"/>
  <c r="P717" i="4"/>
  <c r="Q716" i="4"/>
  <c r="P716" i="4"/>
  <c r="Q715" i="4"/>
  <c r="P715" i="4"/>
  <c r="Q714" i="4"/>
  <c r="P714" i="4"/>
  <c r="Q713" i="4"/>
  <c r="P713" i="4"/>
  <c r="Q712" i="4"/>
  <c r="P712" i="4"/>
  <c r="Q711" i="4"/>
  <c r="P711" i="4"/>
  <c r="Q710" i="4"/>
  <c r="P710" i="4"/>
  <c r="Q709" i="4"/>
  <c r="P709" i="4"/>
  <c r="Q708" i="4"/>
  <c r="P708" i="4"/>
  <c r="Q707" i="4"/>
  <c r="P707" i="4"/>
  <c r="Q706" i="4"/>
  <c r="P706" i="4"/>
  <c r="Q705" i="4"/>
  <c r="P705" i="4"/>
  <c r="Q704" i="4"/>
  <c r="P704" i="4"/>
  <c r="Q703" i="4"/>
  <c r="P703" i="4"/>
  <c r="Q702" i="4"/>
  <c r="P702" i="4"/>
  <c r="Q701" i="4"/>
  <c r="P701" i="4"/>
  <c r="Q700" i="4"/>
  <c r="P700" i="4"/>
  <c r="Q699" i="4"/>
  <c r="P699" i="4"/>
  <c r="Q698" i="4"/>
  <c r="P698" i="4"/>
  <c r="Q697" i="4"/>
  <c r="P697" i="4"/>
  <c r="Q696" i="4"/>
  <c r="P696" i="4"/>
  <c r="Q695" i="4"/>
  <c r="P695" i="4"/>
  <c r="Q694" i="4"/>
  <c r="P694" i="4"/>
  <c r="Q693" i="4"/>
  <c r="P693" i="4"/>
  <c r="Q692" i="4"/>
  <c r="P692" i="4"/>
  <c r="Q691" i="4"/>
  <c r="P691" i="4"/>
  <c r="Q690" i="4"/>
  <c r="P690" i="4"/>
  <c r="Q689" i="4"/>
  <c r="P689" i="4"/>
  <c r="Q688" i="4"/>
  <c r="P688" i="4"/>
  <c r="Q687" i="4"/>
  <c r="P687" i="4"/>
  <c r="Q686" i="4"/>
  <c r="P686" i="4"/>
  <c r="Q685" i="4"/>
  <c r="P685" i="4"/>
  <c r="Q684" i="4"/>
  <c r="P684" i="4"/>
  <c r="Q683" i="4"/>
  <c r="P683" i="4"/>
  <c r="Q682" i="4"/>
  <c r="P682" i="4"/>
  <c r="Q681" i="4"/>
  <c r="P681" i="4"/>
  <c r="Q680" i="4"/>
  <c r="P680" i="4"/>
  <c r="Q679" i="4"/>
  <c r="P679" i="4"/>
  <c r="Q678" i="4"/>
  <c r="P678" i="4"/>
  <c r="Q677" i="4"/>
  <c r="P677" i="4"/>
  <c r="Q676" i="4"/>
  <c r="P676" i="4"/>
  <c r="Q675" i="4"/>
  <c r="P675" i="4"/>
  <c r="Q674" i="4"/>
  <c r="P674" i="4"/>
  <c r="Q673" i="4"/>
  <c r="P673" i="4"/>
  <c r="Q672" i="4"/>
  <c r="P672" i="4"/>
  <c r="Q671" i="4"/>
  <c r="P671" i="4"/>
  <c r="Q670" i="4"/>
  <c r="P670" i="4"/>
  <c r="Q669" i="4"/>
  <c r="P669" i="4"/>
  <c r="Q668" i="4"/>
  <c r="P668" i="4"/>
  <c r="Q667" i="4"/>
  <c r="P667" i="4"/>
  <c r="Q666" i="4"/>
  <c r="P666" i="4"/>
  <c r="Q665" i="4"/>
  <c r="P665" i="4"/>
  <c r="Q664" i="4"/>
  <c r="P664" i="4"/>
  <c r="Q663" i="4"/>
  <c r="P663" i="4"/>
  <c r="Q662" i="4"/>
  <c r="P662" i="4"/>
  <c r="Q661" i="4"/>
  <c r="P661" i="4"/>
  <c r="Q660" i="4"/>
  <c r="P660" i="4"/>
  <c r="Q659" i="4"/>
  <c r="P659" i="4"/>
  <c r="Q658" i="4"/>
  <c r="P658" i="4"/>
  <c r="Q657" i="4"/>
  <c r="P657" i="4"/>
  <c r="Q656" i="4"/>
  <c r="P656" i="4"/>
  <c r="Q655" i="4"/>
  <c r="P655" i="4"/>
  <c r="Q654" i="4"/>
  <c r="P654" i="4"/>
  <c r="Q653" i="4"/>
  <c r="P653" i="4"/>
  <c r="Q652" i="4"/>
  <c r="P652" i="4"/>
  <c r="Q651" i="4"/>
  <c r="P651" i="4"/>
  <c r="Q650" i="4"/>
  <c r="P650" i="4"/>
  <c r="Q649" i="4"/>
  <c r="P649" i="4"/>
  <c r="Q648" i="4"/>
  <c r="P648" i="4"/>
  <c r="Q647" i="4"/>
  <c r="P647" i="4"/>
  <c r="Q646" i="4"/>
  <c r="P646" i="4"/>
  <c r="Q645" i="4"/>
  <c r="P645" i="4"/>
  <c r="Q644" i="4"/>
  <c r="P644" i="4"/>
  <c r="Q643" i="4"/>
  <c r="P643" i="4"/>
  <c r="Q642" i="4"/>
  <c r="P642" i="4"/>
  <c r="Q641" i="4"/>
  <c r="P641" i="4"/>
  <c r="Q640" i="4"/>
  <c r="P640" i="4"/>
  <c r="Q639" i="4"/>
  <c r="P639" i="4"/>
  <c r="Q638" i="4"/>
  <c r="P638" i="4"/>
  <c r="Q637" i="4"/>
  <c r="P637" i="4"/>
  <c r="Q636" i="4"/>
  <c r="P636" i="4"/>
  <c r="Q635" i="4"/>
  <c r="P635" i="4"/>
  <c r="Q634" i="4"/>
  <c r="P634" i="4"/>
  <c r="Q633" i="4"/>
  <c r="P633" i="4"/>
  <c r="Q632" i="4"/>
  <c r="P632" i="4"/>
  <c r="Q631" i="4"/>
  <c r="P631" i="4"/>
  <c r="Q630" i="4"/>
  <c r="P630" i="4"/>
  <c r="Q629" i="4"/>
  <c r="P629" i="4"/>
  <c r="Q628" i="4"/>
  <c r="P628" i="4"/>
  <c r="Q627" i="4"/>
  <c r="P627" i="4"/>
  <c r="Q626" i="4"/>
  <c r="P626" i="4"/>
  <c r="Q625" i="4"/>
  <c r="P625" i="4"/>
  <c r="Q624" i="4"/>
  <c r="P624" i="4"/>
  <c r="Q623" i="4"/>
  <c r="P623" i="4"/>
  <c r="Q622" i="4"/>
  <c r="P622" i="4"/>
  <c r="Q621" i="4"/>
  <c r="P621" i="4"/>
  <c r="Q620" i="4"/>
  <c r="P620" i="4"/>
  <c r="Q619" i="4"/>
  <c r="P619" i="4"/>
  <c r="Q618" i="4"/>
  <c r="P618" i="4"/>
  <c r="Q617" i="4"/>
  <c r="P617" i="4"/>
  <c r="Q616" i="4"/>
  <c r="P616" i="4"/>
  <c r="Q615" i="4"/>
  <c r="P615" i="4"/>
  <c r="Q614" i="4"/>
  <c r="P614" i="4"/>
  <c r="Q613" i="4"/>
  <c r="P613" i="4"/>
  <c r="Q612" i="4"/>
  <c r="P612" i="4"/>
  <c r="Q611" i="4"/>
  <c r="P611" i="4"/>
  <c r="Q610" i="4"/>
  <c r="P610" i="4"/>
  <c r="Q609" i="4"/>
  <c r="P609" i="4"/>
  <c r="Q608" i="4"/>
  <c r="P608" i="4"/>
  <c r="Q607" i="4"/>
  <c r="P607" i="4"/>
  <c r="Q606" i="4"/>
  <c r="P606" i="4"/>
  <c r="Q605" i="4"/>
  <c r="P605" i="4"/>
  <c r="Q604" i="4"/>
  <c r="P604" i="4"/>
  <c r="Q603" i="4"/>
  <c r="P603" i="4"/>
  <c r="Q602" i="4"/>
  <c r="P602" i="4"/>
  <c r="Q601" i="4"/>
  <c r="P601" i="4"/>
  <c r="Q600" i="4"/>
  <c r="P600" i="4"/>
  <c r="Q599" i="4"/>
  <c r="P599" i="4"/>
  <c r="Q598" i="4"/>
  <c r="P598" i="4"/>
  <c r="Q597" i="4"/>
  <c r="P597" i="4"/>
  <c r="Q596" i="4"/>
  <c r="P596" i="4"/>
  <c r="Q595" i="4"/>
  <c r="P595" i="4"/>
  <c r="Q594" i="4"/>
  <c r="P594" i="4"/>
  <c r="Q593" i="4"/>
  <c r="P593" i="4"/>
  <c r="Q592" i="4"/>
  <c r="P592" i="4"/>
  <c r="Q591" i="4"/>
  <c r="P591" i="4"/>
  <c r="Q590" i="4"/>
  <c r="P590" i="4"/>
  <c r="Q589" i="4"/>
  <c r="P589" i="4"/>
  <c r="Q588" i="4"/>
  <c r="P588" i="4"/>
  <c r="Q587" i="4"/>
  <c r="P587" i="4"/>
  <c r="Q586" i="4"/>
  <c r="P586" i="4"/>
  <c r="Q585" i="4"/>
  <c r="P585" i="4"/>
  <c r="Q584" i="4"/>
  <c r="P584" i="4"/>
  <c r="Q583" i="4"/>
  <c r="P583" i="4"/>
  <c r="Q582" i="4"/>
  <c r="P582" i="4"/>
  <c r="Q581" i="4"/>
  <c r="P581" i="4"/>
  <c r="Q580" i="4"/>
  <c r="P580" i="4"/>
  <c r="Q579" i="4"/>
  <c r="P579" i="4"/>
  <c r="Q578" i="4"/>
  <c r="P578" i="4"/>
  <c r="Q577" i="4"/>
  <c r="P577" i="4"/>
  <c r="Q576" i="4"/>
  <c r="P576" i="4"/>
  <c r="Q575" i="4"/>
  <c r="P575" i="4"/>
  <c r="Q574" i="4"/>
  <c r="P574" i="4"/>
  <c r="Q573" i="4"/>
  <c r="P573" i="4"/>
  <c r="Q572" i="4"/>
  <c r="P572" i="4"/>
  <c r="Q571" i="4"/>
  <c r="P571" i="4"/>
  <c r="Q570" i="4"/>
  <c r="P570" i="4"/>
  <c r="Q569" i="4"/>
  <c r="P569" i="4"/>
  <c r="Q568" i="4"/>
  <c r="P568" i="4"/>
  <c r="Q567" i="4"/>
  <c r="P567" i="4"/>
  <c r="Q566" i="4"/>
  <c r="P566" i="4"/>
  <c r="Q565" i="4"/>
  <c r="P565" i="4"/>
  <c r="Q564" i="4"/>
  <c r="P564" i="4"/>
  <c r="Q563" i="4"/>
  <c r="P563" i="4"/>
  <c r="Q562" i="4"/>
  <c r="P562" i="4"/>
  <c r="Q561" i="4"/>
  <c r="P561" i="4"/>
  <c r="Q560" i="4"/>
  <c r="P560" i="4"/>
  <c r="Q559" i="4"/>
  <c r="P559" i="4"/>
  <c r="Q558" i="4"/>
  <c r="P558" i="4"/>
  <c r="Q557" i="4"/>
  <c r="P557" i="4"/>
  <c r="Q556" i="4"/>
  <c r="P556" i="4"/>
  <c r="Q555" i="4"/>
  <c r="P555" i="4"/>
  <c r="Q554" i="4"/>
  <c r="P554" i="4"/>
  <c r="Q553" i="4"/>
  <c r="P553" i="4"/>
  <c r="Q552" i="4"/>
  <c r="P552" i="4"/>
  <c r="Q551" i="4"/>
  <c r="P551" i="4"/>
  <c r="Q550" i="4"/>
  <c r="P550" i="4"/>
  <c r="Q549" i="4"/>
  <c r="P549" i="4"/>
  <c r="Q548" i="4"/>
  <c r="P548" i="4"/>
  <c r="Q547" i="4"/>
  <c r="P547" i="4"/>
  <c r="Q546" i="4"/>
  <c r="P546" i="4"/>
  <c r="Q545" i="4"/>
  <c r="P545" i="4"/>
  <c r="Q544" i="4"/>
  <c r="P544" i="4"/>
  <c r="Q543" i="4"/>
  <c r="P543" i="4"/>
  <c r="Q542" i="4"/>
  <c r="P542" i="4"/>
  <c r="Q541" i="4"/>
  <c r="P541" i="4"/>
  <c r="Q540" i="4"/>
  <c r="P540" i="4"/>
  <c r="Q539" i="4"/>
  <c r="P539" i="4"/>
  <c r="Q538" i="4"/>
  <c r="P538" i="4"/>
  <c r="Q537" i="4"/>
  <c r="P537" i="4"/>
  <c r="Q536" i="4"/>
  <c r="P536" i="4"/>
  <c r="Q535" i="4"/>
  <c r="P535" i="4"/>
  <c r="Q534" i="4"/>
  <c r="P534" i="4"/>
  <c r="Q533" i="4"/>
  <c r="P533" i="4"/>
  <c r="Q532" i="4"/>
  <c r="P532" i="4"/>
  <c r="Q531" i="4"/>
  <c r="P531" i="4"/>
  <c r="Q530" i="4"/>
  <c r="P530" i="4"/>
  <c r="Q529" i="4"/>
  <c r="P529" i="4"/>
  <c r="Q528" i="4"/>
  <c r="P528" i="4"/>
  <c r="Q527" i="4"/>
  <c r="P527" i="4"/>
  <c r="Q526" i="4"/>
  <c r="P526" i="4"/>
  <c r="Q525" i="4"/>
  <c r="P525" i="4"/>
  <c r="Q524" i="4"/>
  <c r="P524" i="4"/>
  <c r="Q523" i="4"/>
  <c r="P523" i="4"/>
  <c r="Q522" i="4"/>
  <c r="P522" i="4"/>
  <c r="Q521" i="4"/>
  <c r="P521" i="4"/>
  <c r="Q520" i="4"/>
  <c r="P520" i="4"/>
  <c r="Q519" i="4"/>
  <c r="P519" i="4"/>
  <c r="Q518" i="4"/>
  <c r="P518" i="4"/>
  <c r="Q517" i="4"/>
  <c r="P517" i="4"/>
  <c r="Q516" i="4"/>
  <c r="P516" i="4"/>
  <c r="Q515" i="4"/>
  <c r="P515" i="4"/>
  <c r="Q514" i="4"/>
  <c r="P514" i="4"/>
  <c r="Q513" i="4"/>
  <c r="P513" i="4"/>
  <c r="Q512" i="4"/>
  <c r="P512" i="4"/>
  <c r="Q511" i="4"/>
  <c r="P511" i="4"/>
  <c r="Q510" i="4"/>
  <c r="P510" i="4"/>
  <c r="Q509" i="4"/>
  <c r="P509" i="4"/>
  <c r="Q508" i="4"/>
  <c r="P508" i="4"/>
  <c r="Q507" i="4"/>
  <c r="P507" i="4"/>
  <c r="Q506" i="4"/>
  <c r="P506" i="4"/>
  <c r="Q505" i="4"/>
  <c r="P505" i="4"/>
  <c r="Q504" i="4"/>
  <c r="P504" i="4"/>
  <c r="Q503" i="4"/>
  <c r="P503" i="4"/>
  <c r="Q502" i="4"/>
  <c r="P502" i="4"/>
  <c r="Q501" i="4"/>
  <c r="P501" i="4"/>
  <c r="Q500" i="4"/>
  <c r="P500" i="4"/>
  <c r="Q499" i="4"/>
  <c r="P499" i="4"/>
  <c r="Q498" i="4"/>
  <c r="P498" i="4"/>
  <c r="Q497" i="4"/>
  <c r="P497" i="4"/>
  <c r="Q496" i="4"/>
  <c r="P496" i="4"/>
  <c r="Q495" i="4"/>
  <c r="P495" i="4"/>
  <c r="Q494" i="4"/>
  <c r="P494" i="4"/>
  <c r="Q493" i="4"/>
  <c r="P493" i="4"/>
  <c r="Q492" i="4"/>
  <c r="P492" i="4"/>
  <c r="Q491" i="4"/>
  <c r="P491" i="4"/>
  <c r="Q490" i="4"/>
  <c r="P490" i="4"/>
  <c r="Q489" i="4"/>
  <c r="P489" i="4"/>
  <c r="Q488" i="4"/>
  <c r="P488" i="4"/>
  <c r="Q487" i="4"/>
  <c r="P487" i="4"/>
  <c r="Q486" i="4"/>
  <c r="P486" i="4"/>
  <c r="Q485" i="4"/>
  <c r="P485" i="4"/>
  <c r="Q484" i="4"/>
  <c r="P484" i="4"/>
  <c r="Q483" i="4"/>
  <c r="P483" i="4"/>
  <c r="Q482" i="4"/>
  <c r="P482" i="4"/>
  <c r="Q481" i="4"/>
  <c r="P481" i="4"/>
  <c r="Q480" i="4"/>
  <c r="P480" i="4"/>
  <c r="Q479" i="4"/>
  <c r="P479" i="4"/>
  <c r="Q478" i="4"/>
  <c r="P478" i="4"/>
  <c r="Q477" i="4"/>
  <c r="P477" i="4"/>
  <c r="Q476" i="4"/>
  <c r="P476" i="4"/>
  <c r="Q475" i="4"/>
  <c r="P475" i="4"/>
  <c r="Q474" i="4"/>
  <c r="P474" i="4"/>
  <c r="Q473" i="4"/>
  <c r="P473" i="4"/>
  <c r="Q472" i="4"/>
  <c r="P472" i="4"/>
  <c r="Q471" i="4"/>
  <c r="P471" i="4"/>
  <c r="Q470" i="4"/>
  <c r="P470" i="4"/>
  <c r="Q469" i="4"/>
  <c r="P469" i="4"/>
  <c r="Q468" i="4"/>
  <c r="P468" i="4"/>
  <c r="Q467" i="4"/>
  <c r="P467" i="4"/>
  <c r="Q466" i="4"/>
  <c r="P466" i="4"/>
  <c r="Q465" i="4"/>
  <c r="P465" i="4"/>
  <c r="Q464" i="4"/>
  <c r="P464" i="4"/>
  <c r="Q463" i="4"/>
  <c r="P463" i="4"/>
  <c r="Q462" i="4"/>
  <c r="P462" i="4"/>
  <c r="Q461" i="4"/>
  <c r="P461" i="4"/>
  <c r="Q460" i="4"/>
  <c r="P460" i="4"/>
  <c r="Q459" i="4"/>
  <c r="P459" i="4"/>
  <c r="Q458" i="4"/>
  <c r="P458" i="4"/>
  <c r="Q457" i="4"/>
  <c r="P457" i="4"/>
  <c r="Q456" i="4"/>
  <c r="P456" i="4"/>
  <c r="Q455" i="4"/>
  <c r="P455" i="4"/>
  <c r="Q454" i="4"/>
  <c r="P454" i="4"/>
  <c r="Q453" i="4"/>
  <c r="P453" i="4"/>
  <c r="Q452" i="4"/>
  <c r="P452" i="4"/>
  <c r="Q451" i="4"/>
  <c r="P451" i="4"/>
  <c r="Q450" i="4"/>
  <c r="P450" i="4"/>
  <c r="Q449" i="4"/>
  <c r="P449" i="4"/>
  <c r="Q448" i="4"/>
  <c r="P448" i="4"/>
  <c r="Q447" i="4"/>
  <c r="P447" i="4"/>
  <c r="Q446" i="4"/>
  <c r="P446" i="4"/>
  <c r="Q445" i="4"/>
  <c r="P445" i="4"/>
  <c r="Q444" i="4"/>
  <c r="P444" i="4"/>
  <c r="Q443" i="4"/>
  <c r="P443" i="4"/>
  <c r="Q442" i="4"/>
  <c r="P442" i="4"/>
  <c r="Q441" i="4"/>
  <c r="P441" i="4"/>
  <c r="Q440" i="4"/>
  <c r="P440" i="4"/>
  <c r="Q439" i="4"/>
  <c r="P439" i="4"/>
  <c r="Q438" i="4"/>
  <c r="P438" i="4"/>
  <c r="Q437" i="4"/>
  <c r="P437" i="4"/>
  <c r="Q436" i="4"/>
  <c r="P436" i="4"/>
  <c r="Q435" i="4"/>
  <c r="P435" i="4"/>
  <c r="Q434" i="4"/>
  <c r="P434" i="4"/>
  <c r="Q433" i="4"/>
  <c r="P433" i="4"/>
  <c r="Q432" i="4"/>
  <c r="P432" i="4"/>
  <c r="Q431" i="4"/>
  <c r="P431" i="4"/>
  <c r="Q430" i="4"/>
  <c r="P430" i="4"/>
  <c r="Q429" i="4"/>
  <c r="P429" i="4"/>
  <c r="Q428" i="4"/>
  <c r="P428" i="4"/>
  <c r="Q427" i="4"/>
  <c r="P427" i="4"/>
  <c r="Q426" i="4"/>
  <c r="P426" i="4"/>
  <c r="Q425" i="4"/>
  <c r="P425" i="4"/>
  <c r="Q424" i="4"/>
  <c r="P424" i="4"/>
  <c r="Q423" i="4"/>
  <c r="P423" i="4"/>
  <c r="Q422" i="4"/>
  <c r="P422" i="4"/>
  <c r="Q421" i="4"/>
  <c r="P421" i="4"/>
  <c r="Q420" i="4"/>
  <c r="P420" i="4"/>
  <c r="Q419" i="4"/>
  <c r="P419" i="4"/>
  <c r="Q418" i="4"/>
  <c r="P418" i="4"/>
  <c r="Q417" i="4"/>
  <c r="P417" i="4"/>
  <c r="Q416" i="4"/>
  <c r="P416" i="4"/>
  <c r="Q415" i="4"/>
  <c r="P415" i="4"/>
  <c r="Q414" i="4"/>
  <c r="P414" i="4"/>
  <c r="Q413" i="4"/>
  <c r="P413" i="4"/>
  <c r="Q412" i="4"/>
  <c r="P412" i="4"/>
  <c r="Q411" i="4"/>
  <c r="P411" i="4"/>
  <c r="Q410" i="4"/>
  <c r="P410" i="4"/>
  <c r="Q409" i="4"/>
  <c r="P409" i="4"/>
  <c r="Q408" i="4"/>
  <c r="P408" i="4"/>
  <c r="Q407" i="4"/>
  <c r="P407" i="4"/>
  <c r="Q406" i="4"/>
  <c r="P406" i="4"/>
  <c r="Q405" i="4"/>
  <c r="P405" i="4"/>
  <c r="Q404" i="4"/>
  <c r="P404" i="4"/>
  <c r="Q403" i="4"/>
  <c r="P403" i="4"/>
  <c r="Q402" i="4"/>
  <c r="P402" i="4"/>
  <c r="Q401" i="4"/>
  <c r="P401" i="4"/>
  <c r="Q400" i="4"/>
  <c r="P400" i="4"/>
  <c r="Q399" i="4"/>
  <c r="P399" i="4"/>
  <c r="Q398" i="4"/>
  <c r="P398" i="4"/>
  <c r="Q397" i="4"/>
  <c r="P397" i="4"/>
  <c r="Q396" i="4"/>
  <c r="P396" i="4"/>
  <c r="Q395" i="4"/>
  <c r="P395" i="4"/>
  <c r="Q394" i="4"/>
  <c r="P394" i="4"/>
  <c r="Q393" i="4"/>
  <c r="P393" i="4"/>
  <c r="Q392" i="4"/>
  <c r="P392" i="4"/>
  <c r="Q391" i="4"/>
  <c r="P391" i="4"/>
  <c r="Q390" i="4"/>
  <c r="P390" i="4"/>
  <c r="Q389" i="4"/>
  <c r="P389" i="4"/>
  <c r="Q388" i="4"/>
  <c r="P388" i="4"/>
  <c r="Q387" i="4"/>
  <c r="P387" i="4"/>
  <c r="Q386" i="4"/>
  <c r="P386" i="4"/>
  <c r="Q385" i="4"/>
  <c r="P385" i="4"/>
  <c r="Q384" i="4"/>
  <c r="P384" i="4"/>
  <c r="Q383" i="4"/>
  <c r="P383" i="4"/>
  <c r="Q382" i="4"/>
  <c r="P382" i="4"/>
  <c r="Q381" i="4"/>
  <c r="P381" i="4"/>
  <c r="Q380" i="4"/>
  <c r="P380" i="4"/>
  <c r="Q379" i="4"/>
  <c r="P379" i="4"/>
  <c r="Q378" i="4"/>
  <c r="P378" i="4"/>
  <c r="Q377" i="4"/>
  <c r="P377" i="4"/>
  <c r="Q376" i="4"/>
  <c r="P376" i="4"/>
  <c r="Q375" i="4"/>
  <c r="P375" i="4"/>
  <c r="Q374" i="4"/>
  <c r="P374" i="4"/>
  <c r="Q373" i="4"/>
  <c r="P373" i="4"/>
  <c r="Q372" i="4"/>
  <c r="P372" i="4"/>
  <c r="Q371" i="4"/>
  <c r="P371" i="4"/>
  <c r="Q370" i="4"/>
  <c r="P370" i="4"/>
  <c r="Q369" i="4"/>
  <c r="P369" i="4"/>
  <c r="Q368" i="4"/>
  <c r="P368" i="4"/>
  <c r="Q367" i="4"/>
  <c r="P367" i="4"/>
  <c r="Q366" i="4"/>
  <c r="P366" i="4"/>
  <c r="Q365" i="4"/>
  <c r="P365" i="4"/>
  <c r="Q364" i="4"/>
  <c r="P364" i="4"/>
  <c r="Q363" i="4"/>
  <c r="P363" i="4"/>
  <c r="Q362" i="4"/>
  <c r="P362" i="4"/>
  <c r="Q361" i="4"/>
  <c r="P361" i="4"/>
  <c r="Q360" i="4"/>
  <c r="P360" i="4"/>
  <c r="Q359" i="4"/>
  <c r="P359" i="4"/>
  <c r="Q358" i="4"/>
  <c r="P358" i="4"/>
  <c r="Q357" i="4"/>
  <c r="P357" i="4"/>
  <c r="Q356" i="4"/>
  <c r="P356" i="4"/>
  <c r="Q355" i="4"/>
  <c r="P355" i="4"/>
  <c r="Q354" i="4"/>
  <c r="P354" i="4"/>
  <c r="Q353" i="4"/>
  <c r="P353" i="4"/>
  <c r="Q352" i="4"/>
  <c r="P352" i="4"/>
  <c r="Q351" i="4"/>
  <c r="P351" i="4"/>
  <c r="Q350" i="4"/>
  <c r="P350" i="4"/>
  <c r="Q349" i="4"/>
  <c r="P349" i="4"/>
  <c r="Q348" i="4"/>
  <c r="P348" i="4"/>
  <c r="Q347" i="4"/>
  <c r="P347" i="4"/>
  <c r="Q346" i="4"/>
  <c r="P346" i="4"/>
  <c r="Q345" i="4"/>
  <c r="P345" i="4"/>
  <c r="Q344" i="4"/>
  <c r="P344" i="4"/>
  <c r="Q343" i="4"/>
  <c r="P343" i="4"/>
  <c r="Q342" i="4"/>
  <c r="P342" i="4"/>
  <c r="Q341" i="4"/>
  <c r="P341" i="4"/>
  <c r="Q340" i="4"/>
  <c r="P340" i="4"/>
  <c r="Q339" i="4"/>
  <c r="P339" i="4"/>
  <c r="Q338" i="4"/>
  <c r="P338" i="4"/>
  <c r="Q337" i="4"/>
  <c r="P337" i="4"/>
  <c r="Q336" i="4"/>
  <c r="P336" i="4"/>
  <c r="Q335" i="4"/>
  <c r="P335" i="4"/>
  <c r="Q334" i="4"/>
  <c r="P334" i="4"/>
  <c r="Q333" i="4"/>
  <c r="P333" i="4"/>
  <c r="Q332" i="4"/>
  <c r="P332" i="4"/>
  <c r="Q331" i="4"/>
  <c r="P331" i="4"/>
  <c r="Q330" i="4"/>
  <c r="P330" i="4"/>
  <c r="Q329" i="4"/>
  <c r="P329" i="4"/>
  <c r="Q328" i="4"/>
  <c r="P328" i="4"/>
  <c r="Q327" i="4"/>
  <c r="P327" i="4"/>
  <c r="Q326" i="4"/>
  <c r="P326" i="4"/>
  <c r="Q325" i="4"/>
  <c r="P325" i="4"/>
  <c r="Q324" i="4"/>
  <c r="P324" i="4"/>
  <c r="Q323" i="4"/>
  <c r="P323" i="4"/>
  <c r="Q322" i="4"/>
  <c r="P322" i="4"/>
  <c r="Q321" i="4"/>
  <c r="P321" i="4"/>
  <c r="Q320" i="4"/>
  <c r="P320" i="4"/>
  <c r="Q319" i="4"/>
  <c r="P319" i="4"/>
  <c r="Q318" i="4"/>
  <c r="P318" i="4"/>
  <c r="Q317" i="4"/>
  <c r="P317" i="4"/>
  <c r="Q316" i="4"/>
  <c r="P316" i="4"/>
  <c r="Q315" i="4"/>
  <c r="P315" i="4"/>
  <c r="Q314" i="4"/>
  <c r="P314" i="4"/>
  <c r="Q313" i="4"/>
  <c r="P313" i="4"/>
  <c r="Q312" i="4"/>
  <c r="P312" i="4"/>
  <c r="Q311" i="4"/>
  <c r="P311" i="4"/>
  <c r="Q310" i="4"/>
  <c r="P310" i="4"/>
  <c r="Q309" i="4"/>
  <c r="P309" i="4"/>
  <c r="Q308" i="4"/>
  <c r="P308" i="4"/>
  <c r="Q307" i="4"/>
  <c r="P307" i="4"/>
  <c r="Q306" i="4"/>
  <c r="P306" i="4"/>
  <c r="Q305" i="4"/>
  <c r="P305" i="4"/>
  <c r="Q304" i="4"/>
  <c r="P304" i="4"/>
  <c r="Q303" i="4"/>
  <c r="P303" i="4"/>
  <c r="Q302" i="4"/>
  <c r="P302" i="4"/>
  <c r="Q301" i="4"/>
  <c r="P301" i="4"/>
  <c r="Q300" i="4"/>
  <c r="P300" i="4"/>
  <c r="Q299" i="4"/>
  <c r="P299" i="4"/>
  <c r="Q298" i="4"/>
  <c r="P298" i="4"/>
  <c r="Q297" i="4"/>
  <c r="P297" i="4"/>
  <c r="Q296" i="4"/>
  <c r="P296" i="4"/>
  <c r="Q295" i="4"/>
  <c r="P295" i="4"/>
  <c r="Q294" i="4"/>
  <c r="P294" i="4"/>
  <c r="Q293" i="4"/>
  <c r="P293" i="4"/>
  <c r="Q292" i="4"/>
  <c r="P292" i="4"/>
  <c r="Q291" i="4"/>
  <c r="P291" i="4"/>
  <c r="Q290" i="4"/>
  <c r="P290" i="4"/>
  <c r="Q289" i="4"/>
  <c r="P289" i="4"/>
  <c r="Q288" i="4"/>
  <c r="P288" i="4"/>
  <c r="Q287" i="4"/>
  <c r="P287" i="4"/>
  <c r="Q286" i="4"/>
  <c r="P286" i="4"/>
  <c r="Q285" i="4"/>
  <c r="P285" i="4"/>
  <c r="Q284" i="4"/>
  <c r="P284" i="4"/>
  <c r="Q283" i="4"/>
  <c r="P283" i="4"/>
  <c r="Q282" i="4"/>
  <c r="P282" i="4"/>
  <c r="Q281" i="4"/>
  <c r="P281" i="4"/>
  <c r="Q280" i="4"/>
  <c r="P280" i="4"/>
  <c r="Q279" i="4"/>
  <c r="P279" i="4"/>
  <c r="Q278" i="4"/>
  <c r="P278" i="4"/>
  <c r="Q277" i="4"/>
  <c r="P277" i="4"/>
  <c r="Q276" i="4"/>
  <c r="P276" i="4"/>
  <c r="Q275" i="4"/>
  <c r="P275" i="4"/>
  <c r="Q274" i="4"/>
  <c r="P274" i="4"/>
  <c r="Q273" i="4"/>
  <c r="P273" i="4"/>
  <c r="Q272" i="4"/>
  <c r="P272" i="4"/>
  <c r="Q271" i="4"/>
  <c r="P271" i="4"/>
  <c r="Q270" i="4"/>
  <c r="P270" i="4"/>
  <c r="Q269" i="4"/>
  <c r="P269" i="4"/>
  <c r="Q268" i="4"/>
  <c r="P268" i="4"/>
  <c r="Q267" i="4"/>
  <c r="P267" i="4"/>
  <c r="Q266" i="4"/>
  <c r="P266" i="4"/>
  <c r="Q265" i="4"/>
  <c r="P265" i="4"/>
  <c r="Q264" i="4"/>
  <c r="P264" i="4"/>
  <c r="Q263" i="4"/>
  <c r="P263" i="4"/>
  <c r="Q262" i="4"/>
  <c r="P262" i="4"/>
  <c r="Q261" i="4"/>
  <c r="P261" i="4"/>
  <c r="Q260" i="4"/>
  <c r="P260" i="4"/>
  <c r="Q259" i="4"/>
  <c r="P259" i="4"/>
  <c r="Q258" i="4"/>
  <c r="P258" i="4"/>
  <c r="Q257" i="4"/>
  <c r="P257" i="4"/>
  <c r="Q256" i="4"/>
  <c r="P256" i="4"/>
  <c r="Q255" i="4"/>
  <c r="P255" i="4"/>
  <c r="Q254" i="4"/>
  <c r="P254" i="4"/>
  <c r="Q253" i="4"/>
  <c r="P253" i="4"/>
  <c r="Q252" i="4"/>
  <c r="P252" i="4"/>
  <c r="Q251" i="4"/>
  <c r="P251" i="4"/>
  <c r="Q250" i="4"/>
  <c r="P250" i="4"/>
  <c r="Q249" i="4"/>
  <c r="P249" i="4"/>
  <c r="Q248" i="4"/>
  <c r="P248" i="4"/>
  <c r="Q247" i="4"/>
  <c r="P247" i="4"/>
  <c r="Q246" i="4"/>
  <c r="P246" i="4"/>
  <c r="Q245" i="4"/>
  <c r="P245" i="4"/>
  <c r="Q244" i="4"/>
  <c r="P244" i="4"/>
  <c r="Q243" i="4"/>
  <c r="P243" i="4"/>
  <c r="Q242" i="4"/>
  <c r="P242" i="4"/>
  <c r="Q241" i="4"/>
  <c r="P241" i="4"/>
  <c r="Q240" i="4"/>
  <c r="P240" i="4"/>
  <c r="Q239" i="4"/>
  <c r="P239" i="4"/>
  <c r="Q238" i="4"/>
  <c r="P238" i="4"/>
  <c r="Q237" i="4"/>
  <c r="P237" i="4"/>
  <c r="Q236" i="4"/>
  <c r="P236" i="4"/>
  <c r="Q235" i="4"/>
  <c r="P235" i="4"/>
  <c r="Q234" i="4"/>
  <c r="P234" i="4"/>
  <c r="Q233" i="4"/>
  <c r="P233" i="4"/>
  <c r="Q232" i="4"/>
  <c r="P232" i="4"/>
  <c r="Q231" i="4"/>
  <c r="P231" i="4"/>
  <c r="Q230" i="4"/>
  <c r="P230" i="4"/>
  <c r="Q229" i="4"/>
  <c r="P229" i="4"/>
  <c r="Q228" i="4"/>
  <c r="P228" i="4"/>
  <c r="Q227" i="4"/>
  <c r="P227" i="4"/>
  <c r="Q226" i="4"/>
  <c r="P226" i="4"/>
  <c r="Q225" i="4"/>
  <c r="P225" i="4"/>
  <c r="Q224" i="4"/>
  <c r="P224" i="4"/>
  <c r="Q223" i="4"/>
  <c r="P223" i="4"/>
  <c r="Q222" i="4"/>
  <c r="P222" i="4"/>
  <c r="Q221" i="4"/>
  <c r="P221" i="4"/>
  <c r="Q220" i="4"/>
  <c r="P220" i="4"/>
  <c r="Q219" i="4"/>
  <c r="P219" i="4"/>
  <c r="Q218" i="4"/>
  <c r="P218" i="4"/>
  <c r="Q217" i="4"/>
  <c r="P217" i="4"/>
  <c r="Q216" i="4"/>
  <c r="P216" i="4"/>
  <c r="Q215" i="4"/>
  <c r="P215" i="4"/>
  <c r="Q214" i="4"/>
  <c r="P214" i="4"/>
  <c r="Q213" i="4"/>
  <c r="P213" i="4"/>
  <c r="Q212" i="4"/>
  <c r="P212" i="4"/>
  <c r="Q211" i="4"/>
  <c r="P211" i="4"/>
  <c r="Q210" i="4"/>
  <c r="P210" i="4"/>
  <c r="Q209" i="4"/>
  <c r="P209" i="4"/>
  <c r="Q208" i="4"/>
  <c r="P208" i="4"/>
  <c r="Q207" i="4"/>
  <c r="P207" i="4"/>
  <c r="Q206" i="4"/>
  <c r="P206" i="4"/>
  <c r="Q205" i="4"/>
  <c r="P205" i="4"/>
  <c r="Q204" i="4"/>
  <c r="P204" i="4"/>
  <c r="Q203" i="4"/>
  <c r="P203" i="4"/>
  <c r="Q202" i="4"/>
  <c r="P202" i="4"/>
  <c r="Q201" i="4"/>
  <c r="P201" i="4"/>
  <c r="Q200" i="4"/>
  <c r="P200" i="4"/>
  <c r="Q199" i="4"/>
  <c r="P199" i="4"/>
  <c r="Q198" i="4"/>
  <c r="P198" i="4"/>
  <c r="Q197" i="4"/>
  <c r="P197" i="4"/>
  <c r="Q196" i="4"/>
  <c r="P196" i="4"/>
  <c r="Q195" i="4"/>
  <c r="P195" i="4"/>
  <c r="Q194" i="4"/>
  <c r="P194" i="4"/>
  <c r="Q193" i="4"/>
  <c r="P193" i="4"/>
  <c r="Q192" i="4"/>
  <c r="P192" i="4"/>
  <c r="Q191" i="4"/>
  <c r="P191" i="4"/>
  <c r="Q190" i="4"/>
  <c r="P190" i="4"/>
  <c r="Q189" i="4"/>
  <c r="P189" i="4"/>
  <c r="Q188" i="4"/>
  <c r="P188" i="4"/>
  <c r="Q187" i="4"/>
  <c r="P187" i="4"/>
  <c r="Q186" i="4"/>
  <c r="P186" i="4"/>
  <c r="Q185" i="4"/>
  <c r="P185" i="4"/>
  <c r="Q184" i="4"/>
  <c r="P184" i="4"/>
  <c r="Q183" i="4"/>
  <c r="P183" i="4"/>
  <c r="Q182" i="4"/>
  <c r="P182" i="4"/>
  <c r="Q181" i="4"/>
  <c r="P181" i="4"/>
  <c r="Q180" i="4"/>
  <c r="P180" i="4"/>
  <c r="Q179" i="4"/>
  <c r="P179" i="4"/>
  <c r="Q178" i="4"/>
  <c r="P178" i="4"/>
  <c r="Q177" i="4"/>
  <c r="P177" i="4"/>
  <c r="Q176" i="4"/>
  <c r="P176" i="4"/>
  <c r="Q175" i="4"/>
  <c r="P175" i="4"/>
  <c r="Q174" i="4"/>
  <c r="P174" i="4"/>
  <c r="Q173" i="4"/>
  <c r="P173" i="4"/>
  <c r="Q172" i="4"/>
  <c r="P172" i="4"/>
  <c r="Q171" i="4"/>
  <c r="P171" i="4"/>
  <c r="Q170" i="4"/>
  <c r="P170" i="4"/>
  <c r="Q169" i="4"/>
  <c r="P169" i="4"/>
  <c r="Q168" i="4"/>
  <c r="P168" i="4"/>
  <c r="Q167" i="4"/>
  <c r="P167" i="4"/>
  <c r="Q166" i="4"/>
  <c r="P166" i="4"/>
  <c r="Q165" i="4"/>
  <c r="P165" i="4"/>
  <c r="Q164" i="4"/>
  <c r="P164" i="4"/>
  <c r="Q163" i="4"/>
  <c r="P163" i="4"/>
  <c r="Q162" i="4"/>
  <c r="P162" i="4"/>
  <c r="Q161" i="4"/>
  <c r="P161" i="4"/>
  <c r="Q160" i="4"/>
  <c r="P160" i="4"/>
  <c r="Q159" i="4"/>
  <c r="P159" i="4"/>
  <c r="Q158" i="4"/>
  <c r="P158" i="4"/>
  <c r="Q157" i="4"/>
  <c r="P157" i="4"/>
  <c r="Q156" i="4"/>
  <c r="P156" i="4"/>
  <c r="Q155" i="4"/>
  <c r="P155" i="4"/>
  <c r="Q154" i="4"/>
  <c r="P154" i="4"/>
  <c r="Q153" i="4"/>
  <c r="P153" i="4"/>
  <c r="Q152" i="4"/>
  <c r="P152" i="4"/>
  <c r="Q151" i="4"/>
  <c r="P151" i="4"/>
  <c r="Q150" i="4"/>
  <c r="P150" i="4"/>
  <c r="Q149" i="4"/>
  <c r="P149" i="4"/>
  <c r="Q148" i="4"/>
  <c r="P148" i="4"/>
  <c r="Q147" i="4"/>
  <c r="P147" i="4"/>
  <c r="Q146" i="4"/>
  <c r="P146" i="4"/>
  <c r="Q145" i="4"/>
  <c r="P145" i="4"/>
  <c r="Q144" i="4"/>
  <c r="P144" i="4"/>
  <c r="Q143" i="4"/>
  <c r="P143" i="4"/>
  <c r="Q142" i="4"/>
  <c r="P142" i="4"/>
  <c r="Q141" i="4"/>
  <c r="P141" i="4"/>
  <c r="Q140" i="4"/>
  <c r="P140" i="4"/>
  <c r="Q139" i="4"/>
  <c r="P139" i="4"/>
  <c r="Q138" i="4"/>
  <c r="P138" i="4"/>
  <c r="Q137" i="4"/>
  <c r="P137" i="4"/>
  <c r="Q136" i="4"/>
  <c r="P136" i="4"/>
  <c r="Q135" i="4"/>
  <c r="P135" i="4"/>
  <c r="Q134" i="4"/>
  <c r="P134" i="4"/>
  <c r="Q133" i="4"/>
  <c r="P133" i="4"/>
  <c r="Q132" i="4"/>
  <c r="P132" i="4"/>
  <c r="Q131" i="4"/>
  <c r="P131" i="4"/>
  <c r="Q130" i="4"/>
  <c r="P130" i="4"/>
  <c r="Q129" i="4"/>
  <c r="P129" i="4"/>
  <c r="Q128" i="4"/>
  <c r="P128" i="4"/>
  <c r="Q127" i="4"/>
  <c r="P127" i="4"/>
  <c r="Q126" i="4"/>
  <c r="P126" i="4"/>
  <c r="Q125" i="4"/>
  <c r="P125" i="4"/>
  <c r="Q124" i="4"/>
  <c r="P124" i="4"/>
  <c r="Q123" i="4"/>
  <c r="P123" i="4"/>
  <c r="Q122" i="4"/>
  <c r="P122" i="4"/>
  <c r="Q121" i="4"/>
  <c r="P121" i="4"/>
  <c r="Q120" i="4"/>
  <c r="P120" i="4"/>
  <c r="Q119" i="4"/>
  <c r="P119" i="4"/>
  <c r="Q118" i="4"/>
  <c r="P118" i="4"/>
  <c r="Q117" i="4"/>
  <c r="P117" i="4"/>
  <c r="Q116" i="4"/>
  <c r="P116" i="4"/>
  <c r="Q115" i="4"/>
  <c r="P115" i="4"/>
  <c r="Q114" i="4"/>
  <c r="P114" i="4"/>
  <c r="Q113" i="4"/>
  <c r="P113" i="4"/>
  <c r="Q112" i="4"/>
  <c r="P112" i="4"/>
  <c r="Q111" i="4"/>
  <c r="P111" i="4"/>
  <c r="Q110" i="4"/>
  <c r="P110" i="4"/>
  <c r="Q109" i="4"/>
  <c r="P109" i="4"/>
  <c r="Q108" i="4"/>
  <c r="P108" i="4"/>
  <c r="Q107" i="4"/>
  <c r="P107" i="4"/>
  <c r="Q106" i="4"/>
  <c r="P106" i="4"/>
  <c r="Q105" i="4"/>
  <c r="P105" i="4"/>
  <c r="Q104" i="4"/>
  <c r="P104" i="4"/>
  <c r="Q103" i="4"/>
  <c r="P103" i="4"/>
  <c r="Q102" i="4"/>
  <c r="P102" i="4"/>
  <c r="Q101" i="4"/>
  <c r="P101" i="4"/>
  <c r="Q100" i="4"/>
  <c r="P100" i="4"/>
  <c r="Q99" i="4"/>
  <c r="P99" i="4"/>
  <c r="Q98" i="4"/>
  <c r="P98" i="4"/>
  <c r="Q97" i="4"/>
  <c r="P97" i="4"/>
  <c r="Q96" i="4"/>
  <c r="P96" i="4"/>
  <c r="Q95" i="4"/>
  <c r="P95" i="4"/>
  <c r="Q94" i="4"/>
  <c r="P94" i="4"/>
  <c r="Q93" i="4"/>
  <c r="P93" i="4"/>
  <c r="Q92" i="4"/>
  <c r="P92" i="4"/>
  <c r="Q91" i="4"/>
  <c r="P91" i="4"/>
  <c r="Q90" i="4"/>
  <c r="P90" i="4"/>
  <c r="Q89" i="4"/>
  <c r="P89" i="4"/>
  <c r="Q88" i="4"/>
  <c r="P88" i="4"/>
  <c r="Q87" i="4"/>
  <c r="P87" i="4"/>
  <c r="Q86" i="4"/>
  <c r="P86" i="4"/>
  <c r="Q85" i="4"/>
  <c r="P85" i="4"/>
  <c r="Q84" i="4"/>
  <c r="P84" i="4"/>
  <c r="Q83" i="4"/>
  <c r="P83" i="4"/>
  <c r="Q82" i="4"/>
  <c r="P82" i="4"/>
  <c r="Q81" i="4"/>
  <c r="P81" i="4"/>
  <c r="Q80" i="4"/>
  <c r="P80" i="4"/>
  <c r="Q79" i="4"/>
  <c r="P79" i="4"/>
  <c r="Q78" i="4"/>
  <c r="P78" i="4"/>
  <c r="Q77" i="4"/>
  <c r="P77" i="4"/>
  <c r="Q76" i="4"/>
  <c r="P76" i="4"/>
  <c r="Q75" i="4"/>
  <c r="P75" i="4"/>
  <c r="Q74" i="4"/>
  <c r="P74" i="4"/>
  <c r="Q73" i="4"/>
  <c r="P73" i="4"/>
  <c r="Q72" i="4"/>
  <c r="P72" i="4"/>
  <c r="Q71" i="4"/>
  <c r="P71" i="4"/>
  <c r="Q70" i="4"/>
  <c r="P70" i="4"/>
  <c r="Q69" i="4"/>
  <c r="P69" i="4"/>
  <c r="Q68" i="4"/>
  <c r="P68" i="4"/>
  <c r="Q67" i="4"/>
  <c r="P67" i="4"/>
  <c r="Q66" i="4"/>
  <c r="P66" i="4"/>
  <c r="Q65" i="4"/>
  <c r="P65" i="4"/>
  <c r="Q64" i="4"/>
  <c r="P64" i="4"/>
  <c r="Q63" i="4"/>
  <c r="P63" i="4"/>
  <c r="Q62" i="4"/>
  <c r="P62" i="4"/>
  <c r="Q61" i="4"/>
  <c r="P61" i="4"/>
  <c r="Q60" i="4"/>
  <c r="P60" i="4"/>
  <c r="Q59" i="4"/>
  <c r="P59" i="4"/>
  <c r="Q58" i="4"/>
  <c r="P58" i="4"/>
  <c r="Q57" i="4"/>
  <c r="P57" i="4"/>
  <c r="Q56" i="4"/>
  <c r="P56" i="4"/>
  <c r="Q55" i="4"/>
  <c r="P55" i="4"/>
  <c r="Q54" i="4"/>
  <c r="P54" i="4"/>
  <c r="Q53" i="4"/>
  <c r="P53" i="4"/>
  <c r="Q52" i="4"/>
  <c r="P52" i="4"/>
  <c r="Q51" i="4"/>
  <c r="P51" i="4"/>
  <c r="Q50" i="4"/>
  <c r="P50" i="4"/>
  <c r="Q49" i="4"/>
  <c r="P49" i="4"/>
  <c r="Q48" i="4"/>
  <c r="P48" i="4"/>
  <c r="Q47" i="4"/>
  <c r="P47" i="4"/>
  <c r="Q46" i="4"/>
  <c r="P46" i="4"/>
  <c r="Q45" i="4"/>
  <c r="P45" i="4"/>
  <c r="Q44" i="4"/>
  <c r="P44" i="4"/>
  <c r="Q43" i="4"/>
  <c r="P43" i="4"/>
  <c r="Q42" i="4"/>
  <c r="P42" i="4"/>
  <c r="Q41" i="4"/>
  <c r="P41" i="4"/>
  <c r="Q40" i="4"/>
  <c r="P40" i="4"/>
  <c r="Q39" i="4"/>
  <c r="P39" i="4"/>
  <c r="Q38" i="4"/>
  <c r="P38" i="4"/>
  <c r="Q37" i="4"/>
  <c r="P37" i="4"/>
  <c r="Q36" i="4"/>
  <c r="P36" i="4"/>
  <c r="Q35" i="4"/>
  <c r="P35" i="4"/>
  <c r="Q34" i="4"/>
  <c r="P34" i="4"/>
  <c r="Q33" i="4"/>
  <c r="P33" i="4"/>
  <c r="Q32" i="4"/>
  <c r="P32" i="4"/>
  <c r="Q31" i="4"/>
  <c r="P31" i="4"/>
  <c r="Q30" i="4"/>
  <c r="P30" i="4"/>
  <c r="Q29" i="4"/>
  <c r="P29" i="4"/>
  <c r="Q28" i="4"/>
  <c r="P28" i="4"/>
  <c r="Q27" i="4"/>
  <c r="P27" i="4"/>
  <c r="Q26" i="4"/>
  <c r="P26" i="4"/>
  <c r="Q25" i="4"/>
  <c r="P25" i="4"/>
  <c r="Q24" i="4"/>
  <c r="P24" i="4"/>
  <c r="Q23" i="4"/>
  <c r="P23" i="4"/>
  <c r="Q22" i="4"/>
  <c r="P22" i="4"/>
  <c r="Q21" i="4"/>
  <c r="P21" i="4"/>
  <c r="Q20" i="4"/>
  <c r="P20" i="4"/>
  <c r="Q19" i="4"/>
  <c r="P19" i="4"/>
  <c r="Q18" i="4"/>
  <c r="P18" i="4"/>
  <c r="Q17" i="4"/>
  <c r="P17" i="4"/>
  <c r="Q16" i="4"/>
  <c r="P16" i="4"/>
  <c r="Q15" i="4"/>
  <c r="P15" i="4"/>
  <c r="Q14" i="4"/>
  <c r="P14" i="4"/>
  <c r="Q13" i="4"/>
  <c r="P13" i="4"/>
  <c r="Q12" i="4"/>
  <c r="P12" i="4"/>
  <c r="M8" i="4"/>
  <c r="I8" i="4"/>
  <c r="M6" i="4"/>
  <c r="I6" i="4"/>
  <c r="O2" i="4"/>
  <c r="N2" i="4"/>
  <c r="M2" i="4"/>
  <c r="K2" i="4"/>
  <c r="J2" i="4"/>
  <c r="I2" i="4"/>
  <c r="M8" i="2"/>
  <c r="I8" i="2"/>
  <c r="M6" i="2"/>
  <c r="I6" i="2"/>
  <c r="Q981" i="2"/>
  <c r="P981" i="2"/>
  <c r="Q980" i="2"/>
  <c r="P980" i="2"/>
  <c r="Q979" i="2"/>
  <c r="P979" i="2"/>
  <c r="Q978" i="2"/>
  <c r="P978" i="2"/>
  <c r="Q977" i="2"/>
  <c r="P977" i="2"/>
  <c r="Q976" i="2"/>
  <c r="P976" i="2"/>
  <c r="Q975" i="2"/>
  <c r="P975" i="2"/>
  <c r="Q974" i="2"/>
  <c r="P974" i="2"/>
  <c r="Q973" i="2"/>
  <c r="P973" i="2"/>
  <c r="Q972" i="2"/>
  <c r="P972" i="2"/>
  <c r="Q971" i="2"/>
  <c r="P971" i="2"/>
  <c r="Q970" i="2"/>
  <c r="P970" i="2"/>
  <c r="Q969" i="2"/>
  <c r="P969" i="2"/>
  <c r="Q968" i="2"/>
  <c r="P968" i="2"/>
  <c r="Q967" i="2"/>
  <c r="P967" i="2"/>
  <c r="Q966" i="2"/>
  <c r="P966" i="2"/>
  <c r="Q965" i="2"/>
  <c r="P965" i="2"/>
  <c r="Q964" i="2"/>
  <c r="P964" i="2"/>
  <c r="Q963" i="2"/>
  <c r="P963" i="2"/>
  <c r="Q962" i="2"/>
  <c r="P962" i="2"/>
  <c r="Q961" i="2"/>
  <c r="P961" i="2"/>
  <c r="Q960" i="2"/>
  <c r="P960" i="2"/>
  <c r="Q959" i="2"/>
  <c r="P959" i="2"/>
  <c r="Q958" i="2"/>
  <c r="P958" i="2"/>
  <c r="Q957" i="2"/>
  <c r="P957" i="2"/>
  <c r="Q956" i="2"/>
  <c r="P956" i="2"/>
  <c r="Q955" i="2"/>
  <c r="P955" i="2"/>
  <c r="Q954" i="2"/>
  <c r="P954" i="2"/>
  <c r="Q953" i="2"/>
  <c r="P953" i="2"/>
  <c r="Q952" i="2"/>
  <c r="P952" i="2"/>
  <c r="Q951" i="2"/>
  <c r="P951" i="2"/>
  <c r="Q950" i="2"/>
  <c r="P950" i="2"/>
  <c r="Q949" i="2"/>
  <c r="P949" i="2"/>
  <c r="Q948" i="2"/>
  <c r="P948" i="2"/>
  <c r="Q947" i="2"/>
  <c r="P947" i="2"/>
  <c r="Q946" i="2"/>
  <c r="P946" i="2"/>
  <c r="Q945" i="2"/>
  <c r="P945" i="2"/>
  <c r="Q944" i="2"/>
  <c r="P944" i="2"/>
  <c r="Q943" i="2"/>
  <c r="P943" i="2"/>
  <c r="Q942" i="2"/>
  <c r="P942" i="2"/>
  <c r="Q941" i="2"/>
  <c r="P941" i="2"/>
  <c r="Q940" i="2"/>
  <c r="P940" i="2"/>
  <c r="Q939" i="2"/>
  <c r="P939" i="2"/>
  <c r="Q938" i="2"/>
  <c r="P938" i="2"/>
  <c r="Q937" i="2"/>
  <c r="P937" i="2"/>
  <c r="Q936" i="2"/>
  <c r="P936" i="2"/>
  <c r="Q935" i="2"/>
  <c r="P935" i="2"/>
  <c r="Q934" i="2"/>
  <c r="P934" i="2"/>
  <c r="Q933" i="2"/>
  <c r="P933" i="2"/>
  <c r="Q932" i="2"/>
  <c r="P932" i="2"/>
  <c r="Q931" i="2"/>
  <c r="P931" i="2"/>
  <c r="Q930" i="2"/>
  <c r="P930" i="2"/>
  <c r="Q929" i="2"/>
  <c r="P929" i="2"/>
  <c r="Q928" i="2"/>
  <c r="P928" i="2"/>
  <c r="Q927" i="2"/>
  <c r="P927" i="2"/>
  <c r="Q926" i="2"/>
  <c r="P926" i="2"/>
  <c r="Q925" i="2"/>
  <c r="P925" i="2"/>
  <c r="Q924" i="2"/>
  <c r="P924" i="2"/>
  <c r="Q923" i="2"/>
  <c r="P923" i="2"/>
  <c r="Q922" i="2"/>
  <c r="P922" i="2"/>
  <c r="Q921" i="2"/>
  <c r="P921" i="2"/>
  <c r="Q920" i="2"/>
  <c r="P920" i="2"/>
  <c r="Q919" i="2"/>
  <c r="P919" i="2"/>
  <c r="Q918" i="2"/>
  <c r="P918" i="2"/>
  <c r="Q917" i="2"/>
  <c r="P917" i="2"/>
  <c r="Q916" i="2"/>
  <c r="P916" i="2"/>
  <c r="Q915" i="2"/>
  <c r="P915" i="2"/>
  <c r="Q914" i="2"/>
  <c r="P914" i="2"/>
  <c r="Q913" i="2"/>
  <c r="P913" i="2"/>
  <c r="Q912" i="2"/>
  <c r="P912" i="2"/>
  <c r="Q911" i="2"/>
  <c r="P911" i="2"/>
  <c r="Q910" i="2"/>
  <c r="P910" i="2"/>
  <c r="Q909" i="2"/>
  <c r="P909" i="2"/>
  <c r="Q908" i="2"/>
  <c r="P908" i="2"/>
  <c r="Q907" i="2"/>
  <c r="P907" i="2"/>
  <c r="Q906" i="2"/>
  <c r="P906" i="2"/>
  <c r="Q905" i="2"/>
  <c r="P905" i="2"/>
  <c r="Q904" i="2"/>
  <c r="P904" i="2"/>
  <c r="Q903" i="2"/>
  <c r="P903" i="2"/>
  <c r="Q902" i="2"/>
  <c r="P902" i="2"/>
  <c r="Q901" i="2"/>
  <c r="P901" i="2"/>
  <c r="Q900" i="2"/>
  <c r="P900" i="2"/>
  <c r="Q899" i="2"/>
  <c r="P899" i="2"/>
  <c r="Q898" i="2"/>
  <c r="P898" i="2"/>
  <c r="Q897" i="2"/>
  <c r="P897" i="2"/>
  <c r="Q896" i="2"/>
  <c r="P896" i="2"/>
  <c r="Q895" i="2"/>
  <c r="P895" i="2"/>
  <c r="Q894" i="2"/>
  <c r="P894" i="2"/>
  <c r="Q893" i="2"/>
  <c r="P893" i="2"/>
  <c r="Q892" i="2"/>
  <c r="P892" i="2"/>
  <c r="Q891" i="2"/>
  <c r="P891" i="2"/>
  <c r="Q890" i="2"/>
  <c r="P890" i="2"/>
  <c r="Q889" i="2"/>
  <c r="P889" i="2"/>
  <c r="Q888" i="2"/>
  <c r="P888" i="2"/>
  <c r="Q887" i="2"/>
  <c r="P887" i="2"/>
  <c r="Q886" i="2"/>
  <c r="P886" i="2"/>
  <c r="Q885" i="2"/>
  <c r="P885" i="2"/>
  <c r="Q884" i="2"/>
  <c r="P884" i="2"/>
  <c r="Q883" i="2"/>
  <c r="P883" i="2"/>
  <c r="Q882" i="2"/>
  <c r="P882" i="2"/>
  <c r="Q881" i="2"/>
  <c r="P881" i="2"/>
  <c r="Q880" i="2"/>
  <c r="P880" i="2"/>
  <c r="Q879" i="2"/>
  <c r="P879" i="2"/>
  <c r="Q878" i="2"/>
  <c r="P878" i="2"/>
  <c r="Q877" i="2"/>
  <c r="P877" i="2"/>
  <c r="Q876" i="2"/>
  <c r="P876" i="2"/>
  <c r="Q875" i="2"/>
  <c r="P875" i="2"/>
  <c r="Q874" i="2"/>
  <c r="P874" i="2"/>
  <c r="Q873" i="2"/>
  <c r="P873" i="2"/>
  <c r="Q872" i="2"/>
  <c r="P872" i="2"/>
  <c r="Q871" i="2"/>
  <c r="P871" i="2"/>
  <c r="Q870" i="2"/>
  <c r="P870" i="2"/>
  <c r="Q869" i="2"/>
  <c r="P869" i="2"/>
  <c r="Q868" i="2"/>
  <c r="P868" i="2"/>
  <c r="Q867" i="2"/>
  <c r="P867" i="2"/>
  <c r="Q866" i="2"/>
  <c r="P866" i="2"/>
  <c r="Q865" i="2"/>
  <c r="P865" i="2"/>
  <c r="Q864" i="2"/>
  <c r="P864" i="2"/>
  <c r="Q863" i="2"/>
  <c r="P863" i="2"/>
  <c r="Q862" i="2"/>
  <c r="P862" i="2"/>
  <c r="Q861" i="2"/>
  <c r="P861" i="2"/>
  <c r="Q860" i="2"/>
  <c r="P860" i="2"/>
  <c r="Q859" i="2"/>
  <c r="P859" i="2"/>
  <c r="Q858" i="2"/>
  <c r="P858" i="2"/>
  <c r="Q857" i="2"/>
  <c r="P857" i="2"/>
  <c r="Q856" i="2"/>
  <c r="P856" i="2"/>
  <c r="Q855" i="2"/>
  <c r="P855" i="2"/>
  <c r="Q854" i="2"/>
  <c r="P854" i="2"/>
  <c r="Q853" i="2"/>
  <c r="P853" i="2"/>
  <c r="Q852" i="2"/>
  <c r="P852" i="2"/>
  <c r="Q851" i="2"/>
  <c r="P851" i="2"/>
  <c r="Q850" i="2"/>
  <c r="P850" i="2"/>
  <c r="Q849" i="2"/>
  <c r="P849" i="2"/>
  <c r="Q848" i="2"/>
  <c r="P848" i="2"/>
  <c r="Q847" i="2"/>
  <c r="P847" i="2"/>
  <c r="Q846" i="2"/>
  <c r="P846" i="2"/>
  <c r="Q845" i="2"/>
  <c r="P845" i="2"/>
  <c r="Q844" i="2"/>
  <c r="P844" i="2"/>
  <c r="Q843" i="2"/>
  <c r="P843" i="2"/>
  <c r="Q842" i="2"/>
  <c r="P842" i="2"/>
  <c r="Q841" i="2"/>
  <c r="P841" i="2"/>
  <c r="Q840" i="2"/>
  <c r="P840" i="2"/>
  <c r="Q839" i="2"/>
  <c r="P839" i="2"/>
  <c r="Q838" i="2"/>
  <c r="P838" i="2"/>
  <c r="Q837" i="2"/>
  <c r="P837" i="2"/>
  <c r="Q836" i="2"/>
  <c r="P836" i="2"/>
  <c r="Q835" i="2"/>
  <c r="P835" i="2"/>
  <c r="Q834" i="2"/>
  <c r="P834" i="2"/>
  <c r="Q833" i="2"/>
  <c r="P833" i="2"/>
  <c r="Q832" i="2"/>
  <c r="P832" i="2"/>
  <c r="Q831" i="2"/>
  <c r="P831" i="2"/>
  <c r="Q830" i="2"/>
  <c r="P830" i="2"/>
  <c r="Q829" i="2"/>
  <c r="P829" i="2"/>
  <c r="Q828" i="2"/>
  <c r="P828" i="2"/>
  <c r="Q827" i="2"/>
  <c r="P827" i="2"/>
  <c r="Q826" i="2"/>
  <c r="P826" i="2"/>
  <c r="Q825" i="2"/>
  <c r="P825" i="2"/>
  <c r="Q824" i="2"/>
  <c r="P824" i="2"/>
  <c r="Q823" i="2"/>
  <c r="P823" i="2"/>
  <c r="Q822" i="2"/>
  <c r="P822" i="2"/>
  <c r="Q821" i="2"/>
  <c r="P821" i="2"/>
  <c r="Q820" i="2"/>
  <c r="P820" i="2"/>
  <c r="Q819" i="2"/>
  <c r="P819" i="2"/>
  <c r="Q818" i="2"/>
  <c r="P818" i="2"/>
  <c r="Q817" i="2"/>
  <c r="P817" i="2"/>
  <c r="Q816" i="2"/>
  <c r="P816" i="2"/>
  <c r="Q815" i="2"/>
  <c r="P815" i="2"/>
  <c r="Q814" i="2"/>
  <c r="P814" i="2"/>
  <c r="Q813" i="2"/>
  <c r="P813" i="2"/>
  <c r="Q812" i="2"/>
  <c r="P812" i="2"/>
  <c r="Q811" i="2"/>
  <c r="P811" i="2"/>
  <c r="Q810" i="2"/>
  <c r="P810" i="2"/>
  <c r="Q809" i="2"/>
  <c r="P809" i="2"/>
  <c r="Q808" i="2"/>
  <c r="P808" i="2"/>
  <c r="Q807" i="2"/>
  <c r="P807" i="2"/>
  <c r="Q806" i="2"/>
  <c r="P806" i="2"/>
  <c r="Q805" i="2"/>
  <c r="P805" i="2"/>
  <c r="Q804" i="2"/>
  <c r="P804" i="2"/>
  <c r="Q803" i="2"/>
  <c r="P803" i="2"/>
  <c r="Q802" i="2"/>
  <c r="P802" i="2"/>
  <c r="Q801" i="2"/>
  <c r="P801" i="2"/>
  <c r="Q800" i="2"/>
  <c r="P800" i="2"/>
  <c r="Q799" i="2"/>
  <c r="P799" i="2"/>
  <c r="Q798" i="2"/>
  <c r="P798" i="2"/>
  <c r="Q797" i="2"/>
  <c r="P797" i="2"/>
  <c r="Q796" i="2"/>
  <c r="P796" i="2"/>
  <c r="Q795" i="2"/>
  <c r="P795" i="2"/>
  <c r="Q794" i="2"/>
  <c r="P794" i="2"/>
  <c r="Q793" i="2"/>
  <c r="P793" i="2"/>
  <c r="Q792" i="2"/>
  <c r="P792" i="2"/>
  <c r="Q791" i="2"/>
  <c r="P791" i="2"/>
  <c r="Q790" i="2"/>
  <c r="P790" i="2"/>
  <c r="Q789" i="2"/>
  <c r="P789" i="2"/>
  <c r="Q788" i="2"/>
  <c r="P788" i="2"/>
  <c r="Q787" i="2"/>
  <c r="P787" i="2"/>
  <c r="Q786" i="2"/>
  <c r="P786" i="2"/>
  <c r="Q785" i="2"/>
  <c r="P785" i="2"/>
  <c r="Q784" i="2"/>
  <c r="P784" i="2"/>
  <c r="Q783" i="2"/>
  <c r="P783" i="2"/>
  <c r="Q782" i="2"/>
  <c r="P782" i="2"/>
  <c r="Q781" i="2"/>
  <c r="P781" i="2"/>
  <c r="Q780" i="2"/>
  <c r="P780" i="2"/>
  <c r="Q779" i="2"/>
  <c r="P779" i="2"/>
  <c r="Q778" i="2"/>
  <c r="P778" i="2"/>
  <c r="Q777" i="2"/>
  <c r="P777" i="2"/>
  <c r="Q776" i="2"/>
  <c r="P776" i="2"/>
  <c r="Q775" i="2"/>
  <c r="P775" i="2"/>
  <c r="Q774" i="2"/>
  <c r="P774" i="2"/>
  <c r="Q773" i="2"/>
  <c r="P773" i="2"/>
  <c r="Q772" i="2"/>
  <c r="P772" i="2"/>
  <c r="Q771" i="2"/>
  <c r="P771" i="2"/>
  <c r="Q770" i="2"/>
  <c r="P770" i="2"/>
  <c r="Q769" i="2"/>
  <c r="P769" i="2"/>
  <c r="Q768" i="2"/>
  <c r="P768" i="2"/>
  <c r="Q767" i="2"/>
  <c r="P767" i="2"/>
  <c r="Q766" i="2"/>
  <c r="P766" i="2"/>
  <c r="Q765" i="2"/>
  <c r="P765" i="2"/>
  <c r="Q764" i="2"/>
  <c r="P764" i="2"/>
  <c r="Q763" i="2"/>
  <c r="P763" i="2"/>
  <c r="Q762" i="2"/>
  <c r="P762" i="2"/>
  <c r="Q761" i="2"/>
  <c r="P761" i="2"/>
  <c r="Q760" i="2"/>
  <c r="P760" i="2"/>
  <c r="Q759" i="2"/>
  <c r="P759" i="2"/>
  <c r="Q758" i="2"/>
  <c r="P758" i="2"/>
  <c r="Q757" i="2"/>
  <c r="P757" i="2"/>
  <c r="Q756" i="2"/>
  <c r="P756" i="2"/>
  <c r="Q755" i="2"/>
  <c r="P755" i="2"/>
  <c r="Q754" i="2"/>
  <c r="P754" i="2"/>
  <c r="Q753" i="2"/>
  <c r="P753" i="2"/>
  <c r="Q752" i="2"/>
  <c r="P752" i="2"/>
  <c r="Q751" i="2"/>
  <c r="P751" i="2"/>
  <c r="Q750" i="2"/>
  <c r="P750" i="2"/>
  <c r="Q749" i="2"/>
  <c r="P749" i="2"/>
  <c r="Q748" i="2"/>
  <c r="P748" i="2"/>
  <c r="Q747" i="2"/>
  <c r="P747" i="2"/>
  <c r="Q746" i="2"/>
  <c r="P746" i="2"/>
  <c r="Q745" i="2"/>
  <c r="P745" i="2"/>
  <c r="Q744" i="2"/>
  <c r="P744" i="2"/>
  <c r="Q743" i="2"/>
  <c r="P743" i="2"/>
  <c r="Q742" i="2"/>
  <c r="P742" i="2"/>
  <c r="Q741" i="2"/>
  <c r="P741" i="2"/>
  <c r="Q740" i="2"/>
  <c r="P740" i="2"/>
  <c r="Q739" i="2"/>
  <c r="P739" i="2"/>
  <c r="Q738" i="2"/>
  <c r="P738" i="2"/>
  <c r="Q737" i="2"/>
  <c r="P737" i="2"/>
  <c r="Q736" i="2"/>
  <c r="P736" i="2"/>
  <c r="Q735" i="2"/>
  <c r="P735" i="2"/>
  <c r="Q734" i="2"/>
  <c r="P734" i="2"/>
  <c r="Q733" i="2"/>
  <c r="P733" i="2"/>
  <c r="Q732" i="2"/>
  <c r="P732" i="2"/>
  <c r="Q731" i="2"/>
  <c r="P731" i="2"/>
  <c r="Q730" i="2"/>
  <c r="P730" i="2"/>
  <c r="Q729" i="2"/>
  <c r="P729" i="2"/>
  <c r="Q728" i="2"/>
  <c r="P728" i="2"/>
  <c r="Q727" i="2"/>
  <c r="P727" i="2"/>
  <c r="Q726" i="2"/>
  <c r="P726" i="2"/>
  <c r="Q725" i="2"/>
  <c r="P725" i="2"/>
  <c r="Q724" i="2"/>
  <c r="P724" i="2"/>
  <c r="Q723" i="2"/>
  <c r="P723" i="2"/>
  <c r="Q722" i="2"/>
  <c r="P722" i="2"/>
  <c r="Q721" i="2"/>
  <c r="P721" i="2"/>
  <c r="Q720" i="2"/>
  <c r="P720" i="2"/>
  <c r="Q719" i="2"/>
  <c r="P719" i="2"/>
  <c r="Q718" i="2"/>
  <c r="P718" i="2"/>
  <c r="Q717" i="2"/>
  <c r="P717" i="2"/>
  <c r="Q716" i="2"/>
  <c r="P716" i="2"/>
  <c r="Q715" i="2"/>
  <c r="P715" i="2"/>
  <c r="Q714" i="2"/>
  <c r="P714" i="2"/>
  <c r="Q713" i="2"/>
  <c r="P713" i="2"/>
  <c r="Q712" i="2"/>
  <c r="P712" i="2"/>
  <c r="Q711" i="2"/>
  <c r="P711" i="2"/>
  <c r="Q710" i="2"/>
  <c r="P710" i="2"/>
  <c r="Q709" i="2"/>
  <c r="P709" i="2"/>
  <c r="Q708" i="2"/>
  <c r="P708" i="2"/>
  <c r="Q707" i="2"/>
  <c r="P707" i="2"/>
  <c r="Q706" i="2"/>
  <c r="P706" i="2"/>
  <c r="Q705" i="2"/>
  <c r="P705" i="2"/>
  <c r="Q704" i="2"/>
  <c r="P704" i="2"/>
  <c r="Q703" i="2"/>
  <c r="P703" i="2"/>
  <c r="Q702" i="2"/>
  <c r="P702" i="2"/>
  <c r="Q701" i="2"/>
  <c r="P701" i="2"/>
  <c r="Q700" i="2"/>
  <c r="P700" i="2"/>
  <c r="Q699" i="2"/>
  <c r="P699" i="2"/>
  <c r="Q698" i="2"/>
  <c r="P698" i="2"/>
  <c r="Q697" i="2"/>
  <c r="P697" i="2"/>
  <c r="Q696" i="2"/>
  <c r="P696" i="2"/>
  <c r="Q695" i="2"/>
  <c r="P695" i="2"/>
  <c r="Q694" i="2"/>
  <c r="P694" i="2"/>
  <c r="Q693" i="2"/>
  <c r="P693" i="2"/>
  <c r="Q692" i="2"/>
  <c r="P692" i="2"/>
  <c r="Q691" i="2"/>
  <c r="P691" i="2"/>
  <c r="Q690" i="2"/>
  <c r="P690" i="2"/>
  <c r="Q689" i="2"/>
  <c r="P689" i="2"/>
  <c r="Q688" i="2"/>
  <c r="P688" i="2"/>
  <c r="Q687" i="2"/>
  <c r="P687" i="2"/>
  <c r="Q686" i="2"/>
  <c r="P686" i="2"/>
  <c r="Q685" i="2"/>
  <c r="P685" i="2"/>
  <c r="Q684" i="2"/>
  <c r="P684" i="2"/>
  <c r="Q683" i="2"/>
  <c r="P683" i="2"/>
  <c r="Q682" i="2"/>
  <c r="P682" i="2"/>
  <c r="Q681" i="2"/>
  <c r="P681" i="2"/>
  <c r="Q680" i="2"/>
  <c r="P680" i="2"/>
  <c r="Q679" i="2"/>
  <c r="P679" i="2"/>
  <c r="Q678" i="2"/>
  <c r="P678" i="2"/>
  <c r="Q677" i="2"/>
  <c r="P677" i="2"/>
  <c r="Q676" i="2"/>
  <c r="P676" i="2"/>
  <c r="Q675" i="2"/>
  <c r="P675" i="2"/>
  <c r="Q674" i="2"/>
  <c r="P674" i="2"/>
  <c r="Q673" i="2"/>
  <c r="P673" i="2"/>
  <c r="Q672" i="2"/>
  <c r="P672" i="2"/>
  <c r="Q671" i="2"/>
  <c r="P671" i="2"/>
  <c r="Q670" i="2"/>
  <c r="P670" i="2"/>
  <c r="Q669" i="2"/>
  <c r="P669" i="2"/>
  <c r="Q668" i="2"/>
  <c r="P668" i="2"/>
  <c r="Q667" i="2"/>
  <c r="P667" i="2"/>
  <c r="Q666" i="2"/>
  <c r="P666" i="2"/>
  <c r="Q665" i="2"/>
  <c r="P665" i="2"/>
  <c r="Q664" i="2"/>
  <c r="P664" i="2"/>
  <c r="Q663" i="2"/>
  <c r="P663" i="2"/>
  <c r="Q662" i="2"/>
  <c r="P662" i="2"/>
  <c r="Q661" i="2"/>
  <c r="P661" i="2"/>
  <c r="Q660" i="2"/>
  <c r="P660" i="2"/>
  <c r="Q659" i="2"/>
  <c r="P659" i="2"/>
  <c r="Q658" i="2"/>
  <c r="P658" i="2"/>
  <c r="Q657" i="2"/>
  <c r="P657" i="2"/>
  <c r="Q656" i="2"/>
  <c r="P656" i="2"/>
  <c r="Q655" i="2"/>
  <c r="P655" i="2"/>
  <c r="Q654" i="2"/>
  <c r="P654" i="2"/>
  <c r="Q653" i="2"/>
  <c r="P653" i="2"/>
  <c r="Q652" i="2"/>
  <c r="P652" i="2"/>
  <c r="Q651" i="2"/>
  <c r="P651" i="2"/>
  <c r="Q650" i="2"/>
  <c r="P650" i="2"/>
  <c r="Q649" i="2"/>
  <c r="P649" i="2"/>
  <c r="Q648" i="2"/>
  <c r="P648" i="2"/>
  <c r="Q647" i="2"/>
  <c r="P647" i="2"/>
  <c r="Q646" i="2"/>
  <c r="P646" i="2"/>
  <c r="Q645" i="2"/>
  <c r="P645" i="2"/>
  <c r="Q644" i="2"/>
  <c r="P644" i="2"/>
  <c r="Q643" i="2"/>
  <c r="P643" i="2"/>
  <c r="Q642" i="2"/>
  <c r="P642" i="2"/>
  <c r="Q641" i="2"/>
  <c r="P641" i="2"/>
  <c r="Q640" i="2"/>
  <c r="P640" i="2"/>
  <c r="Q639" i="2"/>
  <c r="P639" i="2"/>
  <c r="Q638" i="2"/>
  <c r="P638" i="2"/>
  <c r="Q637" i="2"/>
  <c r="P637" i="2"/>
  <c r="Q636" i="2"/>
  <c r="P636" i="2"/>
  <c r="Q635" i="2"/>
  <c r="P635" i="2"/>
  <c r="Q634" i="2"/>
  <c r="P634" i="2"/>
  <c r="Q633" i="2"/>
  <c r="P633" i="2"/>
  <c r="Q632" i="2"/>
  <c r="P632" i="2"/>
  <c r="Q631" i="2"/>
  <c r="P631" i="2"/>
  <c r="Q630" i="2"/>
  <c r="P630" i="2"/>
  <c r="Q629" i="2"/>
  <c r="P629" i="2"/>
  <c r="Q628" i="2"/>
  <c r="P628" i="2"/>
  <c r="Q627" i="2"/>
  <c r="P627" i="2"/>
  <c r="Q626" i="2"/>
  <c r="P626" i="2"/>
  <c r="Q625" i="2"/>
  <c r="P625" i="2"/>
  <c r="Q624" i="2"/>
  <c r="P624" i="2"/>
  <c r="Q623" i="2"/>
  <c r="P623" i="2"/>
  <c r="Q622" i="2"/>
  <c r="P622" i="2"/>
  <c r="Q621" i="2"/>
  <c r="P621" i="2"/>
  <c r="Q620" i="2"/>
  <c r="P620" i="2"/>
  <c r="Q619" i="2"/>
  <c r="P619" i="2"/>
  <c r="Q618" i="2"/>
  <c r="P618" i="2"/>
  <c r="Q617" i="2"/>
  <c r="P617" i="2"/>
  <c r="Q616" i="2"/>
  <c r="P616" i="2"/>
  <c r="Q615" i="2"/>
  <c r="P615" i="2"/>
  <c r="Q614" i="2"/>
  <c r="P614" i="2"/>
  <c r="Q613" i="2"/>
  <c r="P613" i="2"/>
  <c r="Q612" i="2"/>
  <c r="P612" i="2"/>
  <c r="Q611" i="2"/>
  <c r="P611" i="2"/>
  <c r="Q610" i="2"/>
  <c r="P610" i="2"/>
  <c r="Q609" i="2"/>
  <c r="P609" i="2"/>
  <c r="Q608" i="2"/>
  <c r="P608" i="2"/>
  <c r="Q607" i="2"/>
  <c r="P607" i="2"/>
  <c r="Q606" i="2"/>
  <c r="P606" i="2"/>
  <c r="Q605" i="2"/>
  <c r="P605" i="2"/>
  <c r="Q604" i="2"/>
  <c r="P604" i="2"/>
  <c r="Q603" i="2"/>
  <c r="P603" i="2"/>
  <c r="Q602" i="2"/>
  <c r="P602" i="2"/>
  <c r="Q601" i="2"/>
  <c r="P601" i="2"/>
  <c r="Q600" i="2"/>
  <c r="P600" i="2"/>
  <c r="Q599" i="2"/>
  <c r="P599" i="2"/>
  <c r="Q598" i="2"/>
  <c r="P598" i="2"/>
  <c r="Q597" i="2"/>
  <c r="P597" i="2"/>
  <c r="Q596" i="2"/>
  <c r="P596" i="2"/>
  <c r="Q595" i="2"/>
  <c r="P595" i="2"/>
  <c r="Q594" i="2"/>
  <c r="P594" i="2"/>
  <c r="Q593" i="2"/>
  <c r="P593" i="2"/>
  <c r="Q592" i="2"/>
  <c r="P592" i="2"/>
  <c r="Q591" i="2"/>
  <c r="P591" i="2"/>
  <c r="Q590" i="2"/>
  <c r="P590" i="2"/>
  <c r="Q589" i="2"/>
  <c r="P589" i="2"/>
  <c r="Q588" i="2"/>
  <c r="P588" i="2"/>
  <c r="Q587" i="2"/>
  <c r="P587" i="2"/>
  <c r="Q586" i="2"/>
  <c r="P586" i="2"/>
  <c r="Q585" i="2"/>
  <c r="P585" i="2"/>
  <c r="Q584" i="2"/>
  <c r="P584" i="2"/>
  <c r="Q583" i="2"/>
  <c r="P583" i="2"/>
  <c r="Q582" i="2"/>
  <c r="P582" i="2"/>
  <c r="Q581" i="2"/>
  <c r="P581" i="2"/>
  <c r="Q580" i="2"/>
  <c r="P580" i="2"/>
  <c r="Q579" i="2"/>
  <c r="P579" i="2"/>
  <c r="Q578" i="2"/>
  <c r="P578" i="2"/>
  <c r="Q577" i="2"/>
  <c r="P577" i="2"/>
  <c r="Q576" i="2"/>
  <c r="P576" i="2"/>
  <c r="Q575" i="2"/>
  <c r="P575" i="2"/>
  <c r="Q574" i="2"/>
  <c r="P574" i="2"/>
  <c r="Q573" i="2"/>
  <c r="P573" i="2"/>
  <c r="Q572" i="2"/>
  <c r="P572" i="2"/>
  <c r="Q571" i="2"/>
  <c r="P571" i="2"/>
  <c r="Q570" i="2"/>
  <c r="P570" i="2"/>
  <c r="Q569" i="2"/>
  <c r="P569" i="2"/>
  <c r="Q568" i="2"/>
  <c r="P568" i="2"/>
  <c r="Q567" i="2"/>
  <c r="P567" i="2"/>
  <c r="Q566" i="2"/>
  <c r="P566" i="2"/>
  <c r="Q565" i="2"/>
  <c r="P565" i="2"/>
  <c r="Q564" i="2"/>
  <c r="P564" i="2"/>
  <c r="Q563" i="2"/>
  <c r="P563" i="2"/>
  <c r="Q562" i="2"/>
  <c r="P562" i="2"/>
  <c r="Q561" i="2"/>
  <c r="P561" i="2"/>
  <c r="Q560" i="2"/>
  <c r="P560" i="2"/>
  <c r="Q559" i="2"/>
  <c r="P559" i="2"/>
  <c r="Q558" i="2"/>
  <c r="P558" i="2"/>
  <c r="Q557" i="2"/>
  <c r="P557" i="2"/>
  <c r="Q556" i="2"/>
  <c r="P556" i="2"/>
  <c r="Q555" i="2"/>
  <c r="P555" i="2"/>
  <c r="Q554" i="2"/>
  <c r="P554" i="2"/>
  <c r="Q553" i="2"/>
  <c r="P553" i="2"/>
  <c r="Q552" i="2"/>
  <c r="P552" i="2"/>
  <c r="Q551" i="2"/>
  <c r="P551" i="2"/>
  <c r="Q550" i="2"/>
  <c r="P550" i="2"/>
  <c r="Q549" i="2"/>
  <c r="P549" i="2"/>
  <c r="Q548" i="2"/>
  <c r="P548" i="2"/>
  <c r="Q547" i="2"/>
  <c r="P547" i="2"/>
  <c r="Q546" i="2"/>
  <c r="P546" i="2"/>
  <c r="Q545" i="2"/>
  <c r="P545" i="2"/>
  <c r="Q544" i="2"/>
  <c r="P544" i="2"/>
  <c r="Q543" i="2"/>
  <c r="P543" i="2"/>
  <c r="Q542" i="2"/>
  <c r="P542" i="2"/>
  <c r="Q541" i="2"/>
  <c r="P541" i="2"/>
  <c r="Q540" i="2"/>
  <c r="P540" i="2"/>
  <c r="Q539" i="2"/>
  <c r="P539" i="2"/>
  <c r="Q538" i="2"/>
  <c r="P538" i="2"/>
  <c r="Q537" i="2"/>
  <c r="P537" i="2"/>
  <c r="Q536" i="2"/>
  <c r="P536" i="2"/>
  <c r="Q535" i="2"/>
  <c r="P535" i="2"/>
  <c r="Q534" i="2"/>
  <c r="P534" i="2"/>
  <c r="Q533" i="2"/>
  <c r="P533" i="2"/>
  <c r="Q532" i="2"/>
  <c r="P532" i="2"/>
  <c r="Q531" i="2"/>
  <c r="P531" i="2"/>
  <c r="Q530" i="2"/>
  <c r="P530" i="2"/>
  <c r="Q529" i="2"/>
  <c r="P529" i="2"/>
  <c r="Q528" i="2"/>
  <c r="P528" i="2"/>
  <c r="Q527" i="2"/>
  <c r="P527" i="2"/>
  <c r="Q526" i="2"/>
  <c r="P526" i="2"/>
  <c r="Q525" i="2"/>
  <c r="P525" i="2"/>
  <c r="Q524" i="2"/>
  <c r="P524" i="2"/>
  <c r="Q523" i="2"/>
  <c r="P523" i="2"/>
  <c r="Q522" i="2"/>
  <c r="P522" i="2"/>
  <c r="Q521" i="2"/>
  <c r="P521" i="2"/>
  <c r="Q520" i="2"/>
  <c r="P520" i="2"/>
  <c r="Q519" i="2"/>
  <c r="P519" i="2"/>
  <c r="Q518" i="2"/>
  <c r="P518" i="2"/>
  <c r="Q517" i="2"/>
  <c r="P517" i="2"/>
  <c r="Q516" i="2"/>
  <c r="P516" i="2"/>
  <c r="Q515" i="2"/>
  <c r="P515" i="2"/>
  <c r="Q514" i="2"/>
  <c r="P514" i="2"/>
  <c r="Q513" i="2"/>
  <c r="P513" i="2"/>
  <c r="Q512" i="2"/>
  <c r="P512" i="2"/>
  <c r="Q511" i="2"/>
  <c r="P511" i="2"/>
  <c r="Q510" i="2"/>
  <c r="P510" i="2"/>
  <c r="Q509" i="2"/>
  <c r="P509" i="2"/>
  <c r="Q508" i="2"/>
  <c r="P508" i="2"/>
  <c r="Q507" i="2"/>
  <c r="P507" i="2"/>
  <c r="Q506" i="2"/>
  <c r="P506" i="2"/>
  <c r="Q505" i="2"/>
  <c r="P505" i="2"/>
  <c r="Q504" i="2"/>
  <c r="P504" i="2"/>
  <c r="Q503" i="2"/>
  <c r="P503" i="2"/>
  <c r="Q502" i="2"/>
  <c r="P502" i="2"/>
  <c r="Q501" i="2"/>
  <c r="P501" i="2"/>
  <c r="Q500" i="2"/>
  <c r="P500" i="2"/>
  <c r="Q499" i="2"/>
  <c r="P499" i="2"/>
  <c r="Q498" i="2"/>
  <c r="P498" i="2"/>
  <c r="Q497" i="2"/>
  <c r="P497" i="2"/>
  <c r="Q496" i="2"/>
  <c r="P496" i="2"/>
  <c r="Q495" i="2"/>
  <c r="P495" i="2"/>
  <c r="Q494" i="2"/>
  <c r="P494" i="2"/>
  <c r="Q493" i="2"/>
  <c r="P493" i="2"/>
  <c r="Q492" i="2"/>
  <c r="P492" i="2"/>
  <c r="Q491" i="2"/>
  <c r="P491" i="2"/>
  <c r="Q490" i="2"/>
  <c r="P490" i="2"/>
  <c r="Q489" i="2"/>
  <c r="P489" i="2"/>
  <c r="Q488" i="2"/>
  <c r="P488" i="2"/>
  <c r="Q487" i="2"/>
  <c r="P487" i="2"/>
  <c r="Q486" i="2"/>
  <c r="P486" i="2"/>
  <c r="Q485" i="2"/>
  <c r="P485" i="2"/>
  <c r="Q484" i="2"/>
  <c r="P484" i="2"/>
  <c r="Q483" i="2"/>
  <c r="P483" i="2"/>
  <c r="Q482" i="2"/>
  <c r="P482" i="2"/>
  <c r="Q481" i="2"/>
  <c r="P481" i="2"/>
  <c r="Q480" i="2"/>
  <c r="P480" i="2"/>
  <c r="Q479" i="2"/>
  <c r="P479" i="2"/>
  <c r="Q478" i="2"/>
  <c r="P478" i="2"/>
  <c r="Q477" i="2"/>
  <c r="P477" i="2"/>
  <c r="Q476" i="2"/>
  <c r="P476" i="2"/>
  <c r="Q475" i="2"/>
  <c r="P475" i="2"/>
  <c r="Q474" i="2"/>
  <c r="P474" i="2"/>
  <c r="Q473" i="2"/>
  <c r="P473" i="2"/>
  <c r="Q472" i="2"/>
  <c r="P472" i="2"/>
  <c r="Q471" i="2"/>
  <c r="P471" i="2"/>
  <c r="Q470" i="2"/>
  <c r="P470" i="2"/>
  <c r="Q469" i="2"/>
  <c r="P469" i="2"/>
  <c r="Q468" i="2"/>
  <c r="P468" i="2"/>
  <c r="Q467" i="2"/>
  <c r="P467" i="2"/>
  <c r="Q466" i="2"/>
  <c r="P466" i="2"/>
  <c r="Q465" i="2"/>
  <c r="P465" i="2"/>
  <c r="Q464" i="2"/>
  <c r="P464" i="2"/>
  <c r="Q463" i="2"/>
  <c r="P463" i="2"/>
  <c r="Q462" i="2"/>
  <c r="P462" i="2"/>
  <c r="Q461" i="2"/>
  <c r="P461" i="2"/>
  <c r="Q460" i="2"/>
  <c r="P460" i="2"/>
  <c r="Q459" i="2"/>
  <c r="P459" i="2"/>
  <c r="Q458" i="2"/>
  <c r="P458" i="2"/>
  <c r="Q457" i="2"/>
  <c r="P457" i="2"/>
  <c r="Q456" i="2"/>
  <c r="P456" i="2"/>
  <c r="Q455" i="2"/>
  <c r="P455" i="2"/>
  <c r="Q454" i="2"/>
  <c r="P454" i="2"/>
  <c r="Q453" i="2"/>
  <c r="P453" i="2"/>
  <c r="Q452" i="2"/>
  <c r="P452" i="2"/>
  <c r="Q451" i="2"/>
  <c r="P451" i="2"/>
  <c r="Q450" i="2"/>
  <c r="P450" i="2"/>
  <c r="Q449" i="2"/>
  <c r="P449" i="2"/>
  <c r="Q448" i="2"/>
  <c r="P448" i="2"/>
  <c r="Q447" i="2"/>
  <c r="P447" i="2"/>
  <c r="Q446" i="2"/>
  <c r="P446" i="2"/>
  <c r="Q445" i="2"/>
  <c r="P445" i="2"/>
  <c r="Q444" i="2"/>
  <c r="P444" i="2"/>
  <c r="Q443" i="2"/>
  <c r="P443" i="2"/>
  <c r="Q442" i="2"/>
  <c r="P442" i="2"/>
  <c r="Q441" i="2"/>
  <c r="P441" i="2"/>
  <c r="Q440" i="2"/>
  <c r="P440" i="2"/>
  <c r="Q439" i="2"/>
  <c r="P439" i="2"/>
  <c r="Q438" i="2"/>
  <c r="P438" i="2"/>
  <c r="Q437" i="2"/>
  <c r="P437" i="2"/>
  <c r="Q436" i="2"/>
  <c r="P436" i="2"/>
  <c r="Q435" i="2"/>
  <c r="P435" i="2"/>
  <c r="Q434" i="2"/>
  <c r="P434" i="2"/>
  <c r="Q433" i="2"/>
  <c r="P433" i="2"/>
  <c r="Q432" i="2"/>
  <c r="P432" i="2"/>
  <c r="Q431" i="2"/>
  <c r="P431" i="2"/>
  <c r="Q430" i="2"/>
  <c r="P430" i="2"/>
  <c r="Q429" i="2"/>
  <c r="P429" i="2"/>
  <c r="Q428" i="2"/>
  <c r="P428" i="2"/>
  <c r="Q427" i="2"/>
  <c r="P427" i="2"/>
  <c r="Q426" i="2"/>
  <c r="P426" i="2"/>
  <c r="Q425" i="2"/>
  <c r="P425" i="2"/>
  <c r="Q424" i="2"/>
  <c r="P424" i="2"/>
  <c r="Q423" i="2"/>
  <c r="P423" i="2"/>
  <c r="Q422" i="2"/>
  <c r="P422" i="2"/>
  <c r="Q421" i="2"/>
  <c r="P421" i="2"/>
  <c r="Q420" i="2"/>
  <c r="P420" i="2"/>
  <c r="Q419" i="2"/>
  <c r="P419" i="2"/>
  <c r="Q418" i="2"/>
  <c r="P418" i="2"/>
  <c r="Q417" i="2"/>
  <c r="P417" i="2"/>
  <c r="Q416" i="2"/>
  <c r="P416" i="2"/>
  <c r="Q415" i="2"/>
  <c r="P415" i="2"/>
  <c r="Q414" i="2"/>
  <c r="P414" i="2"/>
  <c r="Q413" i="2"/>
  <c r="P413" i="2"/>
  <c r="Q412" i="2"/>
  <c r="P412" i="2"/>
  <c r="Q411" i="2"/>
  <c r="P411" i="2"/>
  <c r="Q410" i="2"/>
  <c r="P410" i="2"/>
  <c r="Q409" i="2"/>
  <c r="P409" i="2"/>
  <c r="Q408" i="2"/>
  <c r="P408" i="2"/>
  <c r="Q407" i="2"/>
  <c r="P407" i="2"/>
  <c r="Q406" i="2"/>
  <c r="P406" i="2"/>
  <c r="Q405" i="2"/>
  <c r="P405" i="2"/>
  <c r="Q404" i="2"/>
  <c r="P404" i="2"/>
  <c r="Q403" i="2"/>
  <c r="P403" i="2"/>
  <c r="Q402" i="2"/>
  <c r="P402" i="2"/>
  <c r="Q401" i="2"/>
  <c r="P401" i="2"/>
  <c r="Q400" i="2"/>
  <c r="P400" i="2"/>
  <c r="Q399" i="2"/>
  <c r="P399" i="2"/>
  <c r="Q398" i="2"/>
  <c r="P398" i="2"/>
  <c r="Q397" i="2"/>
  <c r="P397" i="2"/>
  <c r="Q396" i="2"/>
  <c r="P396" i="2"/>
  <c r="Q395" i="2"/>
  <c r="P395" i="2"/>
  <c r="Q394" i="2"/>
  <c r="P394" i="2"/>
  <c r="Q393" i="2"/>
  <c r="P393" i="2"/>
  <c r="Q392" i="2"/>
  <c r="P392" i="2"/>
  <c r="Q391" i="2"/>
  <c r="P391" i="2"/>
  <c r="Q390" i="2"/>
  <c r="P390" i="2"/>
  <c r="Q389" i="2"/>
  <c r="P389" i="2"/>
  <c r="Q388" i="2"/>
  <c r="P388" i="2"/>
  <c r="Q387" i="2"/>
  <c r="P387" i="2"/>
  <c r="Q386" i="2"/>
  <c r="P386" i="2"/>
  <c r="Q385" i="2"/>
  <c r="P385" i="2"/>
  <c r="Q384" i="2"/>
  <c r="P384" i="2"/>
  <c r="Q383" i="2"/>
  <c r="P383" i="2"/>
  <c r="Q382" i="2"/>
  <c r="P382" i="2"/>
  <c r="Q381" i="2"/>
  <c r="P381" i="2"/>
  <c r="Q380" i="2"/>
  <c r="P380" i="2"/>
  <c r="Q379" i="2"/>
  <c r="P379" i="2"/>
  <c r="Q378" i="2"/>
  <c r="P378" i="2"/>
  <c r="Q377" i="2"/>
  <c r="P377" i="2"/>
  <c r="Q376" i="2"/>
  <c r="P376" i="2"/>
  <c r="Q375" i="2"/>
  <c r="P375" i="2"/>
  <c r="Q374" i="2"/>
  <c r="P374" i="2"/>
  <c r="Q373" i="2"/>
  <c r="P373" i="2"/>
  <c r="Q372" i="2"/>
  <c r="P372" i="2"/>
  <c r="Q371" i="2"/>
  <c r="P371" i="2"/>
  <c r="Q370" i="2"/>
  <c r="P370" i="2"/>
  <c r="Q369" i="2"/>
  <c r="P369" i="2"/>
  <c r="Q368" i="2"/>
  <c r="P368" i="2"/>
  <c r="Q367" i="2"/>
  <c r="P367" i="2"/>
  <c r="Q366" i="2"/>
  <c r="P366" i="2"/>
  <c r="Q365" i="2"/>
  <c r="P365" i="2"/>
  <c r="Q364" i="2"/>
  <c r="P364" i="2"/>
  <c r="Q363" i="2"/>
  <c r="P363" i="2"/>
  <c r="Q362" i="2"/>
  <c r="P362" i="2"/>
  <c r="Q361" i="2"/>
  <c r="P361" i="2"/>
  <c r="Q360" i="2"/>
  <c r="P360" i="2"/>
  <c r="Q359" i="2"/>
  <c r="P359" i="2"/>
  <c r="Q358" i="2"/>
  <c r="P358" i="2"/>
  <c r="Q357" i="2"/>
  <c r="P357" i="2"/>
  <c r="Q356" i="2"/>
  <c r="P356" i="2"/>
  <c r="Q355" i="2"/>
  <c r="P355" i="2"/>
  <c r="Q354" i="2"/>
  <c r="P354" i="2"/>
  <c r="Q353" i="2"/>
  <c r="P353" i="2"/>
  <c r="Q352" i="2"/>
  <c r="P352" i="2"/>
  <c r="Q351" i="2"/>
  <c r="P351" i="2"/>
  <c r="Q350" i="2"/>
  <c r="P350" i="2"/>
  <c r="Q349" i="2"/>
  <c r="P349" i="2"/>
  <c r="Q348" i="2"/>
  <c r="P348" i="2"/>
  <c r="Q347" i="2"/>
  <c r="P347" i="2"/>
  <c r="Q346" i="2"/>
  <c r="P346" i="2"/>
  <c r="Q345" i="2"/>
  <c r="P345" i="2"/>
  <c r="Q344" i="2"/>
  <c r="P344" i="2"/>
  <c r="Q343" i="2"/>
  <c r="P343" i="2"/>
  <c r="Q342" i="2"/>
  <c r="P342" i="2"/>
  <c r="Q341" i="2"/>
  <c r="P341" i="2"/>
  <c r="Q340" i="2"/>
  <c r="P340" i="2"/>
  <c r="Q339" i="2"/>
  <c r="P339" i="2"/>
  <c r="Q338" i="2"/>
  <c r="P338" i="2"/>
  <c r="Q337" i="2"/>
  <c r="P337" i="2"/>
  <c r="Q336" i="2"/>
  <c r="P336" i="2"/>
  <c r="Q335" i="2"/>
  <c r="P335" i="2"/>
  <c r="Q334" i="2"/>
  <c r="P334" i="2"/>
  <c r="Q333" i="2"/>
  <c r="P333" i="2"/>
  <c r="Q332" i="2"/>
  <c r="P332" i="2"/>
  <c r="Q331" i="2"/>
  <c r="P331" i="2"/>
  <c r="Q330" i="2"/>
  <c r="P330" i="2"/>
  <c r="Q329" i="2"/>
  <c r="P329" i="2"/>
  <c r="Q328" i="2"/>
  <c r="P328" i="2"/>
  <c r="Q327" i="2"/>
  <c r="P327" i="2"/>
  <c r="Q326" i="2"/>
  <c r="P326" i="2"/>
  <c r="Q325" i="2"/>
  <c r="P325" i="2"/>
  <c r="Q324" i="2"/>
  <c r="P324" i="2"/>
  <c r="Q323" i="2"/>
  <c r="P323" i="2"/>
  <c r="Q322" i="2"/>
  <c r="P322" i="2"/>
  <c r="Q321" i="2"/>
  <c r="P321" i="2"/>
  <c r="Q320" i="2"/>
  <c r="P320" i="2"/>
  <c r="Q319" i="2"/>
  <c r="P319" i="2"/>
  <c r="Q318" i="2"/>
  <c r="P318" i="2"/>
  <c r="Q317" i="2"/>
  <c r="P317" i="2"/>
  <c r="Q316" i="2"/>
  <c r="P316" i="2"/>
  <c r="Q315" i="2"/>
  <c r="P315" i="2"/>
  <c r="Q314" i="2"/>
  <c r="P314" i="2"/>
  <c r="Q313" i="2"/>
  <c r="P313" i="2"/>
  <c r="Q312" i="2"/>
  <c r="P312" i="2"/>
  <c r="Q311" i="2"/>
  <c r="P311" i="2"/>
  <c r="Q310" i="2"/>
  <c r="P310" i="2"/>
  <c r="Q309" i="2"/>
  <c r="P309" i="2"/>
  <c r="Q308" i="2"/>
  <c r="P308" i="2"/>
  <c r="Q307" i="2"/>
  <c r="P307" i="2"/>
  <c r="Q306" i="2"/>
  <c r="P306" i="2"/>
  <c r="Q305" i="2"/>
  <c r="P305" i="2"/>
  <c r="Q304" i="2"/>
  <c r="P304" i="2"/>
  <c r="Q303" i="2"/>
  <c r="P303" i="2"/>
  <c r="Q302" i="2"/>
  <c r="P302" i="2"/>
  <c r="Q301" i="2"/>
  <c r="P301" i="2"/>
  <c r="Q300" i="2"/>
  <c r="P300" i="2"/>
  <c r="Q299" i="2"/>
  <c r="P299" i="2"/>
  <c r="Q298" i="2"/>
  <c r="P298" i="2"/>
  <c r="Q297" i="2"/>
  <c r="P297" i="2"/>
  <c r="Q296" i="2"/>
  <c r="P296" i="2"/>
  <c r="Q295" i="2"/>
  <c r="P295" i="2"/>
  <c r="Q294" i="2"/>
  <c r="P294" i="2"/>
  <c r="Q293" i="2"/>
  <c r="P293" i="2"/>
  <c r="Q292" i="2"/>
  <c r="P292" i="2"/>
  <c r="Q291" i="2"/>
  <c r="P291" i="2"/>
  <c r="Q290" i="2"/>
  <c r="P290" i="2"/>
  <c r="Q289" i="2"/>
  <c r="P289" i="2"/>
  <c r="Q288" i="2"/>
  <c r="P288" i="2"/>
  <c r="Q287" i="2"/>
  <c r="P287" i="2"/>
  <c r="Q286" i="2"/>
  <c r="P286" i="2"/>
  <c r="Q285" i="2"/>
  <c r="P285" i="2"/>
  <c r="Q284" i="2"/>
  <c r="P284" i="2"/>
  <c r="Q283" i="2"/>
  <c r="P283" i="2"/>
  <c r="Q282" i="2"/>
  <c r="P282" i="2"/>
  <c r="Q281" i="2"/>
  <c r="P281" i="2"/>
  <c r="Q280" i="2"/>
  <c r="P280" i="2"/>
  <c r="Q279" i="2"/>
  <c r="P279" i="2"/>
  <c r="Q278" i="2"/>
  <c r="P278" i="2"/>
  <c r="Q277" i="2"/>
  <c r="P277" i="2"/>
  <c r="Q276" i="2"/>
  <c r="P276" i="2"/>
  <c r="Q275" i="2"/>
  <c r="P275" i="2"/>
  <c r="Q274" i="2"/>
  <c r="P274" i="2"/>
  <c r="Q273" i="2"/>
  <c r="P273" i="2"/>
  <c r="Q272" i="2"/>
  <c r="P272" i="2"/>
  <c r="Q271" i="2"/>
  <c r="P271" i="2"/>
  <c r="Q270" i="2"/>
  <c r="P270" i="2"/>
  <c r="Q269" i="2"/>
  <c r="P269" i="2"/>
  <c r="Q268" i="2"/>
  <c r="P268" i="2"/>
  <c r="Q267" i="2"/>
  <c r="P267" i="2"/>
  <c r="Q266" i="2"/>
  <c r="P266" i="2"/>
  <c r="Q265" i="2"/>
  <c r="P265" i="2"/>
  <c r="Q264" i="2"/>
  <c r="P264" i="2"/>
  <c r="Q263" i="2"/>
  <c r="P263" i="2"/>
  <c r="Q262" i="2"/>
  <c r="P262" i="2"/>
  <c r="Q261" i="2"/>
  <c r="P261" i="2"/>
  <c r="Q260" i="2"/>
  <c r="P260" i="2"/>
  <c r="Q259" i="2"/>
  <c r="P259" i="2"/>
  <c r="Q258" i="2"/>
  <c r="P258" i="2"/>
  <c r="Q257" i="2"/>
  <c r="P257" i="2"/>
  <c r="Q256" i="2"/>
  <c r="P256" i="2"/>
  <c r="Q255" i="2"/>
  <c r="P255" i="2"/>
  <c r="Q254" i="2"/>
  <c r="P254" i="2"/>
  <c r="Q253" i="2"/>
  <c r="P253" i="2"/>
  <c r="Q252" i="2"/>
  <c r="P252" i="2"/>
  <c r="Q251" i="2"/>
  <c r="P251" i="2"/>
  <c r="Q250" i="2"/>
  <c r="P250" i="2"/>
  <c r="Q249" i="2"/>
  <c r="P249" i="2"/>
  <c r="Q248" i="2"/>
  <c r="P248" i="2"/>
  <c r="Q247" i="2"/>
  <c r="P247" i="2"/>
  <c r="Q246" i="2"/>
  <c r="P246" i="2"/>
  <c r="Q245" i="2"/>
  <c r="P245" i="2"/>
  <c r="Q244" i="2"/>
  <c r="P244" i="2"/>
  <c r="Q243" i="2"/>
  <c r="P243" i="2"/>
  <c r="Q242" i="2"/>
  <c r="P242" i="2"/>
  <c r="Q241" i="2"/>
  <c r="P241" i="2"/>
  <c r="Q240" i="2"/>
  <c r="P240" i="2"/>
  <c r="Q239" i="2"/>
  <c r="P239" i="2"/>
  <c r="Q238" i="2"/>
  <c r="P238" i="2"/>
  <c r="Q237" i="2"/>
  <c r="P237" i="2"/>
  <c r="Q236" i="2"/>
  <c r="P236" i="2"/>
  <c r="Q235" i="2"/>
  <c r="P235" i="2"/>
  <c r="Q234" i="2"/>
  <c r="P234" i="2"/>
  <c r="Q233" i="2"/>
  <c r="P233" i="2"/>
  <c r="Q232" i="2"/>
  <c r="P232" i="2"/>
  <c r="Q231" i="2"/>
  <c r="P231" i="2"/>
  <c r="Q230" i="2"/>
  <c r="P230" i="2"/>
  <c r="Q229" i="2"/>
  <c r="P229" i="2"/>
  <c r="Q228" i="2"/>
  <c r="P228" i="2"/>
  <c r="Q227" i="2"/>
  <c r="P227" i="2"/>
  <c r="Q226" i="2"/>
  <c r="P226" i="2"/>
  <c r="Q225" i="2"/>
  <c r="P225" i="2"/>
  <c r="Q224" i="2"/>
  <c r="P224" i="2"/>
  <c r="Q223" i="2"/>
  <c r="P223" i="2"/>
  <c r="Q222" i="2"/>
  <c r="P222" i="2"/>
  <c r="Q221" i="2"/>
  <c r="P221" i="2"/>
  <c r="Q220" i="2"/>
  <c r="P220" i="2"/>
  <c r="Q219" i="2"/>
  <c r="P219" i="2"/>
  <c r="Q218" i="2"/>
  <c r="P218" i="2"/>
  <c r="Q217" i="2"/>
  <c r="P217" i="2"/>
  <c r="Q216" i="2"/>
  <c r="P216" i="2"/>
  <c r="Q215" i="2"/>
  <c r="P215" i="2"/>
  <c r="Q214" i="2"/>
  <c r="P214" i="2"/>
  <c r="Q213" i="2"/>
  <c r="P213" i="2"/>
  <c r="Q212" i="2"/>
  <c r="P212" i="2"/>
  <c r="Q211" i="2"/>
  <c r="P211" i="2"/>
  <c r="Q210" i="2"/>
  <c r="P210" i="2"/>
  <c r="Q209" i="2"/>
  <c r="P209" i="2"/>
  <c r="Q208" i="2"/>
  <c r="P208" i="2"/>
  <c r="Q207" i="2"/>
  <c r="P207" i="2"/>
  <c r="Q206" i="2"/>
  <c r="P206" i="2"/>
  <c r="Q205" i="2"/>
  <c r="P205" i="2"/>
  <c r="Q204" i="2"/>
  <c r="P204" i="2"/>
  <c r="Q203" i="2"/>
  <c r="P203" i="2"/>
  <c r="Q202" i="2"/>
  <c r="P202" i="2"/>
  <c r="Q201" i="2"/>
  <c r="P201" i="2"/>
  <c r="Q200" i="2"/>
  <c r="P200" i="2"/>
  <c r="Q199" i="2"/>
  <c r="P199" i="2"/>
  <c r="Q198" i="2"/>
  <c r="P198" i="2"/>
  <c r="Q197" i="2"/>
  <c r="P197" i="2"/>
  <c r="Q196" i="2"/>
  <c r="P196" i="2"/>
  <c r="Q195" i="2"/>
  <c r="P195" i="2"/>
  <c r="Q194" i="2"/>
  <c r="P194" i="2"/>
  <c r="Q193" i="2"/>
  <c r="P193" i="2"/>
  <c r="Q192" i="2"/>
  <c r="P192" i="2"/>
  <c r="Q191" i="2"/>
  <c r="P191" i="2"/>
  <c r="Q190" i="2"/>
  <c r="P190" i="2"/>
  <c r="Q189" i="2"/>
  <c r="P189" i="2"/>
  <c r="Q188" i="2"/>
  <c r="P188" i="2"/>
  <c r="Q187" i="2"/>
  <c r="P187" i="2"/>
  <c r="Q186" i="2"/>
  <c r="P186" i="2"/>
  <c r="Q185" i="2"/>
  <c r="P185" i="2"/>
  <c r="Q184" i="2"/>
  <c r="P184" i="2"/>
  <c r="Q183" i="2"/>
  <c r="P183" i="2"/>
  <c r="Q182" i="2"/>
  <c r="P182" i="2"/>
  <c r="Q181" i="2"/>
  <c r="P181" i="2"/>
  <c r="Q180" i="2"/>
  <c r="P180" i="2"/>
  <c r="Q179" i="2"/>
  <c r="P179" i="2"/>
  <c r="Q178" i="2"/>
  <c r="P178" i="2"/>
  <c r="Q177" i="2"/>
  <c r="P177" i="2"/>
  <c r="Q176" i="2"/>
  <c r="P176" i="2"/>
  <c r="Q175" i="2"/>
  <c r="P175" i="2"/>
  <c r="Q174" i="2"/>
  <c r="P174" i="2"/>
  <c r="Q173" i="2"/>
  <c r="P173" i="2"/>
  <c r="Q172" i="2"/>
  <c r="P172" i="2"/>
  <c r="Q171" i="2"/>
  <c r="P171" i="2"/>
  <c r="Q170" i="2"/>
  <c r="P170" i="2"/>
  <c r="Q169" i="2"/>
  <c r="P169" i="2"/>
  <c r="Q168" i="2"/>
  <c r="P168" i="2"/>
  <c r="Q167" i="2"/>
  <c r="P167" i="2"/>
  <c r="Q166" i="2"/>
  <c r="P166" i="2"/>
  <c r="Q165" i="2"/>
  <c r="P165" i="2"/>
  <c r="Q164" i="2"/>
  <c r="P164" i="2"/>
  <c r="Q163" i="2"/>
  <c r="P163" i="2"/>
  <c r="Q162" i="2"/>
  <c r="P162" i="2"/>
  <c r="Q161" i="2"/>
  <c r="P161" i="2"/>
  <c r="Q160" i="2"/>
  <c r="P160" i="2"/>
  <c r="Q159" i="2"/>
  <c r="P159" i="2"/>
  <c r="Q158" i="2"/>
  <c r="P158" i="2"/>
  <c r="Q157" i="2"/>
  <c r="P157" i="2"/>
  <c r="Q156" i="2"/>
  <c r="P156" i="2"/>
  <c r="Q155" i="2"/>
  <c r="P155" i="2"/>
  <c r="Q154" i="2"/>
  <c r="P154" i="2"/>
  <c r="Q153" i="2"/>
  <c r="P153" i="2"/>
  <c r="Q152" i="2"/>
  <c r="P152" i="2"/>
  <c r="Q151" i="2"/>
  <c r="P151" i="2"/>
  <c r="Q150" i="2"/>
  <c r="P150" i="2"/>
  <c r="Q149" i="2"/>
  <c r="P149" i="2"/>
  <c r="Q148" i="2"/>
  <c r="P148" i="2"/>
  <c r="Q147" i="2"/>
  <c r="P147" i="2"/>
  <c r="Q146" i="2"/>
  <c r="P146" i="2"/>
  <c r="Q145" i="2"/>
  <c r="P145" i="2"/>
  <c r="Q144" i="2"/>
  <c r="P144" i="2"/>
  <c r="Q143" i="2"/>
  <c r="P143" i="2"/>
  <c r="Q142" i="2"/>
  <c r="P142" i="2"/>
  <c r="Q141" i="2"/>
  <c r="P141" i="2"/>
  <c r="Q140" i="2"/>
  <c r="P140" i="2"/>
  <c r="Q139" i="2"/>
  <c r="P139" i="2"/>
  <c r="Q138" i="2"/>
  <c r="P138" i="2"/>
  <c r="Q137" i="2"/>
  <c r="P137" i="2"/>
  <c r="Q136" i="2"/>
  <c r="P136" i="2"/>
  <c r="Q135" i="2"/>
  <c r="P135" i="2"/>
  <c r="Q134" i="2"/>
  <c r="P134" i="2"/>
  <c r="Q133" i="2"/>
  <c r="P133" i="2"/>
  <c r="Q132" i="2"/>
  <c r="P132" i="2"/>
  <c r="Q131" i="2"/>
  <c r="P131" i="2"/>
  <c r="Q130" i="2"/>
  <c r="P130" i="2"/>
  <c r="Q129" i="2"/>
  <c r="P129" i="2"/>
  <c r="Q128" i="2"/>
  <c r="P128" i="2"/>
  <c r="Q127" i="2"/>
  <c r="P127" i="2"/>
  <c r="Q126" i="2"/>
  <c r="P126" i="2"/>
  <c r="Q125" i="2"/>
  <c r="P125" i="2"/>
  <c r="Q124" i="2"/>
  <c r="P124" i="2"/>
  <c r="Q123" i="2"/>
  <c r="P123" i="2"/>
  <c r="Q122" i="2"/>
  <c r="P122" i="2"/>
  <c r="Q121" i="2"/>
  <c r="P121" i="2"/>
  <c r="Q120" i="2"/>
  <c r="P120" i="2"/>
  <c r="Q119" i="2"/>
  <c r="P119" i="2"/>
  <c r="Q118" i="2"/>
  <c r="P118" i="2"/>
  <c r="Q117" i="2"/>
  <c r="P117" i="2"/>
  <c r="Q116" i="2"/>
  <c r="P116" i="2"/>
  <c r="Q115" i="2"/>
  <c r="P115" i="2"/>
  <c r="Q114" i="2"/>
  <c r="P114" i="2"/>
  <c r="Q113" i="2"/>
  <c r="P113" i="2"/>
  <c r="Q112" i="2"/>
  <c r="P112" i="2"/>
  <c r="Q111" i="2"/>
  <c r="P111" i="2"/>
  <c r="Q110" i="2"/>
  <c r="P110" i="2"/>
  <c r="Q109" i="2"/>
  <c r="P109" i="2"/>
  <c r="Q108" i="2"/>
  <c r="P108" i="2"/>
  <c r="Q107" i="2"/>
  <c r="P107" i="2"/>
  <c r="Q106" i="2"/>
  <c r="P106" i="2"/>
  <c r="Q105" i="2"/>
  <c r="P105" i="2"/>
  <c r="Q104" i="2"/>
  <c r="P104" i="2"/>
  <c r="Q103" i="2"/>
  <c r="P103" i="2"/>
  <c r="Q102" i="2"/>
  <c r="P102" i="2"/>
  <c r="Q101" i="2"/>
  <c r="P101" i="2"/>
  <c r="Q100" i="2"/>
  <c r="P100" i="2"/>
  <c r="Q99" i="2"/>
  <c r="P99" i="2"/>
  <c r="Q98" i="2"/>
  <c r="P98" i="2"/>
  <c r="Q97" i="2"/>
  <c r="P97" i="2"/>
  <c r="Q96" i="2"/>
  <c r="P96" i="2"/>
  <c r="Q95" i="2"/>
  <c r="P95" i="2"/>
  <c r="Q94" i="2"/>
  <c r="P94" i="2"/>
  <c r="Q93" i="2"/>
  <c r="P93" i="2"/>
  <c r="Q92" i="2"/>
  <c r="P92" i="2"/>
  <c r="Q91" i="2"/>
  <c r="P91" i="2"/>
  <c r="Q90" i="2"/>
  <c r="P90" i="2"/>
  <c r="Q89" i="2"/>
  <c r="P89" i="2"/>
  <c r="Q88" i="2"/>
  <c r="P88" i="2"/>
  <c r="Q87" i="2"/>
  <c r="P87" i="2"/>
  <c r="Q86" i="2"/>
  <c r="P86" i="2"/>
  <c r="Q85" i="2"/>
  <c r="P85" i="2"/>
  <c r="Q84" i="2"/>
  <c r="P84" i="2"/>
  <c r="Q83" i="2"/>
  <c r="P83" i="2"/>
  <c r="Q82" i="2"/>
  <c r="P82" i="2"/>
  <c r="Q81" i="2"/>
  <c r="P81" i="2"/>
  <c r="Q80" i="2"/>
  <c r="P80" i="2"/>
  <c r="Q79" i="2"/>
  <c r="P79" i="2"/>
  <c r="Q78" i="2"/>
  <c r="P78" i="2"/>
  <c r="Q77" i="2"/>
  <c r="P77" i="2"/>
  <c r="Q76" i="2"/>
  <c r="P76" i="2"/>
  <c r="Q75" i="2"/>
  <c r="P75" i="2"/>
  <c r="Q74" i="2"/>
  <c r="P74" i="2"/>
  <c r="Q73" i="2"/>
  <c r="P73" i="2"/>
  <c r="Q72" i="2"/>
  <c r="P72" i="2"/>
  <c r="Q71" i="2"/>
  <c r="P71" i="2"/>
  <c r="Q70" i="2"/>
  <c r="P70" i="2"/>
  <c r="Q69" i="2"/>
  <c r="P69" i="2"/>
  <c r="Q68" i="2"/>
  <c r="P68" i="2"/>
  <c r="Q67" i="2"/>
  <c r="P67" i="2"/>
  <c r="Q66" i="2"/>
  <c r="P66" i="2"/>
  <c r="Q65" i="2"/>
  <c r="P65" i="2"/>
  <c r="Q64" i="2"/>
  <c r="P64" i="2"/>
  <c r="Q63" i="2"/>
  <c r="P63" i="2"/>
  <c r="Q62" i="2"/>
  <c r="P62" i="2"/>
  <c r="Q61" i="2"/>
  <c r="P61" i="2"/>
  <c r="Q60" i="2"/>
  <c r="P60" i="2"/>
  <c r="Q59" i="2"/>
  <c r="P59" i="2"/>
  <c r="Q58" i="2"/>
  <c r="P58" i="2"/>
  <c r="Q57" i="2"/>
  <c r="P57" i="2"/>
  <c r="Q56" i="2"/>
  <c r="P56" i="2"/>
  <c r="Q55" i="2"/>
  <c r="P55" i="2"/>
  <c r="Q54" i="2"/>
  <c r="P54" i="2"/>
  <c r="Q53" i="2"/>
  <c r="P53" i="2"/>
  <c r="Q52" i="2"/>
  <c r="P52" i="2"/>
  <c r="Q51" i="2"/>
  <c r="P51" i="2"/>
  <c r="Q50" i="2"/>
  <c r="P50" i="2"/>
  <c r="Q49" i="2"/>
  <c r="P49" i="2"/>
  <c r="Q48" i="2"/>
  <c r="P48" i="2"/>
  <c r="Q47" i="2"/>
  <c r="P47" i="2"/>
  <c r="Q46" i="2"/>
  <c r="P46" i="2"/>
  <c r="Q45" i="2"/>
  <c r="P45" i="2"/>
  <c r="Q44" i="2"/>
  <c r="P44" i="2"/>
  <c r="Q43" i="2"/>
  <c r="P43" i="2"/>
  <c r="Q42" i="2"/>
  <c r="P42" i="2"/>
  <c r="Q41" i="2"/>
  <c r="P41" i="2"/>
  <c r="Q40" i="2"/>
  <c r="P40" i="2"/>
  <c r="Q39" i="2"/>
  <c r="P39" i="2"/>
  <c r="Q38" i="2"/>
  <c r="P38" i="2"/>
  <c r="Q37" i="2"/>
  <c r="P37" i="2"/>
  <c r="Q36" i="2"/>
  <c r="P36" i="2"/>
  <c r="Q35" i="2"/>
  <c r="P35" i="2"/>
  <c r="Q34" i="2"/>
  <c r="P34" i="2"/>
  <c r="Q33" i="2"/>
  <c r="P33" i="2"/>
  <c r="Q32" i="2"/>
  <c r="P32" i="2"/>
  <c r="Q31" i="2"/>
  <c r="P31" i="2"/>
  <c r="Q30" i="2"/>
  <c r="P30" i="2"/>
  <c r="Q29" i="2"/>
  <c r="P29" i="2"/>
  <c r="Q28" i="2"/>
  <c r="P28" i="2"/>
  <c r="Q27" i="2"/>
  <c r="P27" i="2"/>
  <c r="Q26" i="2"/>
  <c r="P26" i="2"/>
  <c r="Q25" i="2"/>
  <c r="P25" i="2"/>
  <c r="Q24" i="2"/>
  <c r="P24" i="2"/>
  <c r="Q23" i="2"/>
  <c r="P23" i="2"/>
  <c r="Q22" i="2"/>
  <c r="P22" i="2"/>
  <c r="Q21" i="2"/>
  <c r="P21" i="2"/>
  <c r="Q20" i="2"/>
  <c r="P20" i="2"/>
  <c r="Q19" i="2"/>
  <c r="P19" i="2"/>
  <c r="Q18" i="2"/>
  <c r="P18" i="2"/>
  <c r="Q17" i="2"/>
  <c r="P17" i="2"/>
  <c r="Q16" i="2"/>
  <c r="P16" i="2"/>
  <c r="Q15" i="2"/>
  <c r="P15" i="2"/>
  <c r="Q14" i="2"/>
  <c r="P14" i="2"/>
  <c r="Q13" i="2"/>
  <c r="P13" i="2"/>
  <c r="Q12" i="2"/>
  <c r="P12" i="2"/>
  <c r="O2" i="2"/>
  <c r="K2" i="2"/>
  <c r="N2" i="2"/>
  <c r="N4" i="2" s="1"/>
  <c r="M2" i="2"/>
  <c r="M4" i="2" s="1"/>
  <c r="J2" i="2"/>
  <c r="I2" i="2"/>
  <c r="I2" i="1"/>
  <c r="P13" i="1"/>
  <c r="Q13" i="1"/>
  <c r="P14" i="1"/>
  <c r="Q14" i="1"/>
  <c r="P15" i="1"/>
  <c r="Q15" i="1"/>
  <c r="P16" i="1"/>
  <c r="Q16" i="1"/>
  <c r="P17" i="1"/>
  <c r="Q17" i="1"/>
  <c r="P18" i="1"/>
  <c r="Q18" i="1"/>
  <c r="P19" i="1"/>
  <c r="Q19" i="1"/>
  <c r="P20" i="1"/>
  <c r="Q20" i="1"/>
  <c r="P21" i="1"/>
  <c r="Q21" i="1"/>
  <c r="P22" i="1"/>
  <c r="Q22" i="1"/>
  <c r="P23" i="1"/>
  <c r="Q23" i="1"/>
  <c r="P24" i="1"/>
  <c r="Q24" i="1"/>
  <c r="P25" i="1"/>
  <c r="Q25" i="1"/>
  <c r="P26" i="1"/>
  <c r="Q26" i="1"/>
  <c r="P27" i="1"/>
  <c r="Q27" i="1"/>
  <c r="P28" i="1"/>
  <c r="Q28" i="1"/>
  <c r="P29" i="1"/>
  <c r="Q29" i="1"/>
  <c r="P30" i="1"/>
  <c r="Q30" i="1"/>
  <c r="P31" i="1"/>
  <c r="Q31" i="1"/>
  <c r="P32" i="1"/>
  <c r="Q32" i="1"/>
  <c r="P33" i="1"/>
  <c r="Q33" i="1"/>
  <c r="P34" i="1"/>
  <c r="Q34" i="1"/>
  <c r="P35" i="1"/>
  <c r="Q35" i="1"/>
  <c r="P36" i="1"/>
  <c r="Q36" i="1"/>
  <c r="P37" i="1"/>
  <c r="Q37" i="1"/>
  <c r="P38" i="1"/>
  <c r="Q38" i="1"/>
  <c r="P39" i="1"/>
  <c r="Q39" i="1"/>
  <c r="P40" i="1"/>
  <c r="Q40" i="1"/>
  <c r="P41" i="1"/>
  <c r="Q41" i="1"/>
  <c r="P42" i="1"/>
  <c r="Q42" i="1"/>
  <c r="P43" i="1"/>
  <c r="Q43" i="1"/>
  <c r="P44" i="1"/>
  <c r="Q44" i="1"/>
  <c r="P45" i="1"/>
  <c r="Q45" i="1"/>
  <c r="P46" i="1"/>
  <c r="Q46" i="1"/>
  <c r="P47" i="1"/>
  <c r="Q47" i="1"/>
  <c r="P48" i="1"/>
  <c r="Q48" i="1"/>
  <c r="P49" i="1"/>
  <c r="Q49" i="1"/>
  <c r="P50" i="1"/>
  <c r="Q50" i="1"/>
  <c r="P51" i="1"/>
  <c r="Q51" i="1"/>
  <c r="P52" i="1"/>
  <c r="Q52" i="1"/>
  <c r="P53" i="1"/>
  <c r="Q53" i="1"/>
  <c r="P54" i="1"/>
  <c r="Q54" i="1"/>
  <c r="P55" i="1"/>
  <c r="Q55" i="1"/>
  <c r="P56" i="1"/>
  <c r="Q56" i="1"/>
  <c r="P57" i="1"/>
  <c r="Q57" i="1"/>
  <c r="P58" i="1"/>
  <c r="Q58" i="1"/>
  <c r="P59" i="1"/>
  <c r="Q59" i="1"/>
  <c r="P60" i="1"/>
  <c r="Q60" i="1"/>
  <c r="P61" i="1"/>
  <c r="Q61" i="1"/>
  <c r="P62" i="1"/>
  <c r="Q62" i="1"/>
  <c r="P63" i="1"/>
  <c r="Q63" i="1"/>
  <c r="P64" i="1"/>
  <c r="Q64" i="1"/>
  <c r="P65" i="1"/>
  <c r="Q65" i="1"/>
  <c r="P66" i="1"/>
  <c r="Q66" i="1"/>
  <c r="P67" i="1"/>
  <c r="Q67" i="1"/>
  <c r="P68" i="1"/>
  <c r="Q68" i="1"/>
  <c r="P69" i="1"/>
  <c r="Q69" i="1"/>
  <c r="P70" i="1"/>
  <c r="Q70" i="1"/>
  <c r="P71" i="1"/>
  <c r="Q71" i="1"/>
  <c r="P72" i="1"/>
  <c r="Q72" i="1"/>
  <c r="P73" i="1"/>
  <c r="Q73" i="1"/>
  <c r="P74" i="1"/>
  <c r="Q74" i="1"/>
  <c r="P75" i="1"/>
  <c r="Q75" i="1"/>
  <c r="P76" i="1"/>
  <c r="Q76" i="1"/>
  <c r="P77" i="1"/>
  <c r="Q77" i="1"/>
  <c r="P78" i="1"/>
  <c r="Q78" i="1"/>
  <c r="P79" i="1"/>
  <c r="Q79" i="1"/>
  <c r="P80" i="1"/>
  <c r="Q80" i="1"/>
  <c r="P81" i="1"/>
  <c r="Q81" i="1"/>
  <c r="P82" i="1"/>
  <c r="Q82" i="1"/>
  <c r="P83" i="1"/>
  <c r="Q83" i="1"/>
  <c r="P84" i="1"/>
  <c r="Q84" i="1"/>
  <c r="P85" i="1"/>
  <c r="Q85" i="1"/>
  <c r="P86" i="1"/>
  <c r="Q86" i="1"/>
  <c r="P87" i="1"/>
  <c r="Q87" i="1"/>
  <c r="P88" i="1"/>
  <c r="Q88" i="1"/>
  <c r="P89" i="1"/>
  <c r="Q89" i="1"/>
  <c r="P90" i="1"/>
  <c r="Q90" i="1"/>
  <c r="P91" i="1"/>
  <c r="Q91" i="1"/>
  <c r="P92" i="1"/>
  <c r="Q92" i="1"/>
  <c r="P93" i="1"/>
  <c r="Q93" i="1"/>
  <c r="P94" i="1"/>
  <c r="Q94" i="1"/>
  <c r="P95" i="1"/>
  <c r="Q95" i="1"/>
  <c r="P96" i="1"/>
  <c r="Q96" i="1"/>
  <c r="P97" i="1"/>
  <c r="Q97" i="1"/>
  <c r="P98" i="1"/>
  <c r="Q98" i="1"/>
  <c r="P99" i="1"/>
  <c r="Q99" i="1"/>
  <c r="P100" i="1"/>
  <c r="Q100" i="1"/>
  <c r="P101" i="1"/>
  <c r="Q101" i="1"/>
  <c r="P102" i="1"/>
  <c r="Q102" i="1"/>
  <c r="P103" i="1"/>
  <c r="Q103" i="1"/>
  <c r="P104" i="1"/>
  <c r="Q104" i="1"/>
  <c r="P105" i="1"/>
  <c r="Q105" i="1"/>
  <c r="P106" i="1"/>
  <c r="Q106" i="1"/>
  <c r="P107" i="1"/>
  <c r="Q107" i="1"/>
  <c r="P108" i="1"/>
  <c r="Q108" i="1"/>
  <c r="P109" i="1"/>
  <c r="Q109" i="1"/>
  <c r="P110" i="1"/>
  <c r="Q110" i="1"/>
  <c r="P111" i="1"/>
  <c r="Q111" i="1"/>
  <c r="P112" i="1"/>
  <c r="Q112" i="1"/>
  <c r="P113" i="1"/>
  <c r="Q113" i="1"/>
  <c r="P114" i="1"/>
  <c r="Q114" i="1"/>
  <c r="P115" i="1"/>
  <c r="Q115" i="1"/>
  <c r="P116" i="1"/>
  <c r="Q116" i="1"/>
  <c r="P117" i="1"/>
  <c r="Q117" i="1"/>
  <c r="P118" i="1"/>
  <c r="Q118" i="1"/>
  <c r="P119" i="1"/>
  <c r="Q119" i="1"/>
  <c r="P120" i="1"/>
  <c r="Q120" i="1"/>
  <c r="P121" i="1"/>
  <c r="Q121" i="1"/>
  <c r="P122" i="1"/>
  <c r="Q122" i="1"/>
  <c r="P123" i="1"/>
  <c r="Q123" i="1"/>
  <c r="P124" i="1"/>
  <c r="Q124" i="1"/>
  <c r="P125" i="1"/>
  <c r="Q125" i="1"/>
  <c r="P126" i="1"/>
  <c r="Q126" i="1"/>
  <c r="P127" i="1"/>
  <c r="Q127" i="1"/>
  <c r="P128" i="1"/>
  <c r="Q128" i="1"/>
  <c r="P129" i="1"/>
  <c r="Q129" i="1"/>
  <c r="P130" i="1"/>
  <c r="Q130" i="1"/>
  <c r="P131" i="1"/>
  <c r="Q131" i="1"/>
  <c r="P132" i="1"/>
  <c r="Q132" i="1"/>
  <c r="P133" i="1"/>
  <c r="Q133" i="1"/>
  <c r="P134" i="1"/>
  <c r="Q134" i="1"/>
  <c r="P135" i="1"/>
  <c r="Q135" i="1"/>
  <c r="P136" i="1"/>
  <c r="Q136" i="1"/>
  <c r="P137" i="1"/>
  <c r="Q137" i="1"/>
  <c r="P138" i="1"/>
  <c r="Q138" i="1"/>
  <c r="P139" i="1"/>
  <c r="Q139" i="1"/>
  <c r="P140" i="1"/>
  <c r="Q140" i="1"/>
  <c r="P141" i="1"/>
  <c r="Q141" i="1"/>
  <c r="P142" i="1"/>
  <c r="Q142" i="1"/>
  <c r="P143" i="1"/>
  <c r="Q143" i="1"/>
  <c r="P144" i="1"/>
  <c r="Q144" i="1"/>
  <c r="P145" i="1"/>
  <c r="Q145" i="1"/>
  <c r="P146" i="1"/>
  <c r="Q146" i="1"/>
  <c r="P147" i="1"/>
  <c r="Q147" i="1"/>
  <c r="P148" i="1"/>
  <c r="Q148" i="1"/>
  <c r="P149" i="1"/>
  <c r="Q149" i="1"/>
  <c r="P150" i="1"/>
  <c r="Q150" i="1"/>
  <c r="P151" i="1"/>
  <c r="Q151" i="1"/>
  <c r="P152" i="1"/>
  <c r="Q152" i="1"/>
  <c r="P153" i="1"/>
  <c r="Q153" i="1"/>
  <c r="P154" i="1"/>
  <c r="Q154" i="1"/>
  <c r="P155" i="1"/>
  <c r="Q155" i="1"/>
  <c r="P156" i="1"/>
  <c r="Q156" i="1"/>
  <c r="P157" i="1"/>
  <c r="Q157" i="1"/>
  <c r="P158" i="1"/>
  <c r="Q158" i="1"/>
  <c r="P159" i="1"/>
  <c r="Q159" i="1"/>
  <c r="P160" i="1"/>
  <c r="Q160" i="1"/>
  <c r="P161" i="1"/>
  <c r="Q161" i="1"/>
  <c r="P162" i="1"/>
  <c r="Q162" i="1"/>
  <c r="P163" i="1"/>
  <c r="Q163" i="1"/>
  <c r="P164" i="1"/>
  <c r="Q164" i="1"/>
  <c r="P165" i="1"/>
  <c r="Q165" i="1"/>
  <c r="P166" i="1"/>
  <c r="Q166" i="1"/>
  <c r="P167" i="1"/>
  <c r="Q167" i="1"/>
  <c r="P168" i="1"/>
  <c r="Q168" i="1"/>
  <c r="P169" i="1"/>
  <c r="Q169" i="1"/>
  <c r="P170" i="1"/>
  <c r="Q170" i="1"/>
  <c r="P171" i="1"/>
  <c r="Q171" i="1"/>
  <c r="P172" i="1"/>
  <c r="Q172" i="1"/>
  <c r="P173" i="1"/>
  <c r="Q173" i="1"/>
  <c r="P174" i="1"/>
  <c r="Q174" i="1"/>
  <c r="P175" i="1"/>
  <c r="Q175" i="1"/>
  <c r="P176" i="1"/>
  <c r="Q176" i="1"/>
  <c r="P177" i="1"/>
  <c r="Q177" i="1"/>
  <c r="P178" i="1"/>
  <c r="Q178" i="1"/>
  <c r="P179" i="1"/>
  <c r="Q179" i="1"/>
  <c r="P180" i="1"/>
  <c r="Q180" i="1"/>
  <c r="P181" i="1"/>
  <c r="Q181" i="1"/>
  <c r="P182" i="1"/>
  <c r="Q182" i="1"/>
  <c r="P183" i="1"/>
  <c r="Q183" i="1"/>
  <c r="P184" i="1"/>
  <c r="Q184" i="1"/>
  <c r="P185" i="1"/>
  <c r="Q185" i="1"/>
  <c r="P186" i="1"/>
  <c r="Q186" i="1"/>
  <c r="P187" i="1"/>
  <c r="Q187" i="1"/>
  <c r="P188" i="1"/>
  <c r="Q188" i="1"/>
  <c r="P189" i="1"/>
  <c r="Q189" i="1"/>
  <c r="P190" i="1"/>
  <c r="Q190" i="1"/>
  <c r="P191" i="1"/>
  <c r="Q191" i="1"/>
  <c r="P192" i="1"/>
  <c r="Q192" i="1"/>
  <c r="P193" i="1"/>
  <c r="Q193" i="1"/>
  <c r="P194" i="1"/>
  <c r="Q194" i="1"/>
  <c r="P195" i="1"/>
  <c r="Q195" i="1"/>
  <c r="P196" i="1"/>
  <c r="Q196" i="1"/>
  <c r="P197" i="1"/>
  <c r="Q197" i="1"/>
  <c r="P198" i="1"/>
  <c r="Q198" i="1"/>
  <c r="P199" i="1"/>
  <c r="Q199" i="1"/>
  <c r="P200" i="1"/>
  <c r="Q200" i="1"/>
  <c r="P201" i="1"/>
  <c r="Q201" i="1"/>
  <c r="P202" i="1"/>
  <c r="Q202" i="1"/>
  <c r="P203" i="1"/>
  <c r="Q203" i="1"/>
  <c r="P204" i="1"/>
  <c r="Q204" i="1"/>
  <c r="P205" i="1"/>
  <c r="Q205" i="1"/>
  <c r="P206" i="1"/>
  <c r="Q206" i="1"/>
  <c r="P207" i="1"/>
  <c r="Q207" i="1"/>
  <c r="P208" i="1"/>
  <c r="Q208" i="1"/>
  <c r="P209" i="1"/>
  <c r="Q209" i="1"/>
  <c r="P210" i="1"/>
  <c r="Q210" i="1"/>
  <c r="P211" i="1"/>
  <c r="Q211" i="1"/>
  <c r="P212" i="1"/>
  <c r="Q212" i="1"/>
  <c r="P213" i="1"/>
  <c r="Q213" i="1"/>
  <c r="P214" i="1"/>
  <c r="Q214" i="1"/>
  <c r="P215" i="1"/>
  <c r="Q215" i="1"/>
  <c r="P216" i="1"/>
  <c r="Q216" i="1"/>
  <c r="P217" i="1"/>
  <c r="Q217" i="1"/>
  <c r="P218" i="1"/>
  <c r="Q218" i="1"/>
  <c r="P219" i="1"/>
  <c r="Q219" i="1"/>
  <c r="P220" i="1"/>
  <c r="Q220" i="1"/>
  <c r="P221" i="1"/>
  <c r="Q221" i="1"/>
  <c r="P222" i="1"/>
  <c r="Q222" i="1"/>
  <c r="P223" i="1"/>
  <c r="Q223" i="1"/>
  <c r="P224" i="1"/>
  <c r="Q224" i="1"/>
  <c r="P225" i="1"/>
  <c r="Q225" i="1"/>
  <c r="P226" i="1"/>
  <c r="Q226" i="1"/>
  <c r="P227" i="1"/>
  <c r="Q227" i="1"/>
  <c r="P228" i="1"/>
  <c r="Q228" i="1"/>
  <c r="P229" i="1"/>
  <c r="Q229" i="1"/>
  <c r="P230" i="1"/>
  <c r="Q230" i="1"/>
  <c r="P231" i="1"/>
  <c r="Q231" i="1"/>
  <c r="P232" i="1"/>
  <c r="Q232" i="1"/>
  <c r="P233" i="1"/>
  <c r="Q233" i="1"/>
  <c r="P234" i="1"/>
  <c r="Q234" i="1"/>
  <c r="P235" i="1"/>
  <c r="Q235" i="1"/>
  <c r="P236" i="1"/>
  <c r="Q236" i="1"/>
  <c r="P237" i="1"/>
  <c r="Q237" i="1"/>
  <c r="P238" i="1"/>
  <c r="Q238" i="1"/>
  <c r="P239" i="1"/>
  <c r="Q239" i="1"/>
  <c r="P240" i="1"/>
  <c r="Q240" i="1"/>
  <c r="P241" i="1"/>
  <c r="Q241" i="1"/>
  <c r="P242" i="1"/>
  <c r="Q242" i="1"/>
  <c r="P243" i="1"/>
  <c r="Q243" i="1"/>
  <c r="P244" i="1"/>
  <c r="Q244" i="1"/>
  <c r="P245" i="1"/>
  <c r="Q245" i="1"/>
  <c r="P246" i="1"/>
  <c r="Q246" i="1"/>
  <c r="P247" i="1"/>
  <c r="Q247" i="1"/>
  <c r="P248" i="1"/>
  <c r="Q248" i="1"/>
  <c r="P249" i="1"/>
  <c r="Q249" i="1"/>
  <c r="P250" i="1"/>
  <c r="Q250" i="1"/>
  <c r="P251" i="1"/>
  <c r="Q251" i="1"/>
  <c r="P252" i="1"/>
  <c r="Q252" i="1"/>
  <c r="P253" i="1"/>
  <c r="Q253" i="1"/>
  <c r="P254" i="1"/>
  <c r="Q254" i="1"/>
  <c r="P255" i="1"/>
  <c r="Q255" i="1"/>
  <c r="P256" i="1"/>
  <c r="Q256" i="1"/>
  <c r="P257" i="1"/>
  <c r="Q257" i="1"/>
  <c r="P258" i="1"/>
  <c r="Q258" i="1"/>
  <c r="P259" i="1"/>
  <c r="Q259" i="1"/>
  <c r="P260" i="1"/>
  <c r="Q260" i="1"/>
  <c r="P261" i="1"/>
  <c r="Q261" i="1"/>
  <c r="P262" i="1"/>
  <c r="Q262" i="1"/>
  <c r="P263" i="1"/>
  <c r="Q263" i="1"/>
  <c r="P264" i="1"/>
  <c r="Q264" i="1"/>
  <c r="P265" i="1"/>
  <c r="Q265" i="1"/>
  <c r="P266" i="1"/>
  <c r="Q266" i="1"/>
  <c r="P267" i="1"/>
  <c r="Q267" i="1"/>
  <c r="P268" i="1"/>
  <c r="Q268" i="1"/>
  <c r="P269" i="1"/>
  <c r="Q269" i="1"/>
  <c r="P270" i="1"/>
  <c r="Q270" i="1"/>
  <c r="P271" i="1"/>
  <c r="Q271" i="1"/>
  <c r="P272" i="1"/>
  <c r="Q272" i="1"/>
  <c r="P273" i="1"/>
  <c r="Q273" i="1"/>
  <c r="P274" i="1"/>
  <c r="Q274" i="1"/>
  <c r="P275" i="1"/>
  <c r="Q275" i="1"/>
  <c r="P276" i="1"/>
  <c r="Q276" i="1"/>
  <c r="P277" i="1"/>
  <c r="Q277" i="1"/>
  <c r="P278" i="1"/>
  <c r="Q278" i="1"/>
  <c r="P279" i="1"/>
  <c r="Q279" i="1"/>
  <c r="P280" i="1"/>
  <c r="Q280" i="1"/>
  <c r="P281" i="1"/>
  <c r="Q281" i="1"/>
  <c r="P282" i="1"/>
  <c r="Q282" i="1"/>
  <c r="P283" i="1"/>
  <c r="Q283" i="1"/>
  <c r="P284" i="1"/>
  <c r="Q284" i="1"/>
  <c r="P285" i="1"/>
  <c r="Q285" i="1"/>
  <c r="P286" i="1"/>
  <c r="Q286" i="1"/>
  <c r="P287" i="1"/>
  <c r="Q287" i="1"/>
  <c r="P288" i="1"/>
  <c r="Q288" i="1"/>
  <c r="P289" i="1"/>
  <c r="Q289" i="1"/>
  <c r="P290" i="1"/>
  <c r="Q290" i="1"/>
  <c r="P291" i="1"/>
  <c r="Q291" i="1"/>
  <c r="P292" i="1"/>
  <c r="Q292" i="1"/>
  <c r="P293" i="1"/>
  <c r="Q293" i="1"/>
  <c r="P294" i="1"/>
  <c r="Q294" i="1"/>
  <c r="P295" i="1"/>
  <c r="Q295" i="1"/>
  <c r="P296" i="1"/>
  <c r="Q296" i="1"/>
  <c r="P297" i="1"/>
  <c r="Q297" i="1"/>
  <c r="P298" i="1"/>
  <c r="Q298" i="1"/>
  <c r="P299" i="1"/>
  <c r="Q299" i="1"/>
  <c r="P300" i="1"/>
  <c r="Q300" i="1"/>
  <c r="P301" i="1"/>
  <c r="Q301" i="1"/>
  <c r="P302" i="1"/>
  <c r="Q302" i="1"/>
  <c r="P303" i="1"/>
  <c r="Q303" i="1"/>
  <c r="P304" i="1"/>
  <c r="Q304" i="1"/>
  <c r="P305" i="1"/>
  <c r="Q305" i="1"/>
  <c r="P306" i="1"/>
  <c r="Q306" i="1"/>
  <c r="P307" i="1"/>
  <c r="Q307" i="1"/>
  <c r="P308" i="1"/>
  <c r="Q308" i="1"/>
  <c r="P309" i="1"/>
  <c r="Q309" i="1"/>
  <c r="P310" i="1"/>
  <c r="Q310" i="1"/>
  <c r="P311" i="1"/>
  <c r="Q311" i="1"/>
  <c r="P312" i="1"/>
  <c r="Q312" i="1"/>
  <c r="P313" i="1"/>
  <c r="Q313" i="1"/>
  <c r="P314" i="1"/>
  <c r="Q314" i="1"/>
  <c r="P315" i="1"/>
  <c r="Q315" i="1"/>
  <c r="P316" i="1"/>
  <c r="Q316" i="1"/>
  <c r="P317" i="1"/>
  <c r="Q317" i="1"/>
  <c r="P318" i="1"/>
  <c r="Q318" i="1"/>
  <c r="P319" i="1"/>
  <c r="Q319" i="1"/>
  <c r="P320" i="1"/>
  <c r="Q320" i="1"/>
  <c r="P321" i="1"/>
  <c r="Q321" i="1"/>
  <c r="P322" i="1"/>
  <c r="Q322" i="1"/>
  <c r="P323" i="1"/>
  <c r="Q323" i="1"/>
  <c r="P324" i="1"/>
  <c r="Q324" i="1"/>
  <c r="P325" i="1"/>
  <c r="Q325" i="1"/>
  <c r="P326" i="1"/>
  <c r="Q326" i="1"/>
  <c r="P327" i="1"/>
  <c r="Q327" i="1"/>
  <c r="P328" i="1"/>
  <c r="Q328" i="1"/>
  <c r="P329" i="1"/>
  <c r="Q329" i="1"/>
  <c r="P330" i="1"/>
  <c r="Q330" i="1"/>
  <c r="P331" i="1"/>
  <c r="Q331" i="1"/>
  <c r="P332" i="1"/>
  <c r="Q332" i="1"/>
  <c r="P333" i="1"/>
  <c r="Q333" i="1"/>
  <c r="P334" i="1"/>
  <c r="Q334" i="1"/>
  <c r="P335" i="1"/>
  <c r="Q335" i="1"/>
  <c r="P336" i="1"/>
  <c r="Q336" i="1"/>
  <c r="P337" i="1"/>
  <c r="Q337" i="1"/>
  <c r="P338" i="1"/>
  <c r="Q338" i="1"/>
  <c r="P339" i="1"/>
  <c r="Q339" i="1"/>
  <c r="P340" i="1"/>
  <c r="Q340" i="1"/>
  <c r="P341" i="1"/>
  <c r="Q341" i="1"/>
  <c r="P342" i="1"/>
  <c r="Q342" i="1"/>
  <c r="P343" i="1"/>
  <c r="Q343" i="1"/>
  <c r="P344" i="1"/>
  <c r="Q344" i="1"/>
  <c r="P345" i="1"/>
  <c r="Q345" i="1"/>
  <c r="P346" i="1"/>
  <c r="Q346" i="1"/>
  <c r="P347" i="1"/>
  <c r="Q347" i="1"/>
  <c r="P348" i="1"/>
  <c r="Q348" i="1"/>
  <c r="P349" i="1"/>
  <c r="Q349" i="1"/>
  <c r="P350" i="1"/>
  <c r="Q350" i="1"/>
  <c r="P351" i="1"/>
  <c r="Q351" i="1"/>
  <c r="P352" i="1"/>
  <c r="Q352" i="1"/>
  <c r="P353" i="1"/>
  <c r="Q353" i="1"/>
  <c r="P354" i="1"/>
  <c r="Q354" i="1"/>
  <c r="P355" i="1"/>
  <c r="Q355" i="1"/>
  <c r="P356" i="1"/>
  <c r="Q356" i="1"/>
  <c r="P357" i="1"/>
  <c r="Q357" i="1"/>
  <c r="P358" i="1"/>
  <c r="Q358" i="1"/>
  <c r="P359" i="1"/>
  <c r="Q359" i="1"/>
  <c r="P360" i="1"/>
  <c r="Q360" i="1"/>
  <c r="P361" i="1"/>
  <c r="Q361" i="1"/>
  <c r="P362" i="1"/>
  <c r="Q362" i="1"/>
  <c r="P363" i="1"/>
  <c r="Q363" i="1"/>
  <c r="P364" i="1"/>
  <c r="Q364" i="1"/>
  <c r="P365" i="1"/>
  <c r="Q365" i="1"/>
  <c r="P366" i="1"/>
  <c r="Q366" i="1"/>
  <c r="P367" i="1"/>
  <c r="Q367" i="1"/>
  <c r="P368" i="1"/>
  <c r="Q368" i="1"/>
  <c r="P369" i="1"/>
  <c r="Q369" i="1"/>
  <c r="P370" i="1"/>
  <c r="Q370" i="1"/>
  <c r="P371" i="1"/>
  <c r="Q371" i="1"/>
  <c r="P372" i="1"/>
  <c r="Q372" i="1"/>
  <c r="P373" i="1"/>
  <c r="Q373" i="1"/>
  <c r="P374" i="1"/>
  <c r="Q374" i="1"/>
  <c r="P375" i="1"/>
  <c r="Q375" i="1"/>
  <c r="P376" i="1"/>
  <c r="Q376" i="1"/>
  <c r="P377" i="1"/>
  <c r="Q377" i="1"/>
  <c r="P378" i="1"/>
  <c r="Q378" i="1"/>
  <c r="P379" i="1"/>
  <c r="Q379" i="1"/>
  <c r="P380" i="1"/>
  <c r="Q380" i="1"/>
  <c r="P381" i="1"/>
  <c r="Q381" i="1"/>
  <c r="P382" i="1"/>
  <c r="Q382" i="1"/>
  <c r="P383" i="1"/>
  <c r="Q383" i="1"/>
  <c r="P384" i="1"/>
  <c r="Q384" i="1"/>
  <c r="P385" i="1"/>
  <c r="Q385" i="1"/>
  <c r="P386" i="1"/>
  <c r="Q386" i="1"/>
  <c r="P387" i="1"/>
  <c r="Q387" i="1"/>
  <c r="P388" i="1"/>
  <c r="Q388" i="1"/>
  <c r="P389" i="1"/>
  <c r="Q389" i="1"/>
  <c r="P390" i="1"/>
  <c r="Q390" i="1"/>
  <c r="P391" i="1"/>
  <c r="Q391" i="1"/>
  <c r="P392" i="1"/>
  <c r="Q392" i="1"/>
  <c r="P393" i="1"/>
  <c r="Q393" i="1"/>
  <c r="P394" i="1"/>
  <c r="Q394" i="1"/>
  <c r="P395" i="1"/>
  <c r="Q395" i="1"/>
  <c r="P396" i="1"/>
  <c r="Q396" i="1"/>
  <c r="P397" i="1"/>
  <c r="Q397" i="1"/>
  <c r="P398" i="1"/>
  <c r="Q398" i="1"/>
  <c r="P399" i="1"/>
  <c r="Q399" i="1"/>
  <c r="P400" i="1"/>
  <c r="Q400" i="1"/>
  <c r="P401" i="1"/>
  <c r="Q401" i="1"/>
  <c r="P402" i="1"/>
  <c r="Q402" i="1"/>
  <c r="P403" i="1"/>
  <c r="Q403" i="1"/>
  <c r="P404" i="1"/>
  <c r="Q404" i="1"/>
  <c r="P405" i="1"/>
  <c r="Q405" i="1"/>
  <c r="P406" i="1"/>
  <c r="Q406" i="1"/>
  <c r="P407" i="1"/>
  <c r="Q407" i="1"/>
  <c r="P408" i="1"/>
  <c r="Q408" i="1"/>
  <c r="P409" i="1"/>
  <c r="Q409" i="1"/>
  <c r="P410" i="1"/>
  <c r="Q410" i="1"/>
  <c r="P411" i="1"/>
  <c r="Q411" i="1"/>
  <c r="P412" i="1"/>
  <c r="Q412" i="1"/>
  <c r="P413" i="1"/>
  <c r="Q413" i="1"/>
  <c r="P414" i="1"/>
  <c r="Q414" i="1"/>
  <c r="P415" i="1"/>
  <c r="Q415" i="1"/>
  <c r="P416" i="1"/>
  <c r="Q416" i="1"/>
  <c r="P417" i="1"/>
  <c r="Q417" i="1"/>
  <c r="P418" i="1"/>
  <c r="Q418" i="1"/>
  <c r="P419" i="1"/>
  <c r="Q419" i="1"/>
  <c r="P420" i="1"/>
  <c r="Q420" i="1"/>
  <c r="P421" i="1"/>
  <c r="Q421" i="1"/>
  <c r="P422" i="1"/>
  <c r="Q422" i="1"/>
  <c r="P423" i="1"/>
  <c r="Q423" i="1"/>
  <c r="P424" i="1"/>
  <c r="Q424" i="1"/>
  <c r="P425" i="1"/>
  <c r="Q425" i="1"/>
  <c r="P426" i="1"/>
  <c r="Q426" i="1"/>
  <c r="P427" i="1"/>
  <c r="Q427" i="1"/>
  <c r="P428" i="1"/>
  <c r="Q428" i="1"/>
  <c r="P429" i="1"/>
  <c r="Q429" i="1"/>
  <c r="P430" i="1"/>
  <c r="Q430" i="1"/>
  <c r="P431" i="1"/>
  <c r="Q431" i="1"/>
  <c r="P432" i="1"/>
  <c r="Q432" i="1"/>
  <c r="P433" i="1"/>
  <c r="Q433" i="1"/>
  <c r="P434" i="1"/>
  <c r="Q434" i="1"/>
  <c r="P435" i="1"/>
  <c r="Q435" i="1"/>
  <c r="P436" i="1"/>
  <c r="Q436" i="1"/>
  <c r="P437" i="1"/>
  <c r="Q437" i="1"/>
  <c r="P438" i="1"/>
  <c r="Q438" i="1"/>
  <c r="P439" i="1"/>
  <c r="Q439" i="1"/>
  <c r="P440" i="1"/>
  <c r="Q440" i="1"/>
  <c r="P441" i="1"/>
  <c r="Q441" i="1"/>
  <c r="P442" i="1"/>
  <c r="Q442" i="1"/>
  <c r="P443" i="1"/>
  <c r="Q443" i="1"/>
  <c r="P444" i="1"/>
  <c r="Q444" i="1"/>
  <c r="P445" i="1"/>
  <c r="Q445" i="1"/>
  <c r="P446" i="1"/>
  <c r="Q446" i="1"/>
  <c r="P447" i="1"/>
  <c r="Q447" i="1"/>
  <c r="P448" i="1"/>
  <c r="Q448" i="1"/>
  <c r="P449" i="1"/>
  <c r="Q449" i="1"/>
  <c r="P450" i="1"/>
  <c r="Q450" i="1"/>
  <c r="P451" i="1"/>
  <c r="Q451" i="1"/>
  <c r="P452" i="1"/>
  <c r="Q452" i="1"/>
  <c r="P453" i="1"/>
  <c r="Q453" i="1"/>
  <c r="P454" i="1"/>
  <c r="Q454" i="1"/>
  <c r="P455" i="1"/>
  <c r="Q455" i="1"/>
  <c r="P456" i="1"/>
  <c r="Q456" i="1"/>
  <c r="P457" i="1"/>
  <c r="Q457" i="1"/>
  <c r="P458" i="1"/>
  <c r="Q458" i="1"/>
  <c r="P459" i="1"/>
  <c r="Q459" i="1"/>
  <c r="P460" i="1"/>
  <c r="Q460" i="1"/>
  <c r="P461" i="1"/>
  <c r="Q461" i="1"/>
  <c r="P462" i="1"/>
  <c r="Q462" i="1"/>
  <c r="P463" i="1"/>
  <c r="Q463" i="1"/>
  <c r="P464" i="1"/>
  <c r="Q464" i="1"/>
  <c r="P465" i="1"/>
  <c r="Q465" i="1"/>
  <c r="P466" i="1"/>
  <c r="Q466" i="1"/>
  <c r="P467" i="1"/>
  <c r="Q467" i="1"/>
  <c r="P468" i="1"/>
  <c r="Q468" i="1"/>
  <c r="P469" i="1"/>
  <c r="Q469" i="1"/>
  <c r="P470" i="1"/>
  <c r="Q470" i="1"/>
  <c r="P471" i="1"/>
  <c r="Q471" i="1"/>
  <c r="P472" i="1"/>
  <c r="Q472" i="1"/>
  <c r="P473" i="1"/>
  <c r="Q473" i="1"/>
  <c r="P474" i="1"/>
  <c r="Q474" i="1"/>
  <c r="P475" i="1"/>
  <c r="Q475" i="1"/>
  <c r="P476" i="1"/>
  <c r="Q476" i="1"/>
  <c r="P477" i="1"/>
  <c r="Q477" i="1"/>
  <c r="P478" i="1"/>
  <c r="Q478" i="1"/>
  <c r="P479" i="1"/>
  <c r="Q479" i="1"/>
  <c r="P480" i="1"/>
  <c r="Q480" i="1"/>
  <c r="P481" i="1"/>
  <c r="Q481" i="1"/>
  <c r="P482" i="1"/>
  <c r="Q482" i="1"/>
  <c r="P483" i="1"/>
  <c r="Q483" i="1"/>
  <c r="P484" i="1"/>
  <c r="Q484" i="1"/>
  <c r="P485" i="1"/>
  <c r="Q485" i="1"/>
  <c r="P486" i="1"/>
  <c r="Q486" i="1"/>
  <c r="P487" i="1"/>
  <c r="Q487" i="1"/>
  <c r="P488" i="1"/>
  <c r="Q488" i="1"/>
  <c r="P489" i="1"/>
  <c r="Q489" i="1"/>
  <c r="P490" i="1"/>
  <c r="Q490" i="1"/>
  <c r="P491" i="1"/>
  <c r="Q491" i="1"/>
  <c r="P492" i="1"/>
  <c r="Q492" i="1"/>
  <c r="P493" i="1"/>
  <c r="Q493" i="1"/>
  <c r="P494" i="1"/>
  <c r="Q494" i="1"/>
  <c r="P495" i="1"/>
  <c r="Q495" i="1"/>
  <c r="P496" i="1"/>
  <c r="Q496" i="1"/>
  <c r="P497" i="1"/>
  <c r="Q497" i="1"/>
  <c r="P498" i="1"/>
  <c r="Q498" i="1"/>
  <c r="P499" i="1"/>
  <c r="Q499" i="1"/>
  <c r="P500" i="1"/>
  <c r="Q500" i="1"/>
  <c r="P501" i="1"/>
  <c r="Q501" i="1"/>
  <c r="P502" i="1"/>
  <c r="Q502" i="1"/>
  <c r="P503" i="1"/>
  <c r="Q503" i="1"/>
  <c r="P504" i="1"/>
  <c r="Q504" i="1"/>
  <c r="P505" i="1"/>
  <c r="Q505" i="1"/>
  <c r="P506" i="1"/>
  <c r="Q506" i="1"/>
  <c r="P507" i="1"/>
  <c r="Q507" i="1"/>
  <c r="P508" i="1"/>
  <c r="Q508" i="1"/>
  <c r="P509" i="1"/>
  <c r="Q509" i="1"/>
  <c r="P510" i="1"/>
  <c r="Q510" i="1"/>
  <c r="P511" i="1"/>
  <c r="Q511" i="1"/>
  <c r="P512" i="1"/>
  <c r="Q512" i="1"/>
  <c r="P513" i="1"/>
  <c r="Q513" i="1"/>
  <c r="P514" i="1"/>
  <c r="Q514" i="1"/>
  <c r="P515" i="1"/>
  <c r="Q515" i="1"/>
  <c r="P516" i="1"/>
  <c r="Q516" i="1"/>
  <c r="P517" i="1"/>
  <c r="Q517" i="1"/>
  <c r="P518" i="1"/>
  <c r="Q518" i="1"/>
  <c r="P519" i="1"/>
  <c r="Q519" i="1"/>
  <c r="P520" i="1"/>
  <c r="Q520" i="1"/>
  <c r="P521" i="1"/>
  <c r="Q521" i="1"/>
  <c r="P522" i="1"/>
  <c r="Q522" i="1"/>
  <c r="P523" i="1"/>
  <c r="Q523" i="1"/>
  <c r="P524" i="1"/>
  <c r="Q524" i="1"/>
  <c r="P525" i="1"/>
  <c r="Q525" i="1"/>
  <c r="P526" i="1"/>
  <c r="Q526" i="1"/>
  <c r="P527" i="1"/>
  <c r="Q527" i="1"/>
  <c r="P528" i="1"/>
  <c r="Q528" i="1"/>
  <c r="P529" i="1"/>
  <c r="Q529" i="1"/>
  <c r="P530" i="1"/>
  <c r="Q530" i="1"/>
  <c r="P531" i="1"/>
  <c r="Q531" i="1"/>
  <c r="P532" i="1"/>
  <c r="Q532" i="1"/>
  <c r="P533" i="1"/>
  <c r="Q533" i="1"/>
  <c r="P534" i="1"/>
  <c r="Q534" i="1"/>
  <c r="P535" i="1"/>
  <c r="Q535" i="1"/>
  <c r="P536" i="1"/>
  <c r="Q536" i="1"/>
  <c r="P537" i="1"/>
  <c r="Q537" i="1"/>
  <c r="P538" i="1"/>
  <c r="Q538" i="1"/>
  <c r="P539" i="1"/>
  <c r="Q539" i="1"/>
  <c r="P540" i="1"/>
  <c r="Q540" i="1"/>
  <c r="P541" i="1"/>
  <c r="Q541" i="1"/>
  <c r="P542" i="1"/>
  <c r="Q542" i="1"/>
  <c r="P543" i="1"/>
  <c r="Q543" i="1"/>
  <c r="P544" i="1"/>
  <c r="Q544" i="1"/>
  <c r="P545" i="1"/>
  <c r="Q545" i="1"/>
  <c r="P546" i="1"/>
  <c r="Q546" i="1"/>
  <c r="P547" i="1"/>
  <c r="Q547" i="1"/>
  <c r="P548" i="1"/>
  <c r="Q548" i="1"/>
  <c r="P549" i="1"/>
  <c r="Q549" i="1"/>
  <c r="P550" i="1"/>
  <c r="Q550" i="1"/>
  <c r="P551" i="1"/>
  <c r="Q551" i="1"/>
  <c r="P552" i="1"/>
  <c r="Q552" i="1"/>
  <c r="P553" i="1"/>
  <c r="Q553" i="1"/>
  <c r="P554" i="1"/>
  <c r="Q554" i="1"/>
  <c r="P555" i="1"/>
  <c r="Q555" i="1"/>
  <c r="P556" i="1"/>
  <c r="Q556" i="1"/>
  <c r="P557" i="1"/>
  <c r="Q557" i="1"/>
  <c r="P558" i="1"/>
  <c r="Q558" i="1"/>
  <c r="P559" i="1"/>
  <c r="Q559" i="1"/>
  <c r="P560" i="1"/>
  <c r="Q560" i="1"/>
  <c r="P561" i="1"/>
  <c r="Q561" i="1"/>
  <c r="P562" i="1"/>
  <c r="Q562" i="1"/>
  <c r="P563" i="1"/>
  <c r="Q563" i="1"/>
  <c r="P564" i="1"/>
  <c r="Q564" i="1"/>
  <c r="P565" i="1"/>
  <c r="Q565" i="1"/>
  <c r="P566" i="1"/>
  <c r="Q566" i="1"/>
  <c r="P567" i="1"/>
  <c r="Q567" i="1"/>
  <c r="P568" i="1"/>
  <c r="Q568" i="1"/>
  <c r="P569" i="1"/>
  <c r="Q569" i="1"/>
  <c r="P570" i="1"/>
  <c r="Q570" i="1"/>
  <c r="P571" i="1"/>
  <c r="Q571" i="1"/>
  <c r="P572" i="1"/>
  <c r="Q572" i="1"/>
  <c r="P573" i="1"/>
  <c r="Q573" i="1"/>
  <c r="P574" i="1"/>
  <c r="Q574" i="1"/>
  <c r="P575" i="1"/>
  <c r="Q575" i="1"/>
  <c r="P576" i="1"/>
  <c r="Q576" i="1"/>
  <c r="P577" i="1"/>
  <c r="Q577" i="1"/>
  <c r="P578" i="1"/>
  <c r="Q578" i="1"/>
  <c r="P579" i="1"/>
  <c r="Q579" i="1"/>
  <c r="P580" i="1"/>
  <c r="Q580" i="1"/>
  <c r="P581" i="1"/>
  <c r="Q581" i="1"/>
  <c r="P582" i="1"/>
  <c r="Q582" i="1"/>
  <c r="P583" i="1"/>
  <c r="Q583" i="1"/>
  <c r="P584" i="1"/>
  <c r="Q584" i="1"/>
  <c r="P585" i="1"/>
  <c r="Q585" i="1"/>
  <c r="P586" i="1"/>
  <c r="Q586" i="1"/>
  <c r="P587" i="1"/>
  <c r="Q587" i="1"/>
  <c r="P588" i="1"/>
  <c r="Q588" i="1"/>
  <c r="P589" i="1"/>
  <c r="Q589" i="1"/>
  <c r="P590" i="1"/>
  <c r="Q590" i="1"/>
  <c r="P591" i="1"/>
  <c r="Q591" i="1"/>
  <c r="P592" i="1"/>
  <c r="Q592" i="1"/>
  <c r="P593" i="1"/>
  <c r="Q593" i="1"/>
  <c r="P594" i="1"/>
  <c r="Q594" i="1"/>
  <c r="P595" i="1"/>
  <c r="Q595" i="1"/>
  <c r="P596" i="1"/>
  <c r="Q596" i="1"/>
  <c r="P597" i="1"/>
  <c r="Q597" i="1"/>
  <c r="P598" i="1"/>
  <c r="Q598" i="1"/>
  <c r="P599" i="1"/>
  <c r="Q599" i="1"/>
  <c r="P600" i="1"/>
  <c r="Q600" i="1"/>
  <c r="P601" i="1"/>
  <c r="Q601" i="1"/>
  <c r="P602" i="1"/>
  <c r="Q602" i="1"/>
  <c r="P603" i="1"/>
  <c r="Q603" i="1"/>
  <c r="P604" i="1"/>
  <c r="Q604" i="1"/>
  <c r="P605" i="1"/>
  <c r="Q605" i="1"/>
  <c r="P606" i="1"/>
  <c r="Q606" i="1"/>
  <c r="P607" i="1"/>
  <c r="Q607" i="1"/>
  <c r="P608" i="1"/>
  <c r="Q608" i="1"/>
  <c r="P609" i="1"/>
  <c r="Q609" i="1"/>
  <c r="P610" i="1"/>
  <c r="Q610" i="1"/>
  <c r="P611" i="1"/>
  <c r="Q611" i="1"/>
  <c r="P612" i="1"/>
  <c r="Q612" i="1"/>
  <c r="P613" i="1"/>
  <c r="Q613" i="1"/>
  <c r="P614" i="1"/>
  <c r="Q614" i="1"/>
  <c r="P615" i="1"/>
  <c r="Q615" i="1"/>
  <c r="P616" i="1"/>
  <c r="Q616" i="1"/>
  <c r="P617" i="1"/>
  <c r="Q617" i="1"/>
  <c r="P618" i="1"/>
  <c r="Q618" i="1"/>
  <c r="P619" i="1"/>
  <c r="Q619" i="1"/>
  <c r="P620" i="1"/>
  <c r="Q620" i="1"/>
  <c r="P621" i="1"/>
  <c r="Q621" i="1"/>
  <c r="P622" i="1"/>
  <c r="Q622" i="1"/>
  <c r="P623" i="1"/>
  <c r="Q623" i="1"/>
  <c r="P624" i="1"/>
  <c r="Q624" i="1"/>
  <c r="P625" i="1"/>
  <c r="Q625" i="1"/>
  <c r="P626" i="1"/>
  <c r="Q626" i="1"/>
  <c r="P627" i="1"/>
  <c r="Q627" i="1"/>
  <c r="P628" i="1"/>
  <c r="Q628" i="1"/>
  <c r="P629" i="1"/>
  <c r="Q629" i="1"/>
  <c r="P630" i="1"/>
  <c r="Q630" i="1"/>
  <c r="P631" i="1"/>
  <c r="Q631" i="1"/>
  <c r="P632" i="1"/>
  <c r="Q632" i="1"/>
  <c r="P633" i="1"/>
  <c r="Q633" i="1"/>
  <c r="P634" i="1"/>
  <c r="Q634" i="1"/>
  <c r="P635" i="1"/>
  <c r="Q635" i="1"/>
  <c r="P636" i="1"/>
  <c r="Q636" i="1"/>
  <c r="P637" i="1"/>
  <c r="Q637" i="1"/>
  <c r="P638" i="1"/>
  <c r="Q638" i="1"/>
  <c r="P639" i="1"/>
  <c r="Q639" i="1"/>
  <c r="P640" i="1"/>
  <c r="Q640" i="1"/>
  <c r="P641" i="1"/>
  <c r="Q641" i="1"/>
  <c r="P642" i="1"/>
  <c r="Q642" i="1"/>
  <c r="P643" i="1"/>
  <c r="Q643" i="1"/>
  <c r="P644" i="1"/>
  <c r="Q644" i="1"/>
  <c r="P645" i="1"/>
  <c r="Q645" i="1"/>
  <c r="P646" i="1"/>
  <c r="Q646" i="1"/>
  <c r="P647" i="1"/>
  <c r="Q647" i="1"/>
  <c r="P648" i="1"/>
  <c r="Q648" i="1"/>
  <c r="P649" i="1"/>
  <c r="Q649" i="1"/>
  <c r="P650" i="1"/>
  <c r="Q650" i="1"/>
  <c r="P651" i="1"/>
  <c r="Q651" i="1"/>
  <c r="P652" i="1"/>
  <c r="Q652" i="1"/>
  <c r="P653" i="1"/>
  <c r="Q653" i="1"/>
  <c r="P654" i="1"/>
  <c r="Q654" i="1"/>
  <c r="P655" i="1"/>
  <c r="Q655" i="1"/>
  <c r="P656" i="1"/>
  <c r="Q656" i="1"/>
  <c r="P657" i="1"/>
  <c r="Q657" i="1"/>
  <c r="P658" i="1"/>
  <c r="Q658" i="1"/>
  <c r="P659" i="1"/>
  <c r="Q659" i="1"/>
  <c r="P660" i="1"/>
  <c r="Q660" i="1"/>
  <c r="P661" i="1"/>
  <c r="Q661" i="1"/>
  <c r="P662" i="1"/>
  <c r="Q662" i="1"/>
  <c r="P663" i="1"/>
  <c r="Q663" i="1"/>
  <c r="P664" i="1"/>
  <c r="Q664" i="1"/>
  <c r="P665" i="1"/>
  <c r="Q665" i="1"/>
  <c r="P666" i="1"/>
  <c r="Q666" i="1"/>
  <c r="P667" i="1"/>
  <c r="Q667" i="1"/>
  <c r="P668" i="1"/>
  <c r="Q668" i="1"/>
  <c r="P669" i="1"/>
  <c r="Q669" i="1"/>
  <c r="P670" i="1"/>
  <c r="Q670" i="1"/>
  <c r="P671" i="1"/>
  <c r="Q671" i="1"/>
  <c r="P672" i="1"/>
  <c r="Q672" i="1"/>
  <c r="P673" i="1"/>
  <c r="Q673" i="1"/>
  <c r="P674" i="1"/>
  <c r="Q674" i="1"/>
  <c r="P675" i="1"/>
  <c r="Q675" i="1"/>
  <c r="P676" i="1"/>
  <c r="Q676" i="1"/>
  <c r="P677" i="1"/>
  <c r="Q677" i="1"/>
  <c r="P678" i="1"/>
  <c r="Q678" i="1"/>
  <c r="P679" i="1"/>
  <c r="Q679" i="1"/>
  <c r="P680" i="1"/>
  <c r="Q680" i="1"/>
  <c r="P681" i="1"/>
  <c r="Q681" i="1"/>
  <c r="P682" i="1"/>
  <c r="Q682" i="1"/>
  <c r="P683" i="1"/>
  <c r="Q683" i="1"/>
  <c r="P684" i="1"/>
  <c r="Q684" i="1"/>
  <c r="P685" i="1"/>
  <c r="Q685" i="1"/>
  <c r="P686" i="1"/>
  <c r="Q686" i="1"/>
  <c r="P687" i="1"/>
  <c r="Q687" i="1"/>
  <c r="P688" i="1"/>
  <c r="Q688" i="1"/>
  <c r="P689" i="1"/>
  <c r="Q689" i="1"/>
  <c r="P690" i="1"/>
  <c r="Q690" i="1"/>
  <c r="P691" i="1"/>
  <c r="Q691" i="1"/>
  <c r="P692" i="1"/>
  <c r="Q692" i="1"/>
  <c r="P693" i="1"/>
  <c r="Q693" i="1"/>
  <c r="P694" i="1"/>
  <c r="Q694" i="1"/>
  <c r="P695" i="1"/>
  <c r="Q695" i="1"/>
  <c r="P696" i="1"/>
  <c r="Q696" i="1"/>
  <c r="P697" i="1"/>
  <c r="Q697" i="1"/>
  <c r="P698" i="1"/>
  <c r="Q698" i="1"/>
  <c r="P699" i="1"/>
  <c r="Q699" i="1"/>
  <c r="P700" i="1"/>
  <c r="Q700" i="1"/>
  <c r="P701" i="1"/>
  <c r="Q701" i="1"/>
  <c r="P702" i="1"/>
  <c r="Q702" i="1"/>
  <c r="P703" i="1"/>
  <c r="Q703" i="1"/>
  <c r="P704" i="1"/>
  <c r="Q704" i="1"/>
  <c r="P705" i="1"/>
  <c r="Q705" i="1"/>
  <c r="P706" i="1"/>
  <c r="Q706" i="1"/>
  <c r="P707" i="1"/>
  <c r="Q707" i="1"/>
  <c r="P708" i="1"/>
  <c r="Q708" i="1"/>
  <c r="P709" i="1"/>
  <c r="Q709" i="1"/>
  <c r="P710" i="1"/>
  <c r="Q710" i="1"/>
  <c r="P711" i="1"/>
  <c r="Q711" i="1"/>
  <c r="P712" i="1"/>
  <c r="Q712" i="1"/>
  <c r="P713" i="1"/>
  <c r="Q713" i="1"/>
  <c r="P714" i="1"/>
  <c r="Q714" i="1"/>
  <c r="P715" i="1"/>
  <c r="Q715" i="1"/>
  <c r="P716" i="1"/>
  <c r="Q716" i="1"/>
  <c r="P717" i="1"/>
  <c r="Q717" i="1"/>
  <c r="P718" i="1"/>
  <c r="Q718" i="1"/>
  <c r="P719" i="1"/>
  <c r="Q719" i="1"/>
  <c r="P720" i="1"/>
  <c r="Q720" i="1"/>
  <c r="P721" i="1"/>
  <c r="Q721" i="1"/>
  <c r="P722" i="1"/>
  <c r="Q722" i="1"/>
  <c r="P723" i="1"/>
  <c r="Q723" i="1"/>
  <c r="P724" i="1"/>
  <c r="Q724" i="1"/>
  <c r="P725" i="1"/>
  <c r="Q725" i="1"/>
  <c r="P726" i="1"/>
  <c r="Q726" i="1"/>
  <c r="P727" i="1"/>
  <c r="Q727" i="1"/>
  <c r="P728" i="1"/>
  <c r="Q728" i="1"/>
  <c r="P729" i="1"/>
  <c r="Q729" i="1"/>
  <c r="P730" i="1"/>
  <c r="Q730" i="1"/>
  <c r="P731" i="1"/>
  <c r="Q731" i="1"/>
  <c r="P732" i="1"/>
  <c r="Q732" i="1"/>
  <c r="P733" i="1"/>
  <c r="Q733" i="1"/>
  <c r="P734" i="1"/>
  <c r="Q734" i="1"/>
  <c r="P735" i="1"/>
  <c r="Q735" i="1"/>
  <c r="P736" i="1"/>
  <c r="Q736" i="1"/>
  <c r="P737" i="1"/>
  <c r="Q737" i="1"/>
  <c r="P738" i="1"/>
  <c r="Q738" i="1"/>
  <c r="P739" i="1"/>
  <c r="Q739" i="1"/>
  <c r="P740" i="1"/>
  <c r="Q740" i="1"/>
  <c r="P741" i="1"/>
  <c r="Q741" i="1"/>
  <c r="P742" i="1"/>
  <c r="Q742" i="1"/>
  <c r="P743" i="1"/>
  <c r="Q743" i="1"/>
  <c r="P744" i="1"/>
  <c r="Q744" i="1"/>
  <c r="P745" i="1"/>
  <c r="Q745" i="1"/>
  <c r="P746" i="1"/>
  <c r="Q746" i="1"/>
  <c r="P747" i="1"/>
  <c r="Q747" i="1"/>
  <c r="P748" i="1"/>
  <c r="Q748" i="1"/>
  <c r="P749" i="1"/>
  <c r="Q749" i="1"/>
  <c r="P750" i="1"/>
  <c r="Q750" i="1"/>
  <c r="P751" i="1"/>
  <c r="Q751" i="1"/>
  <c r="P752" i="1"/>
  <c r="Q752" i="1"/>
  <c r="P753" i="1"/>
  <c r="Q753" i="1"/>
  <c r="P754" i="1"/>
  <c r="Q754" i="1"/>
  <c r="P755" i="1"/>
  <c r="Q755" i="1"/>
  <c r="P756" i="1"/>
  <c r="Q756" i="1"/>
  <c r="P757" i="1"/>
  <c r="Q757" i="1"/>
  <c r="P758" i="1"/>
  <c r="Q758" i="1"/>
  <c r="P759" i="1"/>
  <c r="Q759" i="1"/>
  <c r="P760" i="1"/>
  <c r="Q760" i="1"/>
  <c r="P761" i="1"/>
  <c r="Q761" i="1"/>
  <c r="P762" i="1"/>
  <c r="Q762" i="1"/>
  <c r="P763" i="1"/>
  <c r="Q763" i="1"/>
  <c r="P764" i="1"/>
  <c r="Q764" i="1"/>
  <c r="P765" i="1"/>
  <c r="Q765" i="1"/>
  <c r="P766" i="1"/>
  <c r="Q766" i="1"/>
  <c r="P767" i="1"/>
  <c r="Q767" i="1"/>
  <c r="P768" i="1"/>
  <c r="Q768" i="1"/>
  <c r="P769" i="1"/>
  <c r="Q769" i="1"/>
  <c r="P770" i="1"/>
  <c r="Q770" i="1"/>
  <c r="P771" i="1"/>
  <c r="Q771" i="1"/>
  <c r="P772" i="1"/>
  <c r="Q772" i="1"/>
  <c r="P773" i="1"/>
  <c r="Q773" i="1"/>
  <c r="P774" i="1"/>
  <c r="Q774" i="1"/>
  <c r="P775" i="1"/>
  <c r="Q775" i="1"/>
  <c r="P776" i="1"/>
  <c r="Q776" i="1"/>
  <c r="P777" i="1"/>
  <c r="Q777" i="1"/>
  <c r="P778" i="1"/>
  <c r="Q778" i="1"/>
  <c r="P779" i="1"/>
  <c r="Q779" i="1"/>
  <c r="P780" i="1"/>
  <c r="Q780" i="1"/>
  <c r="P781" i="1"/>
  <c r="Q781" i="1"/>
  <c r="P782" i="1"/>
  <c r="Q782" i="1"/>
  <c r="P783" i="1"/>
  <c r="Q783" i="1"/>
  <c r="P784" i="1"/>
  <c r="Q784" i="1"/>
  <c r="P785" i="1"/>
  <c r="Q785" i="1"/>
  <c r="P786" i="1"/>
  <c r="Q786" i="1"/>
  <c r="P787" i="1"/>
  <c r="Q787" i="1"/>
  <c r="P788" i="1"/>
  <c r="Q788" i="1"/>
  <c r="P789" i="1"/>
  <c r="Q789" i="1"/>
  <c r="P790" i="1"/>
  <c r="Q790" i="1"/>
  <c r="P791" i="1"/>
  <c r="Q791" i="1"/>
  <c r="P792" i="1"/>
  <c r="Q792" i="1"/>
  <c r="P793" i="1"/>
  <c r="Q793" i="1"/>
  <c r="P794" i="1"/>
  <c r="Q794" i="1"/>
  <c r="P795" i="1"/>
  <c r="Q795" i="1"/>
  <c r="P796" i="1"/>
  <c r="Q796" i="1"/>
  <c r="P797" i="1"/>
  <c r="Q797" i="1"/>
  <c r="P798" i="1"/>
  <c r="Q798" i="1"/>
  <c r="P799" i="1"/>
  <c r="Q799" i="1"/>
  <c r="P800" i="1"/>
  <c r="Q800" i="1"/>
  <c r="P801" i="1"/>
  <c r="Q801" i="1"/>
  <c r="P802" i="1"/>
  <c r="Q802" i="1"/>
  <c r="P803" i="1"/>
  <c r="Q803" i="1"/>
  <c r="P804" i="1"/>
  <c r="Q804" i="1"/>
  <c r="P805" i="1"/>
  <c r="Q805" i="1"/>
  <c r="P806" i="1"/>
  <c r="Q806" i="1"/>
  <c r="P807" i="1"/>
  <c r="Q807" i="1"/>
  <c r="P808" i="1"/>
  <c r="Q808" i="1"/>
  <c r="P809" i="1"/>
  <c r="Q809" i="1"/>
  <c r="P810" i="1"/>
  <c r="Q810" i="1"/>
  <c r="P811" i="1"/>
  <c r="Q811" i="1"/>
  <c r="P812" i="1"/>
  <c r="Q812" i="1"/>
  <c r="P813" i="1"/>
  <c r="Q813" i="1"/>
  <c r="P814" i="1"/>
  <c r="Q814" i="1"/>
  <c r="P815" i="1"/>
  <c r="Q815" i="1"/>
  <c r="P816" i="1"/>
  <c r="Q816" i="1"/>
  <c r="P817" i="1"/>
  <c r="Q817" i="1"/>
  <c r="P818" i="1"/>
  <c r="Q818" i="1"/>
  <c r="P819" i="1"/>
  <c r="Q819" i="1"/>
  <c r="P820" i="1"/>
  <c r="Q820" i="1"/>
  <c r="P821" i="1"/>
  <c r="Q821" i="1"/>
  <c r="P822" i="1"/>
  <c r="Q822" i="1"/>
  <c r="P823" i="1"/>
  <c r="Q823" i="1"/>
  <c r="P824" i="1"/>
  <c r="Q824" i="1"/>
  <c r="P825" i="1"/>
  <c r="Q825" i="1"/>
  <c r="P826" i="1"/>
  <c r="Q826" i="1"/>
  <c r="P827" i="1"/>
  <c r="Q827" i="1"/>
  <c r="P828" i="1"/>
  <c r="Q828" i="1"/>
  <c r="P829" i="1"/>
  <c r="Q829" i="1"/>
  <c r="P830" i="1"/>
  <c r="Q830" i="1"/>
  <c r="P831" i="1"/>
  <c r="Q831" i="1"/>
  <c r="P832" i="1"/>
  <c r="Q832" i="1"/>
  <c r="P833" i="1"/>
  <c r="Q833" i="1"/>
  <c r="P834" i="1"/>
  <c r="Q834" i="1"/>
  <c r="P835" i="1"/>
  <c r="Q835" i="1"/>
  <c r="P836" i="1"/>
  <c r="Q836" i="1"/>
  <c r="P837" i="1"/>
  <c r="Q837" i="1"/>
  <c r="P838" i="1"/>
  <c r="Q838" i="1"/>
  <c r="P839" i="1"/>
  <c r="Q839" i="1"/>
  <c r="P840" i="1"/>
  <c r="Q840" i="1"/>
  <c r="P841" i="1"/>
  <c r="Q841" i="1"/>
  <c r="P842" i="1"/>
  <c r="Q842" i="1"/>
  <c r="P843" i="1"/>
  <c r="Q843" i="1"/>
  <c r="P844" i="1"/>
  <c r="Q844" i="1"/>
  <c r="P845" i="1"/>
  <c r="Q845" i="1"/>
  <c r="P846" i="1"/>
  <c r="Q846" i="1"/>
  <c r="P847" i="1"/>
  <c r="Q847" i="1"/>
  <c r="P848" i="1"/>
  <c r="Q848" i="1"/>
  <c r="P849" i="1"/>
  <c r="Q849" i="1"/>
  <c r="P850" i="1"/>
  <c r="Q850" i="1"/>
  <c r="P851" i="1"/>
  <c r="Q851" i="1"/>
  <c r="P852" i="1"/>
  <c r="Q852" i="1"/>
  <c r="P853" i="1"/>
  <c r="Q853" i="1"/>
  <c r="P854" i="1"/>
  <c r="Q854" i="1"/>
  <c r="P855" i="1"/>
  <c r="Q855" i="1"/>
  <c r="P856" i="1"/>
  <c r="Q856" i="1"/>
  <c r="P857" i="1"/>
  <c r="Q857" i="1"/>
  <c r="P858" i="1"/>
  <c r="Q858" i="1"/>
  <c r="P859" i="1"/>
  <c r="Q859" i="1"/>
  <c r="P860" i="1"/>
  <c r="Q860" i="1"/>
  <c r="P861" i="1"/>
  <c r="Q861" i="1"/>
  <c r="P862" i="1"/>
  <c r="Q862" i="1"/>
  <c r="P863" i="1"/>
  <c r="Q863" i="1"/>
  <c r="P864" i="1"/>
  <c r="Q864" i="1"/>
  <c r="P865" i="1"/>
  <c r="Q865" i="1"/>
  <c r="P866" i="1"/>
  <c r="Q866" i="1"/>
  <c r="P867" i="1"/>
  <c r="Q867" i="1"/>
  <c r="P868" i="1"/>
  <c r="Q868" i="1"/>
  <c r="P869" i="1"/>
  <c r="Q869" i="1"/>
  <c r="P870" i="1"/>
  <c r="Q870" i="1"/>
  <c r="P871" i="1"/>
  <c r="Q871" i="1"/>
  <c r="P872" i="1"/>
  <c r="Q872" i="1"/>
  <c r="P873" i="1"/>
  <c r="Q873" i="1"/>
  <c r="P874" i="1"/>
  <c r="Q874" i="1"/>
  <c r="P875" i="1"/>
  <c r="Q875" i="1"/>
  <c r="P876" i="1"/>
  <c r="Q876" i="1"/>
  <c r="P877" i="1"/>
  <c r="Q877" i="1"/>
  <c r="P878" i="1"/>
  <c r="Q878" i="1"/>
  <c r="P879" i="1"/>
  <c r="Q879" i="1"/>
  <c r="P880" i="1"/>
  <c r="Q880" i="1"/>
  <c r="P881" i="1"/>
  <c r="Q881" i="1"/>
  <c r="P882" i="1"/>
  <c r="Q882" i="1"/>
  <c r="P883" i="1"/>
  <c r="Q883" i="1"/>
  <c r="P884" i="1"/>
  <c r="Q884" i="1"/>
  <c r="P885" i="1"/>
  <c r="Q885" i="1"/>
  <c r="P886" i="1"/>
  <c r="Q886" i="1"/>
  <c r="P887" i="1"/>
  <c r="Q887" i="1"/>
  <c r="P888" i="1"/>
  <c r="Q888" i="1"/>
  <c r="P889" i="1"/>
  <c r="Q889" i="1"/>
  <c r="P890" i="1"/>
  <c r="Q890" i="1"/>
  <c r="P891" i="1"/>
  <c r="Q891" i="1"/>
  <c r="P892" i="1"/>
  <c r="Q892" i="1"/>
  <c r="P893" i="1"/>
  <c r="Q893" i="1"/>
  <c r="P894" i="1"/>
  <c r="Q894" i="1"/>
  <c r="P895" i="1"/>
  <c r="Q895" i="1"/>
  <c r="P896" i="1"/>
  <c r="Q896" i="1"/>
  <c r="P897" i="1"/>
  <c r="Q897" i="1"/>
  <c r="P898" i="1"/>
  <c r="Q898" i="1"/>
  <c r="P899" i="1"/>
  <c r="Q899" i="1"/>
  <c r="P900" i="1"/>
  <c r="Q900" i="1"/>
  <c r="P901" i="1"/>
  <c r="Q901" i="1"/>
  <c r="P902" i="1"/>
  <c r="Q902" i="1"/>
  <c r="P903" i="1"/>
  <c r="Q903" i="1"/>
  <c r="P904" i="1"/>
  <c r="Q904" i="1"/>
  <c r="P905" i="1"/>
  <c r="Q905" i="1"/>
  <c r="P906" i="1"/>
  <c r="Q906" i="1"/>
  <c r="P907" i="1"/>
  <c r="Q907" i="1"/>
  <c r="P908" i="1"/>
  <c r="Q908" i="1"/>
  <c r="P909" i="1"/>
  <c r="Q909" i="1"/>
  <c r="P910" i="1"/>
  <c r="Q910" i="1"/>
  <c r="P911" i="1"/>
  <c r="Q911" i="1"/>
  <c r="P912" i="1"/>
  <c r="Q912" i="1"/>
  <c r="P913" i="1"/>
  <c r="Q913" i="1"/>
  <c r="P914" i="1"/>
  <c r="Q914" i="1"/>
  <c r="P915" i="1"/>
  <c r="Q915" i="1"/>
  <c r="P916" i="1"/>
  <c r="Q916" i="1"/>
  <c r="P917" i="1"/>
  <c r="Q917" i="1"/>
  <c r="P918" i="1"/>
  <c r="Q918" i="1"/>
  <c r="P919" i="1"/>
  <c r="Q919" i="1"/>
  <c r="P920" i="1"/>
  <c r="Q920" i="1"/>
  <c r="P921" i="1"/>
  <c r="Q921" i="1"/>
  <c r="P922" i="1"/>
  <c r="Q922" i="1"/>
  <c r="P923" i="1"/>
  <c r="Q923" i="1"/>
  <c r="P924" i="1"/>
  <c r="Q924" i="1"/>
  <c r="P925" i="1"/>
  <c r="Q925" i="1"/>
  <c r="P926" i="1"/>
  <c r="Q926" i="1"/>
  <c r="P927" i="1"/>
  <c r="Q927" i="1"/>
  <c r="P928" i="1"/>
  <c r="Q928" i="1"/>
  <c r="P929" i="1"/>
  <c r="Q929" i="1"/>
  <c r="P930" i="1"/>
  <c r="Q930" i="1"/>
  <c r="P931" i="1"/>
  <c r="Q931" i="1"/>
  <c r="P932" i="1"/>
  <c r="Q932" i="1"/>
  <c r="P933" i="1"/>
  <c r="Q933" i="1"/>
  <c r="P934" i="1"/>
  <c r="Q934" i="1"/>
  <c r="P935" i="1"/>
  <c r="Q935" i="1"/>
  <c r="P936" i="1"/>
  <c r="Q936" i="1"/>
  <c r="P937" i="1"/>
  <c r="Q937" i="1"/>
  <c r="P938" i="1"/>
  <c r="Q938" i="1"/>
  <c r="P939" i="1"/>
  <c r="Q939" i="1"/>
  <c r="P940" i="1"/>
  <c r="Q940" i="1"/>
  <c r="P941" i="1"/>
  <c r="Q941" i="1"/>
  <c r="P942" i="1"/>
  <c r="Q942" i="1"/>
  <c r="P943" i="1"/>
  <c r="Q943" i="1"/>
  <c r="P944" i="1"/>
  <c r="Q944" i="1"/>
  <c r="P945" i="1"/>
  <c r="Q945" i="1"/>
  <c r="P946" i="1"/>
  <c r="Q946" i="1"/>
  <c r="P947" i="1"/>
  <c r="Q947" i="1"/>
  <c r="P948" i="1"/>
  <c r="Q948" i="1"/>
  <c r="P949" i="1"/>
  <c r="Q949" i="1"/>
  <c r="P950" i="1"/>
  <c r="Q950" i="1"/>
  <c r="P951" i="1"/>
  <c r="Q951" i="1"/>
  <c r="P952" i="1"/>
  <c r="Q952" i="1"/>
  <c r="P953" i="1"/>
  <c r="Q953" i="1"/>
  <c r="P954" i="1"/>
  <c r="Q954" i="1"/>
  <c r="P955" i="1"/>
  <c r="Q955" i="1"/>
  <c r="P956" i="1"/>
  <c r="Q956" i="1"/>
  <c r="P957" i="1"/>
  <c r="Q957" i="1"/>
  <c r="P958" i="1"/>
  <c r="Q958" i="1"/>
  <c r="P959" i="1"/>
  <c r="Q959" i="1"/>
  <c r="P960" i="1"/>
  <c r="Q960" i="1"/>
  <c r="P961" i="1"/>
  <c r="Q961" i="1"/>
  <c r="P962" i="1"/>
  <c r="Q962" i="1"/>
  <c r="P963" i="1"/>
  <c r="Q963" i="1"/>
  <c r="P964" i="1"/>
  <c r="Q964" i="1"/>
  <c r="P965" i="1"/>
  <c r="Q965" i="1"/>
  <c r="P966" i="1"/>
  <c r="Q966" i="1"/>
  <c r="P967" i="1"/>
  <c r="Q967" i="1"/>
  <c r="P968" i="1"/>
  <c r="Q968" i="1"/>
  <c r="P969" i="1"/>
  <c r="Q969" i="1"/>
  <c r="P970" i="1"/>
  <c r="Q970" i="1"/>
  <c r="P971" i="1"/>
  <c r="Q971" i="1"/>
  <c r="P972" i="1"/>
  <c r="Q972" i="1"/>
  <c r="P973" i="1"/>
  <c r="Q973" i="1"/>
  <c r="P974" i="1"/>
  <c r="Q974" i="1"/>
  <c r="P975" i="1"/>
  <c r="Q975" i="1"/>
  <c r="P976" i="1"/>
  <c r="Q976" i="1"/>
  <c r="P977" i="1"/>
  <c r="Q977" i="1"/>
  <c r="P978" i="1"/>
  <c r="Q978" i="1"/>
  <c r="P979" i="1"/>
  <c r="Q979" i="1"/>
  <c r="P980" i="1"/>
  <c r="Q980" i="1"/>
  <c r="P981" i="1"/>
  <c r="Q981" i="1"/>
  <c r="Q12" i="1"/>
  <c r="P12" i="1"/>
  <c r="I4" i="4" l="1"/>
  <c r="M4" i="4"/>
  <c r="N4" i="4"/>
  <c r="J4" i="4"/>
  <c r="J4" i="2"/>
  <c r="I4" i="2"/>
</calcChain>
</file>

<file path=xl/sharedStrings.xml><?xml version="1.0" encoding="utf-8"?>
<sst xmlns="http://schemas.openxmlformats.org/spreadsheetml/2006/main" count="17721" uniqueCount="1839">
  <si>
    <t>联赛</t>
  </si>
  <si>
    <t>时间</t>
  </si>
  <si>
    <t>主队</t>
  </si>
  <si>
    <t>比分</t>
  </si>
  <si>
    <t>客队</t>
  </si>
  <si>
    <t>半场</t>
  </si>
  <si>
    <t>挪超</t>
  </si>
  <si>
    <t>博德闪耀</t>
  </si>
  <si>
    <t>1-1</t>
  </si>
  <si>
    <t>2</t>
  </si>
  <si>
    <t>1</t>
  </si>
  <si>
    <t>主（全）</t>
  </si>
  <si>
    <t>客（全）</t>
  </si>
  <si>
    <t>主（半）</t>
  </si>
  <si>
    <t>客（全）</t>
    <phoneticPr fontId="1" type="noConversion"/>
  </si>
  <si>
    <t>轮</t>
  </si>
  <si>
    <t>轮</t>
    <phoneticPr fontId="1" type="noConversion"/>
  </si>
  <si>
    <t>league_name</t>
  </si>
  <si>
    <t>game_idx</t>
  </si>
  <si>
    <t>比赛Idx</t>
  </si>
  <si>
    <t>比赛Idx</t>
    <phoneticPr fontId="1" type="noConversion"/>
  </si>
  <si>
    <t>round</t>
  </si>
  <si>
    <t>game_date</t>
  </si>
  <si>
    <t>home_team_name</t>
  </si>
  <si>
    <t>home_team_harf_score</t>
  </si>
  <si>
    <t>home_team_whole_score</t>
  </si>
  <si>
    <t>home_team_ranking</t>
  </si>
  <si>
    <t>vist_team_name</t>
  </si>
  <si>
    <t>vist_team_harf_score</t>
  </si>
  <si>
    <t>vist_team_whole_score</t>
  </si>
  <si>
    <t>vist_team_ranking</t>
  </si>
  <si>
    <t>山达勒</t>
  </si>
  <si>
    <t>波杜基林特</t>
  </si>
  <si>
    <t>0</t>
  </si>
  <si>
    <t>奥德</t>
  </si>
  <si>
    <t>桑恩达</t>
  </si>
  <si>
    <t>史達</t>
  </si>
  <si>
    <t>罗森博格</t>
  </si>
  <si>
    <t>莫尔德</t>
  </si>
  <si>
    <t>3</t>
  </si>
  <si>
    <t>史卓加斯特</t>
  </si>
  <si>
    <t>萨普斯堡</t>
  </si>
  <si>
    <t>史达贝克</t>
  </si>
  <si>
    <t>阿利辛特</t>
  </si>
  <si>
    <t>利勒斯特罗姆</t>
  </si>
  <si>
    <t>维京FK</t>
  </si>
  <si>
    <t>布兰</t>
  </si>
  <si>
    <t>5</t>
  </si>
  <si>
    <t>候格森德</t>
  </si>
  <si>
    <t>瓦拉伦加</t>
  </si>
  <si>
    <t>4</t>
  </si>
  <si>
    <t>莫达伦</t>
  </si>
  <si>
    <t>桑纳菲奥尔</t>
  </si>
  <si>
    <t>特罗素</t>
  </si>
  <si>
    <t>奥特足球俱乐部</t>
  </si>
  <si>
    <t>6</t>
  </si>
  <si>
    <t>克里斯达桑德 BK</t>
  </si>
  <si>
    <t>云希咸</t>
  </si>
  <si>
    <t>8101</t>
  </si>
  <si>
    <t>2014-06-10 00:00:00.000</t>
  </si>
  <si>
    <t>8102</t>
  </si>
  <si>
    <t>8238</t>
  </si>
  <si>
    <t>2014-06-12 23:00:00.000</t>
  </si>
  <si>
    <t>10533</t>
  </si>
  <si>
    <t>2014-07-05 21:31:00.000</t>
  </si>
  <si>
    <t>10655</t>
  </si>
  <si>
    <t>2014-07-06 21:29:00.000</t>
  </si>
  <si>
    <t>10856</t>
  </si>
  <si>
    <t>2014-07-07 00:01:00.000</t>
  </si>
  <si>
    <t>10858</t>
  </si>
  <si>
    <t>2014-07-07 00:00:00.000</t>
  </si>
  <si>
    <t>10859</t>
  </si>
  <si>
    <t>10860</t>
  </si>
  <si>
    <t>10865</t>
  </si>
  <si>
    <t>2014-07-07 01:00:00.000</t>
  </si>
  <si>
    <t>11010</t>
  </si>
  <si>
    <t>2014-07-08 00:59:00.000</t>
  </si>
  <si>
    <t>11327</t>
  </si>
  <si>
    <t>2014-07-12 21:31:00.000</t>
  </si>
  <si>
    <t>11427</t>
  </si>
  <si>
    <t>2014-07-13 00:02:00.000</t>
  </si>
  <si>
    <t>11428</t>
  </si>
  <si>
    <t>2014-07-12 23:59:00.000</t>
  </si>
  <si>
    <t>11429</t>
  </si>
  <si>
    <t>2014-07-13 01:01:00.000</t>
  </si>
  <si>
    <t>11495</t>
  </si>
  <si>
    <t>2014-07-12 01:00:00.000</t>
  </si>
  <si>
    <t>11547</t>
  </si>
  <si>
    <t>2014-07-13 21:30:00.000</t>
  </si>
  <si>
    <t>11548</t>
  </si>
  <si>
    <t>2014-07-13 23:00:00.000</t>
  </si>
  <si>
    <t>11954</t>
  </si>
  <si>
    <t>2014-07-13 00:00:00.000</t>
  </si>
  <si>
    <t>12351</t>
  </si>
  <si>
    <t>2014-07-19 01:00:00.000</t>
  </si>
  <si>
    <t>12359</t>
  </si>
  <si>
    <t>2014-07-19 21:30:00.000</t>
  </si>
  <si>
    <t>12487</t>
  </si>
  <si>
    <t>2014-07-19 23:59:00.000</t>
  </si>
  <si>
    <t>12521</t>
  </si>
  <si>
    <t>2014-07-20 21:30:00.000</t>
  </si>
  <si>
    <t>12695</t>
  </si>
  <si>
    <t>2014-07-21 00:00:00.000</t>
  </si>
  <si>
    <t>12696</t>
  </si>
  <si>
    <t>12700</t>
  </si>
  <si>
    <t>2014-07-21 01:00:00.000</t>
  </si>
  <si>
    <t>18158</t>
  </si>
  <si>
    <t>2014-07-23 01:01:00.000</t>
  </si>
  <si>
    <t>18475</t>
  </si>
  <si>
    <t>2014-07-26 21:29:00.000</t>
  </si>
  <si>
    <t>18600</t>
  </si>
  <si>
    <t>2014-07-27 00:01:00.000</t>
  </si>
  <si>
    <t>18630</t>
  </si>
  <si>
    <t>2014-07-27 21:31:00.000</t>
  </si>
  <si>
    <t>18900</t>
  </si>
  <si>
    <t>2014-07-28 00:00:00.000</t>
  </si>
  <si>
    <t>18910</t>
  </si>
  <si>
    <t>2014-07-28 02:01:00.000</t>
  </si>
  <si>
    <t>19481</t>
  </si>
  <si>
    <t>19482</t>
  </si>
  <si>
    <t>2014-07-28 00:01:00.000</t>
  </si>
  <si>
    <t>19524</t>
  </si>
  <si>
    <t>2014-07-30 01:00:00.000</t>
  </si>
  <si>
    <t>19855</t>
  </si>
  <si>
    <t>2014-08-02 21:31:00.000</t>
  </si>
  <si>
    <t>20044</t>
  </si>
  <si>
    <t>2014-08-03 00:00:00.000</t>
  </si>
  <si>
    <t>20079</t>
  </si>
  <si>
    <t>2014-08-03 21:31:00.000</t>
  </si>
  <si>
    <t>20109</t>
  </si>
  <si>
    <t>2014-08-02 01:00:00.000</t>
  </si>
  <si>
    <t>20268</t>
  </si>
  <si>
    <t>2014-08-04 00:00:00.000</t>
  </si>
  <si>
    <t>20269</t>
  </si>
  <si>
    <t>20270</t>
  </si>
  <si>
    <t>20279</t>
  </si>
  <si>
    <t>2014-08-04 01:00:00.000</t>
  </si>
  <si>
    <t>21195</t>
  </si>
  <si>
    <t>2014-08-09 01:01:00.000</t>
  </si>
  <si>
    <t>21212</t>
  </si>
  <si>
    <t>2014-08-09 21:30:00.000</t>
  </si>
  <si>
    <t>21413</t>
  </si>
  <si>
    <t>2014-08-10 00:00:00.000</t>
  </si>
  <si>
    <t>21467</t>
  </si>
  <si>
    <t>2014-08-11 00:00:00.000</t>
  </si>
  <si>
    <t>21468</t>
  </si>
  <si>
    <t>21469</t>
  </si>
  <si>
    <t>21475</t>
  </si>
  <si>
    <t>2014-08-11 01:00:00.000</t>
  </si>
  <si>
    <t>22132</t>
  </si>
  <si>
    <t>2014-08-10 21:30:00.000</t>
  </si>
  <si>
    <t>22819</t>
  </si>
  <si>
    <t>2014-08-16 00:59:00.000</t>
  </si>
  <si>
    <t>22865</t>
  </si>
  <si>
    <t>2014-08-16 21:30:00.000</t>
  </si>
  <si>
    <t>23097</t>
  </si>
  <si>
    <t>2014-08-17 00:01:00.000</t>
  </si>
  <si>
    <t>23465</t>
  </si>
  <si>
    <t>2014-08-18 00:01:00.000</t>
  </si>
  <si>
    <t>23466</t>
  </si>
  <si>
    <t>2014-08-18 00:00:00.000</t>
  </si>
  <si>
    <t>23467</t>
  </si>
  <si>
    <t>23475</t>
  </si>
  <si>
    <t>2014-08-18 01:00:00.000</t>
  </si>
  <si>
    <t>24128</t>
  </si>
  <si>
    <t>2014-08-17 21:30:00.000</t>
  </si>
  <si>
    <t>24510</t>
  </si>
  <si>
    <t>2014-08-23 01:00:00.000</t>
  </si>
  <si>
    <t>24572</t>
  </si>
  <si>
    <t>2014-08-23 21:30:00.000</t>
  </si>
  <si>
    <t>24759</t>
  </si>
  <si>
    <t>2014-08-24 00:00:00.000</t>
  </si>
  <si>
    <t>24832</t>
  </si>
  <si>
    <t>2014-08-24 21:30:00.000</t>
  </si>
  <si>
    <t>25019</t>
  </si>
  <si>
    <t>2014-08-24 23:59:00.000</t>
  </si>
  <si>
    <t>25034</t>
  </si>
  <si>
    <t>2014-08-25 01:00:00.000</t>
  </si>
  <si>
    <t>25307</t>
  </si>
  <si>
    <t>25308</t>
  </si>
  <si>
    <t>2014-08-25 00:00:00.000</t>
  </si>
  <si>
    <t>26412</t>
  </si>
  <si>
    <t>2014-08-31 00:00:00.000</t>
  </si>
  <si>
    <t>26435</t>
  </si>
  <si>
    <t>2014-08-31 02:00:00.000</t>
  </si>
  <si>
    <t>26491</t>
  </si>
  <si>
    <t>2014-08-31 21:30:00.000</t>
  </si>
  <si>
    <t>26788</t>
  </si>
  <si>
    <t>2014-09-01 00:01:00.000</t>
  </si>
  <si>
    <t>26790</t>
  </si>
  <si>
    <t>2014-09-01 00:00:00.000</t>
  </si>
  <si>
    <t>26791</t>
  </si>
  <si>
    <t>26804</t>
  </si>
  <si>
    <t>2014-09-01 01:00:00.000</t>
  </si>
  <si>
    <t>27410</t>
  </si>
  <si>
    <t>2014-08-30 21:31:00.000</t>
  </si>
  <si>
    <t>29289</t>
  </si>
  <si>
    <t>2014-09-13 01:00:00.000</t>
  </si>
  <si>
    <t>29353</t>
  </si>
  <si>
    <t>2014-09-13 21:30:00.000</t>
  </si>
  <si>
    <t>29498</t>
  </si>
  <si>
    <t>2014-09-14 00:00:00.000</t>
  </si>
  <si>
    <t>29557</t>
  </si>
  <si>
    <t>2014-09-14 21:30:00.000</t>
  </si>
  <si>
    <t>29745</t>
  </si>
  <si>
    <t>2014-09-15 00:01:00.000</t>
  </si>
  <si>
    <t>29750</t>
  </si>
  <si>
    <t>2014-09-15 00:00:00.000</t>
  </si>
  <si>
    <t>29752</t>
  </si>
  <si>
    <t>29754</t>
  </si>
  <si>
    <t>2014-09-15 01:00:00.000</t>
  </si>
  <si>
    <t>31035</t>
  </si>
  <si>
    <t>2014-09-20 01:01:00.000</t>
  </si>
  <si>
    <t>31309</t>
  </si>
  <si>
    <t>2014-09-20 23:59:00.000</t>
  </si>
  <si>
    <t>31404</t>
  </si>
  <si>
    <t>2014-09-21 21:30:00.000</t>
  </si>
  <si>
    <t>31610</t>
  </si>
  <si>
    <t>2014-09-22 00:00:00.000</t>
  </si>
  <si>
    <t>31623</t>
  </si>
  <si>
    <t>2014-09-22 02:00:00.000</t>
  </si>
  <si>
    <t>31635</t>
  </si>
  <si>
    <t>32084</t>
  </si>
  <si>
    <t>2014-09-20 21:30:00.000</t>
  </si>
  <si>
    <t>32458</t>
  </si>
  <si>
    <t>2014-09-22 00:01:00.000</t>
  </si>
  <si>
    <t>33044</t>
  </si>
  <si>
    <t>2014-09-27 01:01:00.000</t>
  </si>
  <si>
    <t>33057</t>
  </si>
  <si>
    <t>2014-09-27 21:30:00.000</t>
  </si>
  <si>
    <t>33058</t>
  </si>
  <si>
    <t>2014-09-27 21:31:00.000</t>
  </si>
  <si>
    <t>33252</t>
  </si>
  <si>
    <t>2014-09-27 23:59:00.000</t>
  </si>
  <si>
    <t>33299</t>
  </si>
  <si>
    <t>2014-09-28 21:30:00.000</t>
  </si>
  <si>
    <t>33588</t>
  </si>
  <si>
    <t>2014-09-29 00:00:00.000</t>
  </si>
  <si>
    <t>33589</t>
  </si>
  <si>
    <t>33597</t>
  </si>
  <si>
    <t>2014-09-29 02:00:00.000</t>
  </si>
  <si>
    <t>35006</t>
  </si>
  <si>
    <t>2014-10-04 01:00:00.000</t>
  </si>
  <si>
    <t>35112</t>
  </si>
  <si>
    <t>2014-10-04 23:59:00.000</t>
  </si>
  <si>
    <t>35208</t>
  </si>
  <si>
    <t>2014-10-05 21:30:00.000</t>
  </si>
  <si>
    <t>35508</t>
  </si>
  <si>
    <t>2014-10-06 00:00:00.000</t>
  </si>
  <si>
    <t>35509</t>
  </si>
  <si>
    <t>35510</t>
  </si>
  <si>
    <t>35527</t>
  </si>
  <si>
    <t>2014-10-06 02:01:00.000</t>
  </si>
  <si>
    <t>35993</t>
  </si>
  <si>
    <t>2014-10-04 21:30:00.000</t>
  </si>
  <si>
    <t>37779</t>
  </si>
  <si>
    <t>2014-10-18 01:00:00.000</t>
  </si>
  <si>
    <t>37963</t>
  </si>
  <si>
    <t>2014-10-18 21:30:00.000</t>
  </si>
  <si>
    <t>38051</t>
  </si>
  <si>
    <t>2014-10-19 00:00:00.000</t>
  </si>
  <si>
    <t>38303</t>
  </si>
  <si>
    <t>2014-10-19 21:30:00.000</t>
  </si>
  <si>
    <t>38324</t>
  </si>
  <si>
    <t>2014-10-20 00:00:00.000</t>
  </si>
  <si>
    <t>38325</t>
  </si>
  <si>
    <t>38326</t>
  </si>
  <si>
    <t>38338</t>
  </si>
  <si>
    <t>2014-10-20 02:00:00.000</t>
  </si>
  <si>
    <t>40181</t>
  </si>
  <si>
    <t>2014-10-26 22:30:00.000</t>
  </si>
  <si>
    <t>40182</t>
  </si>
  <si>
    <t>2014-10-26 22:32:00.000</t>
  </si>
  <si>
    <t>40184</t>
  </si>
  <si>
    <t>2014-10-27 03:00:00.000</t>
  </si>
  <si>
    <t>40185</t>
  </si>
  <si>
    <t>2014-10-27 01:01:00.000</t>
  </si>
  <si>
    <t>40186</t>
  </si>
  <si>
    <t>40187</t>
  </si>
  <si>
    <t>2014-10-27 01:00:00.000</t>
  </si>
  <si>
    <t>40698</t>
  </si>
  <si>
    <t>2014-10-25 01:00:00.000</t>
  </si>
  <si>
    <t>41963</t>
  </si>
  <si>
    <t>2014-11-03 00:59:00.000</t>
  </si>
  <si>
    <t>41964</t>
  </si>
  <si>
    <t>2014-11-03 01:00:00.000</t>
  </si>
  <si>
    <t>41965</t>
  </si>
  <si>
    <t>2014-11-03 01:01:00.000</t>
  </si>
  <si>
    <t>41966</t>
  </si>
  <si>
    <t>41967</t>
  </si>
  <si>
    <t>41968</t>
  </si>
  <si>
    <t>41969</t>
  </si>
  <si>
    <t>41970</t>
  </si>
  <si>
    <t>43631</t>
  </si>
  <si>
    <t>2014-11-10 01:00:00.000</t>
  </si>
  <si>
    <t>43632</t>
  </si>
  <si>
    <t>2014-11-10 01:01:00.000</t>
  </si>
  <si>
    <t>43634</t>
  </si>
  <si>
    <t>43636</t>
  </si>
  <si>
    <t>43637</t>
  </si>
  <si>
    <t>43638</t>
  </si>
  <si>
    <t>2014-11-10 00:59:00.000</t>
  </si>
  <si>
    <t>43639</t>
  </si>
  <si>
    <t>43773</t>
  </si>
  <si>
    <t>73538</t>
  </si>
  <si>
    <t>2015-04-06 21:30:00.000</t>
  </si>
  <si>
    <t>73741</t>
  </si>
  <si>
    <t>2015-04-07 00:01:00.000</t>
  </si>
  <si>
    <t>73742</t>
  </si>
  <si>
    <t>2015-04-07 00:00:00.000</t>
  </si>
  <si>
    <t>73743</t>
  </si>
  <si>
    <t>73744</t>
  </si>
  <si>
    <t>73747</t>
  </si>
  <si>
    <t>2015-04-07 01:00:00.000</t>
  </si>
  <si>
    <t>74202</t>
  </si>
  <si>
    <t>2015-04-08 01:00:00.000</t>
  </si>
  <si>
    <t>74474</t>
  </si>
  <si>
    <t>75227</t>
  </si>
  <si>
    <t>2015-04-11 01:00:00.000</t>
  </si>
  <si>
    <t>75236</t>
  </si>
  <si>
    <t>2015-04-11 21:30:00.000</t>
  </si>
  <si>
    <t>75248</t>
  </si>
  <si>
    <t>2015-04-11 23:59:00.000</t>
  </si>
  <si>
    <t>75253</t>
  </si>
  <si>
    <t>2015-04-12 21:30:00.000</t>
  </si>
  <si>
    <t>75503</t>
  </si>
  <si>
    <t>2015-04-13 00:00:00.000</t>
  </si>
  <si>
    <t>75504</t>
  </si>
  <si>
    <t>75510</t>
  </si>
  <si>
    <t>2015-04-13 00:01:00.000</t>
  </si>
  <si>
    <t>75514</t>
  </si>
  <si>
    <t>2015-04-12 23:59:00.000</t>
  </si>
  <si>
    <t>76751</t>
  </si>
  <si>
    <t>2015-04-18 00:59:00.000</t>
  </si>
  <si>
    <t>76804</t>
  </si>
  <si>
    <t>2015-04-18 21:29:00.000</t>
  </si>
  <si>
    <t>76981</t>
  </si>
  <si>
    <t>2015-04-18 23:59:00.000</t>
  </si>
  <si>
    <t>77039</t>
  </si>
  <si>
    <t>2015-04-19 21:30:00.000</t>
  </si>
  <si>
    <t>77442</t>
  </si>
  <si>
    <t>2015-04-19 23:59:00.000</t>
  </si>
  <si>
    <t>77443</t>
  </si>
  <si>
    <t>2015-04-20 00:00:00.000</t>
  </si>
  <si>
    <t>77444</t>
  </si>
  <si>
    <t>77445</t>
  </si>
  <si>
    <t>78711</t>
  </si>
  <si>
    <t>2015-04-25 01:00:00.000</t>
  </si>
  <si>
    <t>78747</t>
  </si>
  <si>
    <t>2015-04-25 21:29:00.000</t>
  </si>
  <si>
    <t>78754</t>
  </si>
  <si>
    <t>2015-04-25 23:59:00.000</t>
  </si>
  <si>
    <t>78780</t>
  </si>
  <si>
    <t>2015-04-26 21:29:00.000</t>
  </si>
  <si>
    <t>78786</t>
  </si>
  <si>
    <t>2015-04-27 00:00:00.000</t>
  </si>
  <si>
    <t>78787</t>
  </si>
  <si>
    <t>78788</t>
  </si>
  <si>
    <t>78789</t>
  </si>
  <si>
    <t>2015-04-26 23:59:00.000</t>
  </si>
  <si>
    <t>80682</t>
  </si>
  <si>
    <t>2015-04-30 00:59:00.000</t>
  </si>
  <si>
    <t>80683</t>
  </si>
  <si>
    <t>2015-04-30 01:00:00.000</t>
  </si>
  <si>
    <t>80987</t>
  </si>
  <si>
    <t>2015-05-01 00:00:00.000</t>
  </si>
  <si>
    <t>80988</t>
  </si>
  <si>
    <t>80989</t>
  </si>
  <si>
    <t>2015-04-30 23:59:00.000</t>
  </si>
  <si>
    <t>80990</t>
  </si>
  <si>
    <t>80998</t>
  </si>
  <si>
    <t>2015-05-01 01:59:00.000</t>
  </si>
  <si>
    <t>80999</t>
  </si>
  <si>
    <t>2015-05-01 02:00:00.000</t>
  </si>
  <si>
    <t>81725</t>
  </si>
  <si>
    <t>2015-05-03 00:00:00.000</t>
  </si>
  <si>
    <t>81759</t>
  </si>
  <si>
    <t>2015-05-05 01:00:00.000</t>
  </si>
  <si>
    <t>82095</t>
  </si>
  <si>
    <t>2015-05-04 00:00:00.000</t>
  </si>
  <si>
    <t>82098</t>
  </si>
  <si>
    <t>2015-05-03 23:59:00.000</t>
  </si>
  <si>
    <t>82099</t>
  </si>
  <si>
    <t>82131</t>
  </si>
  <si>
    <t>2015-05-04 02:00:00.000</t>
  </si>
  <si>
    <t>82269</t>
  </si>
  <si>
    <t>2015-05-03 21:29:00.000</t>
  </si>
  <si>
    <t>82270</t>
  </si>
  <si>
    <t>2015-05-03 21:30:00.000</t>
  </si>
  <si>
    <t>82995</t>
  </si>
  <si>
    <t>2015-05-10 21:29:00.000</t>
  </si>
  <si>
    <t>82999</t>
  </si>
  <si>
    <t>2015-05-11 00:01:00.000</t>
  </si>
  <si>
    <t>83000</t>
  </si>
  <si>
    <t>2015-05-11 00:00:00.000</t>
  </si>
  <si>
    <t>83001</t>
  </si>
  <si>
    <t>2015-05-10 23:59:00.000</t>
  </si>
  <si>
    <t>83007</t>
  </si>
  <si>
    <t>2015-05-11 02:00:00.000</t>
  </si>
  <si>
    <t>83018</t>
  </si>
  <si>
    <t>2015-05-09 21:30:00.000</t>
  </si>
  <si>
    <t>83021</t>
  </si>
  <si>
    <t>2015-05-10 00:00:00.000</t>
  </si>
  <si>
    <t>83023</t>
  </si>
  <si>
    <t>2015-05-10 01:59:00.000</t>
  </si>
  <si>
    <t>84679</t>
  </si>
  <si>
    <t>2015-05-12 23:59:00.000</t>
  </si>
  <si>
    <t>84681</t>
  </si>
  <si>
    <t>84711</t>
  </si>
  <si>
    <t>2015-05-14 00:00:00.000</t>
  </si>
  <si>
    <t>84712</t>
  </si>
  <si>
    <t>84713</t>
  </si>
  <si>
    <t>84714</t>
  </si>
  <si>
    <t>2015-05-13 23:59:00.000</t>
  </si>
  <si>
    <t>84715</t>
  </si>
  <si>
    <t>84977</t>
  </si>
  <si>
    <t>85389</t>
  </si>
  <si>
    <t>2015-05-16 21:29:00.000</t>
  </si>
  <si>
    <t>85392</t>
  </si>
  <si>
    <t>85419</t>
  </si>
  <si>
    <t>2015-05-17 00:03:00.000</t>
  </si>
  <si>
    <t>85420</t>
  </si>
  <si>
    <t>2015-05-17 00:00:00.000</t>
  </si>
  <si>
    <t>85421</t>
  </si>
  <si>
    <t>2015-05-16 23:59:00.000</t>
  </si>
  <si>
    <t>85422</t>
  </si>
  <si>
    <t>85423</t>
  </si>
  <si>
    <t>85447</t>
  </si>
  <si>
    <t>2015-05-17 01:59:00.000</t>
  </si>
  <si>
    <t>86632</t>
  </si>
  <si>
    <t>2015-05-23 01:00:00.000</t>
  </si>
  <si>
    <t>86774</t>
  </si>
  <si>
    <t>2015-05-24 23:59:00.000</t>
  </si>
  <si>
    <t>86776</t>
  </si>
  <si>
    <t>2015-05-25 21:30:00.000</t>
  </si>
  <si>
    <t>86777</t>
  </si>
  <si>
    <t>2015-05-25 21:29:00.000</t>
  </si>
  <si>
    <t>86870</t>
  </si>
  <si>
    <t>2015-05-26 00:01:00.000</t>
  </si>
  <si>
    <t>86871</t>
  </si>
  <si>
    <t>2015-05-26 00:00:00.000</t>
  </si>
  <si>
    <t>88439</t>
  </si>
  <si>
    <t>2015-06-01 00:02:00.000</t>
  </si>
  <si>
    <t>88440</t>
  </si>
  <si>
    <t>2015-06-01 00:00:00.000</t>
  </si>
  <si>
    <t>88441</t>
  </si>
  <si>
    <t>2015-05-31 23:59:00.000</t>
  </si>
  <si>
    <t>88442</t>
  </si>
  <si>
    <t>2015-06-01 02:00:00.000</t>
  </si>
  <si>
    <t>88449</t>
  </si>
  <si>
    <t>2015-05-31 21:30:00.000</t>
  </si>
  <si>
    <t>88544</t>
  </si>
  <si>
    <t>2015-05-30 01:00:00.000</t>
  </si>
  <si>
    <t>88620</t>
  </si>
  <si>
    <t>2015-05-30 21:29:00.000</t>
  </si>
  <si>
    <t>88624</t>
  </si>
  <si>
    <t>2015-05-31 00:00:00.000</t>
  </si>
  <si>
    <t>89939</t>
  </si>
  <si>
    <t>2015-06-07 23:59:00.000</t>
  </si>
  <si>
    <t>89940</t>
  </si>
  <si>
    <t>89941</t>
  </si>
  <si>
    <t>2015-06-08 00:00:00.000</t>
  </si>
  <si>
    <t>89942</t>
  </si>
  <si>
    <t>89944</t>
  </si>
  <si>
    <t>2015-06-08 02:01:00.000</t>
  </si>
  <si>
    <t>89976</t>
  </si>
  <si>
    <t>2015-06-06 01:00:00.000</t>
  </si>
  <si>
    <t>89977</t>
  </si>
  <si>
    <t>2015-06-06 21:29:00.000</t>
  </si>
  <si>
    <t>89979</t>
  </si>
  <si>
    <t>2015-06-07 00:00:00.000</t>
  </si>
  <si>
    <t>92139</t>
  </si>
  <si>
    <t>2015-06-20 00:59:00.000</t>
  </si>
  <si>
    <t>92215</t>
  </si>
  <si>
    <t>2015-06-20 21:30:00.000</t>
  </si>
  <si>
    <t>92290</t>
  </si>
  <si>
    <t>2015-06-21 00:00:00.000</t>
  </si>
  <si>
    <t>92298</t>
  </si>
  <si>
    <t>2015-06-21 21:29:00.000</t>
  </si>
  <si>
    <t>92395</t>
  </si>
  <si>
    <t>2015-06-22 00:00:00.000</t>
  </si>
  <si>
    <t>92396</t>
  </si>
  <si>
    <t>2015-06-21 23:59:00.000</t>
  </si>
  <si>
    <t>92403</t>
  </si>
  <si>
    <t>92405</t>
  </si>
  <si>
    <t>2015-06-22 02:00:00.000</t>
  </si>
  <si>
    <t>93334</t>
  </si>
  <si>
    <t>2015-06-27 21:29:00.000</t>
  </si>
  <si>
    <t>93337</t>
  </si>
  <si>
    <t>2015-06-28 00:00:00.000</t>
  </si>
  <si>
    <t>93338</t>
  </si>
  <si>
    <t>2015-06-28 02:01:00.000</t>
  </si>
  <si>
    <t>93434</t>
  </si>
  <si>
    <t>2015-06-28 21:29:00.000</t>
  </si>
  <si>
    <t>93454</t>
  </si>
  <si>
    <t>2015-06-28 23:59:00.000</t>
  </si>
  <si>
    <t>93455</t>
  </si>
  <si>
    <t>93460</t>
  </si>
  <si>
    <t>2015-06-29 02:00:00.000</t>
  </si>
  <si>
    <t>93475</t>
  </si>
  <si>
    <t>2015-06-29 00:00:00.000</t>
  </si>
  <si>
    <t>94527</t>
  </si>
  <si>
    <t>2015-07-05 21:30:00.000</t>
  </si>
  <si>
    <t>94534</t>
  </si>
  <si>
    <t>2015-07-05 23:59:00.000</t>
  </si>
  <si>
    <t>94535</t>
  </si>
  <si>
    <t>94536</t>
  </si>
  <si>
    <t>2015-07-06 00:00:00.000</t>
  </si>
  <si>
    <t>94537</t>
  </si>
  <si>
    <t>2015-07-06 02:00:00.000</t>
  </si>
  <si>
    <t>94564</t>
  </si>
  <si>
    <t>2015-07-04 01:00:00.000</t>
  </si>
  <si>
    <t>94566</t>
  </si>
  <si>
    <t>2015-07-04 23:59:00.000</t>
  </si>
  <si>
    <t>94569</t>
  </si>
  <si>
    <t>2015-07-04 21:30:00.000</t>
  </si>
  <si>
    <t>95764</t>
  </si>
  <si>
    <t>2015-07-12 23:59:00.000</t>
  </si>
  <si>
    <t>95765</t>
  </si>
  <si>
    <t>2015-07-13 00:00:00.000</t>
  </si>
  <si>
    <t>95766</t>
  </si>
  <si>
    <t>95768</t>
  </si>
  <si>
    <t>2015-07-13 02:01:00.000</t>
  </si>
  <si>
    <t>95841</t>
  </si>
  <si>
    <t>2015-07-11 01:00:00.000</t>
  </si>
  <si>
    <t>96016</t>
  </si>
  <si>
    <t>2015-07-12 21:31:00.000</t>
  </si>
  <si>
    <t>96287</t>
  </si>
  <si>
    <t>2015-07-12 00:00:00.000</t>
  </si>
  <si>
    <t>96396</t>
  </si>
  <si>
    <t>2015-07-11 21:30:00.000</t>
  </si>
  <si>
    <t>97590</t>
  </si>
  <si>
    <t>2015-07-19 00:00:00.000</t>
  </si>
  <si>
    <t>98724</t>
  </si>
  <si>
    <t>2015-07-25 00:59:00.000</t>
  </si>
  <si>
    <t>99064</t>
  </si>
  <si>
    <t>2015-07-26 21:30:00.000</t>
  </si>
  <si>
    <t>99075</t>
  </si>
  <si>
    <t>2015-07-27 00:00:00.000</t>
  </si>
  <si>
    <t>99076</t>
  </si>
  <si>
    <t>2015-07-26 23:59:00.000</t>
  </si>
  <si>
    <t>99083</t>
  </si>
  <si>
    <t>2015-07-27 02:00:00.000</t>
  </si>
  <si>
    <t>99109</t>
  </si>
  <si>
    <t>2015-07-28 01:02:00.000</t>
  </si>
  <si>
    <t>100617</t>
  </si>
  <si>
    <t>2015-08-01 01:00:00.000</t>
  </si>
  <si>
    <t>100635</t>
  </si>
  <si>
    <t>2015-08-02 00:00:00.000</t>
  </si>
  <si>
    <t>100678</t>
  </si>
  <si>
    <t>2015-08-03 00:00:00.000</t>
  </si>
  <si>
    <t>100679</t>
  </si>
  <si>
    <t>2015-08-02 23:59:00.000</t>
  </si>
  <si>
    <t>100680</t>
  </si>
  <si>
    <t>100687</t>
  </si>
  <si>
    <t>2015-08-03 02:00:00.000</t>
  </si>
  <si>
    <t>100714</t>
  </si>
  <si>
    <t>2015-08-02 21:30:00.000</t>
  </si>
  <si>
    <t>102737</t>
  </si>
  <si>
    <t>2015-08-09 00:00:00.000</t>
  </si>
  <si>
    <t>102768</t>
  </si>
  <si>
    <t>2015-08-10 00:00:00.000</t>
  </si>
  <si>
    <t>102777</t>
  </si>
  <si>
    <t>2015-08-09 23:59:00.000</t>
  </si>
  <si>
    <t>102791</t>
  </si>
  <si>
    <t>2015-08-10 00:01:00.000</t>
  </si>
  <si>
    <t>102792</t>
  </si>
  <si>
    <t>2015-08-10 02:00:00.000</t>
  </si>
  <si>
    <t>102793</t>
  </si>
  <si>
    <t>102886</t>
  </si>
  <si>
    <t>2015-08-08 00:59:00.000</t>
  </si>
  <si>
    <t>102907</t>
  </si>
  <si>
    <t>2015-08-08 01:00:00.000</t>
  </si>
  <si>
    <t>122353</t>
  </si>
  <si>
    <t>2015-08-17 00:00:00.000</t>
  </si>
  <si>
    <t>122366</t>
  </si>
  <si>
    <t>2015-08-15 21:30:00.000</t>
  </si>
  <si>
    <t>122375</t>
  </si>
  <si>
    <t>2015-08-16 21:29:00.000</t>
  </si>
  <si>
    <t>122376</t>
  </si>
  <si>
    <t>122388</t>
  </si>
  <si>
    <t>2015-08-16 00:00:00.000</t>
  </si>
  <si>
    <t>122392</t>
  </si>
  <si>
    <t>2015-08-15 01:00:00.000</t>
  </si>
  <si>
    <t>122426</t>
  </si>
  <si>
    <t>122432</t>
  </si>
  <si>
    <t>2015-08-17 02:00:00.000</t>
  </si>
  <si>
    <t>124554</t>
  </si>
  <si>
    <t>2015-08-23 21:29:00.000</t>
  </si>
  <si>
    <t>124599</t>
  </si>
  <si>
    <t>2015-08-24 00:00:00.000</t>
  </si>
  <si>
    <t>124605</t>
  </si>
  <si>
    <t>2015-08-23 23:59:00.000</t>
  </si>
  <si>
    <t>124606</t>
  </si>
  <si>
    <t>124617</t>
  </si>
  <si>
    <t>2015-08-24 02:00:00.000</t>
  </si>
  <si>
    <t>124635</t>
  </si>
  <si>
    <t>2015-08-22 01:00:00.000</t>
  </si>
  <si>
    <t>124801</t>
  </si>
  <si>
    <t>2015-08-23 00:01:00.000</t>
  </si>
  <si>
    <t>125049</t>
  </si>
  <si>
    <t>126607</t>
  </si>
  <si>
    <t>2015-08-29 23:58:00.000</t>
  </si>
  <si>
    <t>126626</t>
  </si>
  <si>
    <t>2015-08-29 01:00:00.000</t>
  </si>
  <si>
    <t>126634</t>
  </si>
  <si>
    <t>2015-08-30 21:30:00.000</t>
  </si>
  <si>
    <t>126635</t>
  </si>
  <si>
    <t>126678</t>
  </si>
  <si>
    <t>2015-08-30 23:59:00.000</t>
  </si>
  <si>
    <t>126679</t>
  </si>
  <si>
    <t>2015-08-31 00:00:00.000</t>
  </si>
  <si>
    <t>126683</t>
  </si>
  <si>
    <t>2015-08-31 02:00:00.000</t>
  </si>
  <si>
    <t>126709</t>
  </si>
  <si>
    <t>130081</t>
  </si>
  <si>
    <t>2015-09-12 00:59:00.000</t>
  </si>
  <si>
    <t>130875</t>
  </si>
  <si>
    <t>2015-09-14 00:02:00.000</t>
  </si>
  <si>
    <t>130914</t>
  </si>
  <si>
    <t>2015-09-14 00:00:00.000</t>
  </si>
  <si>
    <t>130933</t>
  </si>
  <si>
    <t>2015-09-13 00:00:00.000</t>
  </si>
  <si>
    <t>130956</t>
  </si>
  <si>
    <t>2015-09-14 02:00:00.000</t>
  </si>
  <si>
    <t>130990</t>
  </si>
  <si>
    <t>131002</t>
  </si>
  <si>
    <t>131037</t>
  </si>
  <si>
    <t>2015-09-13 21:36:00.000</t>
  </si>
  <si>
    <t>133355</t>
  </si>
  <si>
    <t>2015-09-19 21:30:00.000</t>
  </si>
  <si>
    <t>133395</t>
  </si>
  <si>
    <t>2015-09-20 00:00:00.000</t>
  </si>
  <si>
    <t>133396</t>
  </si>
  <si>
    <t>2015-09-20 21:30:00.000</t>
  </si>
  <si>
    <t>133403</t>
  </si>
  <si>
    <t>2015-09-21 00:00:00.000</t>
  </si>
  <si>
    <t>133412</t>
  </si>
  <si>
    <t>2015-09-20 23:59:00.000</t>
  </si>
  <si>
    <t>133413</t>
  </si>
  <si>
    <t>133421</t>
  </si>
  <si>
    <t>2015-09-21 02:00:00.000</t>
  </si>
  <si>
    <t>133649</t>
  </si>
  <si>
    <t>2015-09-19 00:59:00.000</t>
  </si>
  <si>
    <t>135584</t>
  </si>
  <si>
    <t>2015-09-24 00:00:00.000</t>
  </si>
  <si>
    <t>135846</t>
  </si>
  <si>
    <t>2015-09-26 01:00:00.000</t>
  </si>
  <si>
    <t>135921</t>
  </si>
  <si>
    <t>2015-09-28 02:00:00.000</t>
  </si>
  <si>
    <t>135933</t>
  </si>
  <si>
    <t>2015-09-26 21:32:00.000</t>
  </si>
  <si>
    <t>135936</t>
  </si>
  <si>
    <t>2015-09-27 23:59:00.000</t>
  </si>
  <si>
    <t>135943</t>
  </si>
  <si>
    <t>2015-09-28 00:00:00.000</t>
  </si>
  <si>
    <t>135955</t>
  </si>
  <si>
    <t>2015-09-27 00:00:00.000</t>
  </si>
  <si>
    <t>135961</t>
  </si>
  <si>
    <t>2015-09-27 21:30:00.000</t>
  </si>
  <si>
    <t>137190</t>
  </si>
  <si>
    <t>137771</t>
  </si>
  <si>
    <t>2015-10-04 21:29:00.000</t>
  </si>
  <si>
    <t>137787</t>
  </si>
  <si>
    <t>2015-10-03 00:59:00.000</t>
  </si>
  <si>
    <t>137801</t>
  </si>
  <si>
    <t>2015-10-05 00:00:00.000</t>
  </si>
  <si>
    <t>137807</t>
  </si>
  <si>
    <t>2015-10-05 02:00:00.000</t>
  </si>
  <si>
    <t>137819</t>
  </si>
  <si>
    <t>2015-10-04 00:00:00.000</t>
  </si>
  <si>
    <t>137880</t>
  </si>
  <si>
    <t>2015-10-04 23:59:00.000</t>
  </si>
  <si>
    <t>137881</t>
  </si>
  <si>
    <t>137893</t>
  </si>
  <si>
    <t>2015-10-03 21:32:00.000</t>
  </si>
  <si>
    <t>159564</t>
  </si>
  <si>
    <t>2015-10-18 21:30:00.000</t>
  </si>
  <si>
    <t>159583</t>
  </si>
  <si>
    <t>2015-10-17 01:01:00.000</t>
  </si>
  <si>
    <t>159589</t>
  </si>
  <si>
    <t>2015-10-17 21:29:00.000</t>
  </si>
  <si>
    <t>159591</t>
  </si>
  <si>
    <t>2015-10-18 00:01:00.000</t>
  </si>
  <si>
    <t>159708</t>
  </si>
  <si>
    <t>2015-10-19 00:00:00.000</t>
  </si>
  <si>
    <t>159709</t>
  </si>
  <si>
    <t>159710</t>
  </si>
  <si>
    <t>159716</t>
  </si>
  <si>
    <t>2015-10-19 02:00:00.000</t>
  </si>
  <si>
    <t>161838</t>
  </si>
  <si>
    <t>2015-10-25 00:00:00.000</t>
  </si>
  <si>
    <t>161839</t>
  </si>
  <si>
    <t>2015-10-24 21:29:00.000</t>
  </si>
  <si>
    <t>161955</t>
  </si>
  <si>
    <t>2015-10-24 01:00:00.000</t>
  </si>
  <si>
    <t>161992</t>
  </si>
  <si>
    <t>2015-10-25 22:30:00.000</t>
  </si>
  <si>
    <t>162001</t>
  </si>
  <si>
    <t>2015-10-26 01:01:00.000</t>
  </si>
  <si>
    <t>162002</t>
  </si>
  <si>
    <t>2015-10-26 00:59:00.000</t>
  </si>
  <si>
    <t>162003</t>
  </si>
  <si>
    <t>2015-10-26 01:00:00.000</t>
  </si>
  <si>
    <t>162007</t>
  </si>
  <si>
    <t>2015-10-26 03:00:00.000</t>
  </si>
  <si>
    <t>163886</t>
  </si>
  <si>
    <t>2015-11-02 01:01:00.000</t>
  </si>
  <si>
    <t>163887</t>
  </si>
  <si>
    <t>2015-11-02 01:00:00.000</t>
  </si>
  <si>
    <t>163888</t>
  </si>
  <si>
    <t>163889</t>
  </si>
  <si>
    <t>163890</t>
  </si>
  <si>
    <t>2015-11-02 00:59:00.000</t>
  </si>
  <si>
    <t>163891</t>
  </si>
  <si>
    <t>163892</t>
  </si>
  <si>
    <t>163893</t>
  </si>
  <si>
    <t>166590</t>
  </si>
  <si>
    <t>2015-11-09 00:59:00.000</t>
  </si>
  <si>
    <t>166595</t>
  </si>
  <si>
    <t>2015-11-09 01:00:00.000</t>
  </si>
  <si>
    <t>166598</t>
  </si>
  <si>
    <t>166599</t>
  </si>
  <si>
    <t>2015-11-09 01:02:00.000</t>
  </si>
  <si>
    <t>166601</t>
  </si>
  <si>
    <t>166602</t>
  </si>
  <si>
    <t>166738</t>
  </si>
  <si>
    <t>166741</t>
  </si>
  <si>
    <t>2015-11-09 01:03:00.000</t>
  </si>
  <si>
    <t>195425</t>
  </si>
  <si>
    <t>2016-03-12 02:01:00.000</t>
  </si>
  <si>
    <t>195889</t>
  </si>
  <si>
    <t>2016-03-14 01:00:00.000</t>
  </si>
  <si>
    <t>195890</t>
  </si>
  <si>
    <t>195891</t>
  </si>
  <si>
    <t>2016-03-14 01:15:00.000</t>
  </si>
  <si>
    <t>195892</t>
  </si>
  <si>
    <t>2016-03-14 03:05:00.000</t>
  </si>
  <si>
    <t>195893</t>
  </si>
  <si>
    <t>2016-03-13 22:30:00.000</t>
  </si>
  <si>
    <t>196205</t>
  </si>
  <si>
    <t>2016-03-15 02:00:00.000</t>
  </si>
  <si>
    <t>196395</t>
  </si>
  <si>
    <t>2016-03-13 01:00:00.000</t>
  </si>
  <si>
    <t>198146</t>
  </si>
  <si>
    <t>2016-03-19 01:59:00.000</t>
  </si>
  <si>
    <t>198227</t>
  </si>
  <si>
    <t>2016-03-20 01:00:00.000</t>
  </si>
  <si>
    <t>198258</t>
  </si>
  <si>
    <t>2016-03-19 22:30:00.000</t>
  </si>
  <si>
    <t>198450</t>
  </si>
  <si>
    <t>2016-03-20 22:30:00.000</t>
  </si>
  <si>
    <t>198460</t>
  </si>
  <si>
    <t>2016-03-21 01:00:00.000</t>
  </si>
  <si>
    <t>198461</t>
  </si>
  <si>
    <t>2016-03-21 01:01:00.000</t>
  </si>
  <si>
    <t>198462</t>
  </si>
  <si>
    <t>2016-03-21 00:59:00.000</t>
  </si>
  <si>
    <t>198469</t>
  </si>
  <si>
    <t>2016-03-21 03:00:00.000</t>
  </si>
  <si>
    <t>201706</t>
  </si>
  <si>
    <t>2016-04-02 21:33:00.000</t>
  </si>
  <si>
    <t>201792</t>
  </si>
  <si>
    <t>2016-04-03 00:00:00.000</t>
  </si>
  <si>
    <t>201938</t>
  </si>
  <si>
    <t>2016-04-03 21:29:00.000</t>
  </si>
  <si>
    <t>201954</t>
  </si>
  <si>
    <t>2016-04-02 01:00:00.000</t>
  </si>
  <si>
    <t>202111</t>
  </si>
  <si>
    <t>2016-04-03 23:59:00.000</t>
  </si>
  <si>
    <t>202112</t>
  </si>
  <si>
    <t>2016-04-04 00:00:00.000</t>
  </si>
  <si>
    <t>202113</t>
  </si>
  <si>
    <t>202119</t>
  </si>
  <si>
    <t>2016-04-04 02:00:00.000</t>
  </si>
  <si>
    <t>204165</t>
  </si>
  <si>
    <t>2016-04-10 21:30:00.000</t>
  </si>
  <si>
    <t>204280</t>
  </si>
  <si>
    <t>2016-04-11 00:00:00.000</t>
  </si>
  <si>
    <t>204282</t>
  </si>
  <si>
    <t>2016-04-10 23:59:00.000</t>
  </si>
  <si>
    <t>204283</t>
  </si>
  <si>
    <t>204287</t>
  </si>
  <si>
    <t>2016-04-11 02:00:00.000</t>
  </si>
  <si>
    <t>204335</t>
  </si>
  <si>
    <t>2016-04-10 00:01:00.000</t>
  </si>
  <si>
    <t>204357</t>
  </si>
  <si>
    <t>2016-04-09 00:59:00.000</t>
  </si>
  <si>
    <t>204392</t>
  </si>
  <si>
    <t>2016-04-09 21:30:00.000</t>
  </si>
  <si>
    <t>206668</t>
  </si>
  <si>
    <t>2016-04-16 01:00:00.000</t>
  </si>
  <si>
    <t>206709</t>
  </si>
  <si>
    <t>2016-04-17 21:31:00.000</t>
  </si>
  <si>
    <t>206718</t>
  </si>
  <si>
    <t>2016-04-18 00:00:00.000</t>
  </si>
  <si>
    <t>206719</t>
  </si>
  <si>
    <t>2016-04-17 23:59:00.000</t>
  </si>
  <si>
    <t>206720</t>
  </si>
  <si>
    <t>206726</t>
  </si>
  <si>
    <t>2016-04-18 02:00:00.000</t>
  </si>
  <si>
    <t>207090</t>
  </si>
  <si>
    <t>2016-04-16 21:29:00.000</t>
  </si>
  <si>
    <t>207112</t>
  </si>
  <si>
    <t>2016-04-16 23:59:00.000</t>
  </si>
  <si>
    <t>208862</t>
  </si>
  <si>
    <t>2016-04-21 00:59:00.000</t>
  </si>
  <si>
    <t>208863</t>
  </si>
  <si>
    <t>208864</t>
  </si>
  <si>
    <t>2016-04-21 01:00:00.000</t>
  </si>
  <si>
    <t>209102</t>
  </si>
  <si>
    <t>2016-04-22 01:00:00.000</t>
  </si>
  <si>
    <t>209297</t>
  </si>
  <si>
    <t>209451</t>
  </si>
  <si>
    <t>209452</t>
  </si>
  <si>
    <t>2016-04-22 01:01:00.000</t>
  </si>
  <si>
    <t>209453</t>
  </si>
  <si>
    <t>210037</t>
  </si>
  <si>
    <t>2016-04-24 00:01:00.000</t>
  </si>
  <si>
    <t>210081</t>
  </si>
  <si>
    <t>2016-04-23 21:29:00.000</t>
  </si>
  <si>
    <t>210114</t>
  </si>
  <si>
    <t>2016-04-24 21:30:00.000</t>
  </si>
  <si>
    <t>210118</t>
  </si>
  <si>
    <t>2016-04-24 23:59:00.000</t>
  </si>
  <si>
    <t>210121</t>
  </si>
  <si>
    <t>2016-04-25 00:00:00.000</t>
  </si>
  <si>
    <t>210126</t>
  </si>
  <si>
    <t>210127</t>
  </si>
  <si>
    <t>2016-04-25 01:59:00.000</t>
  </si>
  <si>
    <t>210154</t>
  </si>
  <si>
    <t>2016-04-26 00:59:00.000</t>
  </si>
  <si>
    <t>211336</t>
  </si>
  <si>
    <t>2016-04-30 21:30:00.000</t>
  </si>
  <si>
    <t>211374</t>
  </si>
  <si>
    <t>2016-05-01 00:00:00.000</t>
  </si>
  <si>
    <t>211427</t>
  </si>
  <si>
    <t>2016-05-01 21:30:00.000</t>
  </si>
  <si>
    <t>211488</t>
  </si>
  <si>
    <t>2016-05-02 00:00:00.000</t>
  </si>
  <si>
    <t>211489</t>
  </si>
  <si>
    <t>211490</t>
  </si>
  <si>
    <t>2016-05-01 23:59:00.000</t>
  </si>
  <si>
    <t>211494</t>
  </si>
  <si>
    <t>2016-05-02 02:00:00.000</t>
  </si>
  <si>
    <t>211597</t>
  </si>
  <si>
    <t>2016-05-03 00:59:00.000</t>
  </si>
  <si>
    <t>214292</t>
  </si>
  <si>
    <t>2016-05-07 21:29:00.000</t>
  </si>
  <si>
    <t>214302</t>
  </si>
  <si>
    <t>2016-05-08 00:00:00.000</t>
  </si>
  <si>
    <t>214336</t>
  </si>
  <si>
    <t>2016-05-08 21:30:00.000</t>
  </si>
  <si>
    <t>214358</t>
  </si>
  <si>
    <t>2016-05-08 02:00:00.000</t>
  </si>
  <si>
    <t>214371</t>
  </si>
  <si>
    <t>2016-05-09 00:00:00.000</t>
  </si>
  <si>
    <t>214372</t>
  </si>
  <si>
    <t>2016-05-08 23:59:00.000</t>
  </si>
  <si>
    <t>214373</t>
  </si>
  <si>
    <t>214374</t>
  </si>
  <si>
    <t>2016-05-09 02:00:00.000</t>
  </si>
  <si>
    <t>216235</t>
  </si>
  <si>
    <t>2016-05-12 00:59:00.000</t>
  </si>
  <si>
    <t>216236</t>
  </si>
  <si>
    <t>2016-05-12 01:00:00.000</t>
  </si>
  <si>
    <t>216237</t>
  </si>
  <si>
    <t>2016-05-12 01:01:00.000</t>
  </si>
  <si>
    <t>216240</t>
  </si>
  <si>
    <t>216293</t>
  </si>
  <si>
    <t>2016-05-13 01:00:00.000</t>
  </si>
  <si>
    <t>216294</t>
  </si>
  <si>
    <t>216295</t>
  </si>
  <si>
    <t>216296</t>
  </si>
  <si>
    <t>217315</t>
  </si>
  <si>
    <t>2016-05-16 21:30:00.000</t>
  </si>
  <si>
    <t>217316</t>
  </si>
  <si>
    <t>217320</t>
  </si>
  <si>
    <t>2016-05-16 23:59:00.000</t>
  </si>
  <si>
    <t>217321</t>
  </si>
  <si>
    <t>2016-05-17 00:02:00.000</t>
  </si>
  <si>
    <t>217322</t>
  </si>
  <si>
    <t>2016-05-17 00:00:00.000</t>
  </si>
  <si>
    <t>217323</t>
  </si>
  <si>
    <t>217324</t>
  </si>
  <si>
    <t>217327</t>
  </si>
  <si>
    <t>2016-05-17 02:00:00.000</t>
  </si>
  <si>
    <t>218825</t>
  </si>
  <si>
    <t>2016-05-21 01:00:00.000</t>
  </si>
  <si>
    <t>218905</t>
  </si>
  <si>
    <t>2016-05-22 23:59:00.000</t>
  </si>
  <si>
    <t>218907</t>
  </si>
  <si>
    <t>2016-05-23 00:00:00.000</t>
  </si>
  <si>
    <t>218911</t>
  </si>
  <si>
    <t>2016-05-23 02:00:00.000</t>
  </si>
  <si>
    <t>218912</t>
  </si>
  <si>
    <t>2016-05-22 00:01:00.000</t>
  </si>
  <si>
    <t>218915</t>
  </si>
  <si>
    <t>2016-05-22 21:00:00.000</t>
  </si>
  <si>
    <t>218919</t>
  </si>
  <si>
    <t>218920</t>
  </si>
  <si>
    <t>2016-05-21 21:30:00.000</t>
  </si>
  <si>
    <t>220503</t>
  </si>
  <si>
    <t>2016-05-29 21:30:00.000</t>
  </si>
  <si>
    <t>220504</t>
  </si>
  <si>
    <t>2016-05-29 21:29:00.000</t>
  </si>
  <si>
    <t>220628</t>
  </si>
  <si>
    <t>2016-05-30 00:01:00.000</t>
  </si>
  <si>
    <t>220629</t>
  </si>
  <si>
    <t>2016-05-29 23:59:00.000</t>
  </si>
  <si>
    <t>220630</t>
  </si>
  <si>
    <t>220631</t>
  </si>
  <si>
    <t>2016-05-30 02:00:00.000</t>
  </si>
  <si>
    <t>220713</t>
  </si>
  <si>
    <t>2016-05-28 21:30:00.000</t>
  </si>
  <si>
    <t>221905</t>
  </si>
  <si>
    <t>2016-05-29 00:00:00.000</t>
  </si>
  <si>
    <t>227865</t>
  </si>
  <si>
    <t>2016-07-02 01:01:00.000</t>
  </si>
  <si>
    <t>227892</t>
  </si>
  <si>
    <t>2016-07-02 21:29:00.000</t>
  </si>
  <si>
    <t>228145</t>
  </si>
  <si>
    <t>2016-07-03 00:00:00.000</t>
  </si>
  <si>
    <t>228149</t>
  </si>
  <si>
    <t>2016-07-03 21:30:00.000</t>
  </si>
  <si>
    <t>228250</t>
  </si>
  <si>
    <t>2016-07-04 00:00:00.000</t>
  </si>
  <si>
    <t>228251</t>
  </si>
  <si>
    <t>2016-07-03 23:59:00.000</t>
  </si>
  <si>
    <t>228252</t>
  </si>
  <si>
    <t>228459</t>
  </si>
  <si>
    <t>2016-07-05 01:00:00.000</t>
  </si>
  <si>
    <t>229680</t>
  </si>
  <si>
    <t>2016-07-09 21:29:00.000</t>
  </si>
  <si>
    <t>229681</t>
  </si>
  <si>
    <t>2016-07-10 00:00:00.000</t>
  </si>
  <si>
    <t>229682</t>
  </si>
  <si>
    <t>229683</t>
  </si>
  <si>
    <t>229684</t>
  </si>
  <si>
    <t>2016-07-10 02:00:00.000</t>
  </si>
  <si>
    <t>229764</t>
  </si>
  <si>
    <t>2016-07-10 23:59:00.000</t>
  </si>
  <si>
    <t>229765</t>
  </si>
  <si>
    <t>2016-07-11 00:00:00.000</t>
  </si>
  <si>
    <t>229841</t>
  </si>
  <si>
    <t>2016-07-09 01:00:00.000</t>
  </si>
  <si>
    <t>231436</t>
  </si>
  <si>
    <t>2016-07-16 21:30:00.000</t>
  </si>
  <si>
    <t>231481</t>
  </si>
  <si>
    <t>2016-07-16 01:00:00.000</t>
  </si>
  <si>
    <t>231590</t>
  </si>
  <si>
    <t>2016-07-17 21:29:00.000</t>
  </si>
  <si>
    <t>231593</t>
  </si>
  <si>
    <t>2016-07-18 00:01:00.000</t>
  </si>
  <si>
    <t>231594</t>
  </si>
  <si>
    <t>2016-07-18 00:00:00.000</t>
  </si>
  <si>
    <t>231595</t>
  </si>
  <si>
    <t>231596</t>
  </si>
  <si>
    <t>2016-07-18 02:00:00.000</t>
  </si>
  <si>
    <t>232555</t>
  </si>
  <si>
    <t>2016-07-17 00:01:00.000</t>
  </si>
  <si>
    <t>233298</t>
  </si>
  <si>
    <t>2016-07-23 01:02:00.000</t>
  </si>
  <si>
    <t>233330</t>
  </si>
  <si>
    <t>2016-07-24 21:29:00.000</t>
  </si>
  <si>
    <t>233345</t>
  </si>
  <si>
    <t>2016-07-25 00:05:00.000</t>
  </si>
  <si>
    <t>233348</t>
  </si>
  <si>
    <t>2016-07-25 00:00:00.000</t>
  </si>
  <si>
    <t>233349</t>
  </si>
  <si>
    <t>2016-07-24 23:59:00.000</t>
  </si>
  <si>
    <t>233352</t>
  </si>
  <si>
    <t>2016-07-25 02:01:00.000</t>
  </si>
  <si>
    <t>233703</t>
  </si>
  <si>
    <t>2016-07-23 21:30:00.000</t>
  </si>
  <si>
    <t>233714</t>
  </si>
  <si>
    <t>2016-07-24 00:00:00.000</t>
  </si>
  <si>
    <t>235046</t>
  </si>
  <si>
    <t>2016-07-30 01:00:00.000</t>
  </si>
  <si>
    <t>235167</t>
  </si>
  <si>
    <t>2016-08-01 00:00:00.000</t>
  </si>
  <si>
    <t>235168</t>
  </si>
  <si>
    <t>2016-07-31 23:59:00.000</t>
  </si>
  <si>
    <t>235169</t>
  </si>
  <si>
    <t>235171</t>
  </si>
  <si>
    <t>2016-08-01 02:00:00.000</t>
  </si>
  <si>
    <t>235181</t>
  </si>
  <si>
    <t>2016-07-31 21:29:00.000</t>
  </si>
  <si>
    <t>235375</t>
  </si>
  <si>
    <t>2016-08-02 01:00:00.000</t>
  </si>
  <si>
    <t>237655</t>
  </si>
  <si>
    <t>2016-08-06 00:30:00.000</t>
  </si>
  <si>
    <t>237705</t>
  </si>
  <si>
    <t>2016-08-08 00:05:00.000</t>
  </si>
  <si>
    <t>237710</t>
  </si>
  <si>
    <t>2016-08-08 00:01:00.000</t>
  </si>
  <si>
    <t>237712</t>
  </si>
  <si>
    <t>2016-08-08 00:00:00.000</t>
  </si>
  <si>
    <t>237714</t>
  </si>
  <si>
    <t>2016-08-08 02:00:00.000</t>
  </si>
  <si>
    <t>237725</t>
  </si>
  <si>
    <t>2016-08-06 21:30:00.000</t>
  </si>
  <si>
    <t>237781</t>
  </si>
  <si>
    <t>2016-08-07 00:01:00.000</t>
  </si>
  <si>
    <t>237812</t>
  </si>
  <si>
    <t>2016-08-07 21:30:00.000</t>
  </si>
  <si>
    <t>240041</t>
  </si>
  <si>
    <t>2016-08-13 21:31:00.000</t>
  </si>
  <si>
    <t>240061</t>
  </si>
  <si>
    <t>2016-08-14 23:59:00.000</t>
  </si>
  <si>
    <t>240071</t>
  </si>
  <si>
    <t>240072</t>
  </si>
  <si>
    <t>2016-08-15 00:00:00.000</t>
  </si>
  <si>
    <t>240073</t>
  </si>
  <si>
    <t>240084</t>
  </si>
  <si>
    <t>2016-08-15 02:01:00.000</t>
  </si>
  <si>
    <t>240090</t>
  </si>
  <si>
    <t>2016-08-12 01:00:00.000</t>
  </si>
  <si>
    <t>240180</t>
  </si>
  <si>
    <t>2016-08-14 00:00:00.000</t>
  </si>
  <si>
    <t>240220</t>
  </si>
  <si>
    <t>2016-08-14 21:30:00.000</t>
  </si>
  <si>
    <t>242999</t>
  </si>
  <si>
    <t>2016-08-20 01:00:00.000</t>
  </si>
  <si>
    <t>243183</t>
  </si>
  <si>
    <t>2016-08-20 21:31:00.000</t>
  </si>
  <si>
    <t>243253</t>
  </si>
  <si>
    <t>2016-08-21 21:30:00.000</t>
  </si>
  <si>
    <t>243338</t>
  </si>
  <si>
    <t>2016-08-22 00:03:00.000</t>
  </si>
  <si>
    <t>243342</t>
  </si>
  <si>
    <t>2016-08-22 00:00:00.000</t>
  </si>
  <si>
    <t>243343</t>
  </si>
  <si>
    <t>243346</t>
  </si>
  <si>
    <t>243375</t>
  </si>
  <si>
    <t>2016-08-22 01:59:00.000</t>
  </si>
  <si>
    <t>245119</t>
  </si>
  <si>
    <t>2016-08-27 01:00:00.000</t>
  </si>
  <si>
    <t>245120</t>
  </si>
  <si>
    <t>2016-08-27 21:30:00.000</t>
  </si>
  <si>
    <t>245121</t>
  </si>
  <si>
    <t>2016-08-28 00:00:00.000</t>
  </si>
  <si>
    <t>245122</t>
  </si>
  <si>
    <t>2016-08-28 21:31:00.000</t>
  </si>
  <si>
    <t>245123</t>
  </si>
  <si>
    <t>2016-08-28 23:59:00.000</t>
  </si>
  <si>
    <t>245124</t>
  </si>
  <si>
    <t>2016-08-29 00:00:00.000</t>
  </si>
  <si>
    <t>245125</t>
  </si>
  <si>
    <t>245126</t>
  </si>
  <si>
    <t>2016-08-29 02:00:00.000</t>
  </si>
  <si>
    <t>247833</t>
  </si>
  <si>
    <t>2016-09-10 01:00:00.000</t>
  </si>
  <si>
    <t>247834</t>
  </si>
  <si>
    <t>2016-09-10 21:29:00.000</t>
  </si>
  <si>
    <t>247835</t>
  </si>
  <si>
    <t>2016-09-11 00:01:00.000</t>
  </si>
  <si>
    <t>247836</t>
  </si>
  <si>
    <t>2016-09-11 21:30:00.000</t>
  </si>
  <si>
    <t>247837</t>
  </si>
  <si>
    <t>2016-09-12 00:00:00.000</t>
  </si>
  <si>
    <t>247838</t>
  </si>
  <si>
    <t>247839</t>
  </si>
  <si>
    <t>2016-09-12 00:01:00.000</t>
  </si>
  <si>
    <t>247840</t>
  </si>
  <si>
    <t>2016-09-12 02:00:00.000</t>
  </si>
  <si>
    <t>252905</t>
  </si>
  <si>
    <t>2016-09-17 00:59:00.000</t>
  </si>
  <si>
    <t>252906</t>
  </si>
  <si>
    <t>2016-09-17 21:30:00.000</t>
  </si>
  <si>
    <t>252907</t>
  </si>
  <si>
    <t>2016-09-18 00:00:00.000</t>
  </si>
  <si>
    <t>252908</t>
  </si>
  <si>
    <t>2016-09-18 21:30:00.000</t>
  </si>
  <si>
    <t>252909</t>
  </si>
  <si>
    <t>2016-09-19 00:00:00.000</t>
  </si>
  <si>
    <t>252910</t>
  </si>
  <si>
    <t>2016-09-19 00:05:00.000</t>
  </si>
  <si>
    <t>252911</t>
  </si>
  <si>
    <t>252932</t>
  </si>
  <si>
    <t>2016-09-19 02:23:00.000</t>
  </si>
  <si>
    <t>255727</t>
  </si>
  <si>
    <t>2016-09-24 21:30:00.000</t>
  </si>
  <si>
    <t>255728</t>
  </si>
  <si>
    <t>2016-09-25 00:00:00.000</t>
  </si>
  <si>
    <t>255729</t>
  </si>
  <si>
    <t>2016-09-25 21:30:00.000</t>
  </si>
  <si>
    <t>255730</t>
  </si>
  <si>
    <t>2016-09-26 00:00:00.000</t>
  </si>
  <si>
    <t>255731</t>
  </si>
  <si>
    <t>255732</t>
  </si>
  <si>
    <t>2016-09-25 23:59:00.000</t>
  </si>
  <si>
    <t>255733</t>
  </si>
  <si>
    <t>2016-09-26 02:00:00.000</t>
  </si>
  <si>
    <t>255734</t>
  </si>
  <si>
    <t>2016-09-27 01:00:00.000</t>
  </si>
  <si>
    <t>258649</t>
  </si>
  <si>
    <t>2016-10-01 01:00:00.000</t>
  </si>
  <si>
    <t>258650</t>
  </si>
  <si>
    <t>2016-10-01 21:30:00.000</t>
  </si>
  <si>
    <t>258651</t>
  </si>
  <si>
    <t>2016-10-02 00:00:00.000</t>
  </si>
  <si>
    <t>258652</t>
  </si>
  <si>
    <t>2016-10-02 21:29:00.000</t>
  </si>
  <si>
    <t>258653</t>
  </si>
  <si>
    <t>2016-10-02 23:59:00.000</t>
  </si>
  <si>
    <t>258654</t>
  </si>
  <si>
    <t>2016-10-03 00:00:00.000</t>
  </si>
  <si>
    <t>258655</t>
  </si>
  <si>
    <t>258656</t>
  </si>
  <si>
    <t>2016-10-03 02:00:00.000</t>
  </si>
  <si>
    <t>261020</t>
  </si>
  <si>
    <t>2016-10-15 01:00:00.000</t>
  </si>
  <si>
    <t>261021</t>
  </si>
  <si>
    <t>2016-10-15 21:30:00.000</t>
  </si>
  <si>
    <t>261022</t>
  </si>
  <si>
    <t>2016-10-16 00:00:00.000</t>
  </si>
  <si>
    <t>261023</t>
  </si>
  <si>
    <t>2016-10-16 21:30:00.000</t>
  </si>
  <si>
    <t>261024</t>
  </si>
  <si>
    <t>2016-10-17 00:01:00.000</t>
  </si>
  <si>
    <t>261025</t>
  </si>
  <si>
    <t>2016-10-17 00:00:00.000</t>
  </si>
  <si>
    <t>261026</t>
  </si>
  <si>
    <t>261027</t>
  </si>
  <si>
    <t>2016-10-17 02:00:00.000</t>
  </si>
  <si>
    <t>265522</t>
  </si>
  <si>
    <t>2016-10-22 01:00:00.000</t>
  </si>
  <si>
    <t>265709</t>
  </si>
  <si>
    <t>2016-10-22 21:30:00.000</t>
  </si>
  <si>
    <t>265710</t>
  </si>
  <si>
    <t>2016-10-23 00:02:00.000</t>
  </si>
  <si>
    <t>265711</t>
  </si>
  <si>
    <t>2016-10-23 21:29:00.000</t>
  </si>
  <si>
    <t>265712</t>
  </si>
  <si>
    <t>2016-10-23 23:59:00.000</t>
  </si>
  <si>
    <t>265713</t>
  </si>
  <si>
    <t>2016-10-24 00:01:00.000</t>
  </si>
  <si>
    <t>265714</t>
  </si>
  <si>
    <t>2016-10-24 00:00:00.000</t>
  </si>
  <si>
    <t>265715</t>
  </si>
  <si>
    <t>2016-10-24 02:00:00.000</t>
  </si>
  <si>
    <t>268032</t>
  </si>
  <si>
    <t>2016-10-31 01:00:00.000</t>
  </si>
  <si>
    <t>268033</t>
  </si>
  <si>
    <t>268034</t>
  </si>
  <si>
    <t>268035</t>
  </si>
  <si>
    <t>268036</t>
  </si>
  <si>
    <t>268037</t>
  </si>
  <si>
    <t>268038</t>
  </si>
  <si>
    <t>2016-10-31 01:01:00.000</t>
  </si>
  <si>
    <t>268039</t>
  </si>
  <si>
    <t>270735</t>
  </si>
  <si>
    <t>2016-11-07 00:59:00.000</t>
  </si>
  <si>
    <t>270736</t>
  </si>
  <si>
    <t>2016-11-07 01:00:00.000</t>
  </si>
  <si>
    <t>270737</t>
  </si>
  <si>
    <t>270738</t>
  </si>
  <si>
    <t>2016-11-07 01:01:00.000</t>
  </si>
  <si>
    <t>270739</t>
  </si>
  <si>
    <t>270740</t>
  </si>
  <si>
    <t>270741</t>
  </si>
  <si>
    <t>270742</t>
  </si>
  <si>
    <t>307979</t>
  </si>
  <si>
    <t>2017-04-02 21:35:00.000</t>
  </si>
  <si>
    <t>307980</t>
  </si>
  <si>
    <t>2017-04-03 00:02:00.000</t>
  </si>
  <si>
    <t>307981</t>
  </si>
  <si>
    <t>2017-04-03 00:05:00.000</t>
  </si>
  <si>
    <t>307982</t>
  </si>
  <si>
    <t>307983</t>
  </si>
  <si>
    <t>2017-04-03 00:03:00.000</t>
  </si>
  <si>
    <t>307984</t>
  </si>
  <si>
    <t>2017-04-03 02:00:00.000</t>
  </si>
  <si>
    <t>307985</t>
  </si>
  <si>
    <t>2017-04-04 01:05:00.000</t>
  </si>
  <si>
    <t>307986</t>
  </si>
  <si>
    <t>2017-04-02 00:02:00.000</t>
  </si>
  <si>
    <t>314294</t>
  </si>
  <si>
    <t>2017-04-06 01:05:00.000</t>
  </si>
  <si>
    <t>314295</t>
  </si>
  <si>
    <t>2017-04-06 01:01:00.000</t>
  </si>
  <si>
    <t>314296</t>
  </si>
  <si>
    <t>2017-04-06 01:02:00.000</t>
  </si>
  <si>
    <t>314297</t>
  </si>
  <si>
    <t>314298</t>
  </si>
  <si>
    <t>314397</t>
  </si>
  <si>
    <t>2017-04-07 01:02:00.000</t>
  </si>
  <si>
    <t>314398</t>
  </si>
  <si>
    <t>2017-04-07 01:05:00.000</t>
  </si>
  <si>
    <t>315048</t>
  </si>
  <si>
    <t>2017-04-07 01:00:00.000</t>
  </si>
  <si>
    <t>315296</t>
  </si>
  <si>
    <t>2017-04-11 01:01:00.000</t>
  </si>
  <si>
    <t>315299</t>
  </si>
  <si>
    <t>2017-04-10 00:05:00.000</t>
  </si>
  <si>
    <t>315300</t>
  </si>
  <si>
    <t>315361</t>
  </si>
  <si>
    <t>2017-04-09 00:05:00.000</t>
  </si>
  <si>
    <t>315495</t>
  </si>
  <si>
    <t>2017-04-10 00:01:00.000</t>
  </si>
  <si>
    <t>315496</t>
  </si>
  <si>
    <t>2017-04-10 00:02:00.000</t>
  </si>
  <si>
    <t>315497</t>
  </si>
  <si>
    <t>315499</t>
  </si>
  <si>
    <t>2017-04-10 02:00:00.000</t>
  </si>
  <si>
    <t>317330</t>
  </si>
  <si>
    <t>2017-04-18 00:00:00.000</t>
  </si>
  <si>
    <t>317331</t>
  </si>
  <si>
    <t>2017-04-18 00:05:00.000</t>
  </si>
  <si>
    <t>317332</t>
  </si>
  <si>
    <t>2017-04-17 23:54:00.000</t>
  </si>
  <si>
    <t>317333</t>
  </si>
  <si>
    <t>2017-04-18 00:03:00.000</t>
  </si>
  <si>
    <t>317334</t>
  </si>
  <si>
    <t>317335</t>
  </si>
  <si>
    <t>2017-04-18 00:01:00.000</t>
  </si>
  <si>
    <t>317336</t>
  </si>
  <si>
    <t>2017-04-18 02:00:00.000</t>
  </si>
  <si>
    <t>317337</t>
  </si>
  <si>
    <t>2017-04-18 02:02:00.000</t>
  </si>
  <si>
    <t>320058</t>
  </si>
  <si>
    <t>2017-04-23 00:00:00.000</t>
  </si>
  <si>
    <t>320059</t>
  </si>
  <si>
    <t>2017-04-24 00:00:00.000</t>
  </si>
  <si>
    <t>320060</t>
  </si>
  <si>
    <t>320061</t>
  </si>
  <si>
    <t>2017-04-24 00:01:00.000</t>
  </si>
  <si>
    <t>320062</t>
  </si>
  <si>
    <t>2017-04-24 00:03:00.000</t>
  </si>
  <si>
    <t>320063</t>
  </si>
  <si>
    <t>2017-04-23 23:59:00.000</t>
  </si>
  <si>
    <t>320064</t>
  </si>
  <si>
    <t>2017-04-24 02:00:00.000</t>
  </si>
  <si>
    <t>320065</t>
  </si>
  <si>
    <t>2017-04-25 01:00:00.000</t>
  </si>
  <si>
    <t>322397</t>
  </si>
  <si>
    <t>2017-04-30 00:17:00.000</t>
  </si>
  <si>
    <t>322398</t>
  </si>
  <si>
    <t>2017-05-01 00:05:00.000</t>
  </si>
  <si>
    <t>322399</t>
  </si>
  <si>
    <t>322400</t>
  </si>
  <si>
    <t>322401</t>
  </si>
  <si>
    <t>322402</t>
  </si>
  <si>
    <t>322403</t>
  </si>
  <si>
    <t>2017-05-01 02:05:00.000</t>
  </si>
  <si>
    <t>322425</t>
  </si>
  <si>
    <t>2017-05-02 01:00:00.000</t>
  </si>
  <si>
    <t>325156</t>
  </si>
  <si>
    <t>2017-05-07 00:05:00.000</t>
  </si>
  <si>
    <t>325157</t>
  </si>
  <si>
    <t>2017-05-08 00:01:00.000</t>
  </si>
  <si>
    <t>325197</t>
  </si>
  <si>
    <t>2017-05-08 00:03:00.000</t>
  </si>
  <si>
    <t>325198</t>
  </si>
  <si>
    <t>2017-05-08 00:05:00.000</t>
  </si>
  <si>
    <t>325199</t>
  </si>
  <si>
    <t>325200</t>
  </si>
  <si>
    <t>325201</t>
  </si>
  <si>
    <t>2017-05-08 02:05:00.000</t>
  </si>
  <si>
    <t>325202</t>
  </si>
  <si>
    <t>2017-05-09 01:01:00.000</t>
  </si>
  <si>
    <t>327815</t>
  </si>
  <si>
    <t>2017-05-13 01:04:00.000</t>
  </si>
  <si>
    <t>327816</t>
  </si>
  <si>
    <t>2017-05-13 22:02:00.000</t>
  </si>
  <si>
    <t>327817</t>
  </si>
  <si>
    <t>2017-05-14 00:05:00.000</t>
  </si>
  <si>
    <t>327840</t>
  </si>
  <si>
    <t>2017-05-14 00:02:00.000</t>
  </si>
  <si>
    <t>327841</t>
  </si>
  <si>
    <t>327842</t>
  </si>
  <si>
    <t>2017-05-14 00:01:00.000</t>
  </si>
  <si>
    <t>327843</t>
  </si>
  <si>
    <t>327844</t>
  </si>
  <si>
    <t>2017-05-14 02:05:00.000</t>
  </si>
  <si>
    <t>330240</t>
  </si>
  <si>
    <t>2017-05-17 00:01:00.000</t>
  </si>
  <si>
    <t>330241</t>
  </si>
  <si>
    <t>2017-05-17 00:03:00.000</t>
  </si>
  <si>
    <t>330242</t>
  </si>
  <si>
    <t>330243</t>
  </si>
  <si>
    <t>2017-05-17 00:05:00.000</t>
  </si>
  <si>
    <t>330244</t>
  </si>
  <si>
    <t>2017-05-17 00:02:00.000</t>
  </si>
  <si>
    <t>330245</t>
  </si>
  <si>
    <t>2017-05-16 23:59:00.000</t>
  </si>
  <si>
    <t>330246</t>
  </si>
  <si>
    <t>2017-05-17 02:02:00.000</t>
  </si>
  <si>
    <t>330247</t>
  </si>
  <si>
    <t>2017-05-17 02:01:00.000</t>
  </si>
  <si>
    <t>331130</t>
  </si>
  <si>
    <t>2017-05-20 21:30:00.000</t>
  </si>
  <si>
    <t>331153</t>
  </si>
  <si>
    <t>2017-05-21 00:01:00.000</t>
  </si>
  <si>
    <t>331154</t>
  </si>
  <si>
    <t>2017-05-22 00:05:00.000</t>
  </si>
  <si>
    <t>331155</t>
  </si>
  <si>
    <t>331156</t>
  </si>
  <si>
    <t>2017-05-22 00:02:00.000</t>
  </si>
  <si>
    <t>331157</t>
  </si>
  <si>
    <t>331158</t>
  </si>
  <si>
    <t>2017-05-22 02:01:00.000</t>
  </si>
  <si>
    <t>331159</t>
  </si>
  <si>
    <t>2017-05-23 01:05:00.000</t>
  </si>
  <si>
    <t>332903</t>
  </si>
  <si>
    <t>2017-05-28 00:02:00.000</t>
  </si>
  <si>
    <t>332904</t>
  </si>
  <si>
    <t>2017-05-28 23:59:00.000</t>
  </si>
  <si>
    <t>332905</t>
  </si>
  <si>
    <t>2017-05-29 00:00:00.000</t>
  </si>
  <si>
    <t>332906</t>
  </si>
  <si>
    <t>2017-05-29 00:01:00.000</t>
  </si>
  <si>
    <t>332907</t>
  </si>
  <si>
    <t>332908</t>
  </si>
  <si>
    <t>332909</t>
  </si>
  <si>
    <t>2017-05-29 02:00:00.000</t>
  </si>
  <si>
    <t>332910</t>
  </si>
  <si>
    <t>2017-05-30 01:00:00.000</t>
  </si>
  <si>
    <t>335137</t>
  </si>
  <si>
    <t>2017-06-03 21:35:00.000</t>
  </si>
  <si>
    <t>335138</t>
  </si>
  <si>
    <t>2017-06-04 00:05:00.000</t>
  </si>
  <si>
    <t>335139</t>
  </si>
  <si>
    <t>2017-06-04 23:59:00.000</t>
  </si>
  <si>
    <t>335140</t>
  </si>
  <si>
    <t>2017-06-05 00:02:00.000</t>
  </si>
  <si>
    <t>335141</t>
  </si>
  <si>
    <t>2017-06-05 00:05:00.000</t>
  </si>
  <si>
    <t>335142</t>
  </si>
  <si>
    <t>2017-06-05 00:04:00.000</t>
  </si>
  <si>
    <t>335143</t>
  </si>
  <si>
    <t>2017-06-05 00:01:00.000</t>
  </si>
  <si>
    <t>335144</t>
  </si>
  <si>
    <t>2017-06-05 02:00:00.000</t>
  </si>
  <si>
    <t>337060</t>
  </si>
  <si>
    <t>2017-06-18 00:00:00.000</t>
  </si>
  <si>
    <t>337061</t>
  </si>
  <si>
    <t>2017-06-19 00:00:00.000</t>
  </si>
  <si>
    <t>337062</t>
  </si>
  <si>
    <t>2017-06-19 00:01:00.000</t>
  </si>
  <si>
    <t>337063</t>
  </si>
  <si>
    <t>337064</t>
  </si>
  <si>
    <t>337065</t>
  </si>
  <si>
    <t>337066</t>
  </si>
  <si>
    <t>2017-06-20 01:05:00.000</t>
  </si>
  <si>
    <t>337067</t>
  </si>
  <si>
    <t>2017-06-19 02:00:00.000</t>
  </si>
  <si>
    <t>340169</t>
  </si>
  <si>
    <t>2017-06-25 00:02:00.000</t>
  </si>
  <si>
    <t>340170</t>
  </si>
  <si>
    <t>2017-06-26 00:06:00.000</t>
  </si>
  <si>
    <t>340171</t>
  </si>
  <si>
    <t>2017-06-26 00:01:00.000</t>
  </si>
  <si>
    <t>340172</t>
  </si>
  <si>
    <t>340173</t>
  </si>
  <si>
    <t>2017-06-26 00:00:00.000</t>
  </si>
  <si>
    <t>340174</t>
  </si>
  <si>
    <t>340175</t>
  </si>
  <si>
    <t>2017-06-26 02:01:00.000</t>
  </si>
  <si>
    <t>340176</t>
  </si>
  <si>
    <t>2017-06-27 01:01:00.000</t>
  </si>
  <si>
    <t>341808</t>
  </si>
  <si>
    <t>2017-07-02 00:06:00.000</t>
  </si>
  <si>
    <t>341809</t>
  </si>
  <si>
    <t>2017-07-02 02:16:00.000</t>
  </si>
  <si>
    <t>341810</t>
  </si>
  <si>
    <t>2017-07-03 00:00:00.000</t>
  </si>
  <si>
    <t>341811</t>
  </si>
  <si>
    <t>341812</t>
  </si>
  <si>
    <t>2017-07-03 00:01:00.000</t>
  </si>
  <si>
    <t>341813</t>
  </si>
  <si>
    <t>2017-07-03 00:05:00.000</t>
  </si>
  <si>
    <t>341814</t>
  </si>
  <si>
    <t>2017-07-03 02:15:00.000</t>
  </si>
  <si>
    <t>341815</t>
  </si>
  <si>
    <t>2017-07-04 01:02:00.000</t>
  </si>
  <si>
    <t>343518</t>
  </si>
  <si>
    <t>2017-07-08 21:30:00.000</t>
  </si>
  <si>
    <t>343519</t>
  </si>
  <si>
    <t>2017-07-09 00:02:00.000</t>
  </si>
  <si>
    <t>343520</t>
  </si>
  <si>
    <t>2017-07-10 00:02:00.000</t>
  </si>
  <si>
    <t>343521</t>
  </si>
  <si>
    <t>2017-07-10 00:01:00.000</t>
  </si>
  <si>
    <t>343522</t>
  </si>
  <si>
    <t>2017-07-10 02:01:00.000</t>
  </si>
  <si>
    <t>343523</t>
  </si>
  <si>
    <t>2017-07-11 01:00:00.000</t>
  </si>
  <si>
    <t>345345</t>
  </si>
  <si>
    <t>2017-07-15 21:31:00.000</t>
  </si>
  <si>
    <t>345346</t>
  </si>
  <si>
    <t>2017-07-16 00:03:00.000</t>
  </si>
  <si>
    <t>345347</t>
  </si>
  <si>
    <t>2017-07-17 00:01:00.000</t>
  </si>
  <si>
    <t>345348</t>
  </si>
  <si>
    <t>2017-07-17 00:05:00.000</t>
  </si>
  <si>
    <t>345349</t>
  </si>
  <si>
    <t>2017-07-17 00:04:00.000</t>
  </si>
  <si>
    <t>345350</t>
  </si>
  <si>
    <t>2017-07-17 00:02:00.000</t>
  </si>
  <si>
    <t>345351</t>
  </si>
  <si>
    <t>2017-07-17 02:01:00.000</t>
  </si>
  <si>
    <t>345352</t>
  </si>
  <si>
    <t>2017-07-18 01:02:00.000</t>
  </si>
  <si>
    <t>347293</t>
  </si>
  <si>
    <t>2017-08-06 00:00:00.000</t>
  </si>
  <si>
    <t>347294</t>
  </si>
  <si>
    <t>2017-08-07 00:00:00.000</t>
  </si>
  <si>
    <t>347295</t>
  </si>
  <si>
    <t>347296</t>
  </si>
  <si>
    <t>347297</t>
  </si>
  <si>
    <t>347298</t>
  </si>
  <si>
    <t>347299</t>
  </si>
  <si>
    <t>2017-08-07 02:00:00.000</t>
  </si>
  <si>
    <t>347300</t>
  </si>
  <si>
    <t>2017-08-08 01:00:00.000</t>
  </si>
  <si>
    <t>353431</t>
  </si>
  <si>
    <t>2017-08-12 01:01:00.000</t>
  </si>
  <si>
    <t>353766</t>
  </si>
  <si>
    <t>2017-08-13 00:00:00.000</t>
  </si>
  <si>
    <t>353859</t>
  </si>
  <si>
    <t>2017-08-14 00:00:00.000</t>
  </si>
  <si>
    <t>353860</t>
  </si>
  <si>
    <t>353861</t>
  </si>
  <si>
    <t>2017-08-14 00:03:00.000</t>
  </si>
  <si>
    <t>353862</t>
  </si>
  <si>
    <t>353863</t>
  </si>
  <si>
    <t>2017-08-14 02:01:00.000</t>
  </si>
  <si>
    <t>353864</t>
  </si>
  <si>
    <t>2017-08-15 01:00:00.000</t>
  </si>
  <si>
    <t>356591</t>
  </si>
  <si>
    <t>2017-08-20 00:01:00.000</t>
  </si>
  <si>
    <t>356807</t>
  </si>
  <si>
    <t>2017-08-21 00:01:00.000</t>
  </si>
  <si>
    <t>356808</t>
  </si>
  <si>
    <t>2017-08-21 00:05:00.000</t>
  </si>
  <si>
    <t>356809</t>
  </si>
  <si>
    <t>2017-08-21 00:03:00.000</t>
  </si>
  <si>
    <t>356810</t>
  </si>
  <si>
    <t>2017-08-21 00:04:00.000</t>
  </si>
  <si>
    <t>356811</t>
  </si>
  <si>
    <t>356812</t>
  </si>
  <si>
    <t>2017-08-21 02:01:00.000</t>
  </si>
  <si>
    <t>356813</t>
  </si>
  <si>
    <t>2017-08-22 01:00:00.000</t>
  </si>
  <si>
    <t>361868</t>
  </si>
  <si>
    <t>2017-09-10 00:02:00.000</t>
  </si>
  <si>
    <t>361869</t>
  </si>
  <si>
    <t>2017-09-11 00:00:00.000</t>
  </si>
  <si>
    <t>361870</t>
  </si>
  <si>
    <t>2017-09-10 23:59:00.000</t>
  </si>
  <si>
    <t>361871</t>
  </si>
  <si>
    <t>361872</t>
  </si>
  <si>
    <t>2017-09-11 00:02:00.000</t>
  </si>
  <si>
    <t>361873</t>
  </si>
  <si>
    <t>361874</t>
  </si>
  <si>
    <t>2017-09-11 02:00:00.000</t>
  </si>
  <si>
    <t>361875</t>
  </si>
  <si>
    <t>2017-09-12 01:00:00.000</t>
  </si>
  <si>
    <t>382072</t>
  </si>
  <si>
    <t>2017-09-17 00:00:00.000</t>
  </si>
  <si>
    <t>382087</t>
  </si>
  <si>
    <t>2017-09-18 00:01:00.000</t>
  </si>
  <si>
    <t>382088</t>
  </si>
  <si>
    <t>2017-09-18 00:00:00.000</t>
  </si>
  <si>
    <t>382089</t>
  </si>
  <si>
    <t>382090</t>
  </si>
  <si>
    <t>382092</t>
  </si>
  <si>
    <t>2017-09-17 23:59:00.000</t>
  </si>
  <si>
    <t>382170</t>
  </si>
  <si>
    <t>2017-09-18 02:00:00.000</t>
  </si>
  <si>
    <t>382372</t>
  </si>
  <si>
    <t>2017-09-19 01:00:00.000</t>
  </si>
  <si>
    <t>396546</t>
  </si>
  <si>
    <t>2017-09-22 00:00:00.000</t>
  </si>
  <si>
    <t>396547</t>
  </si>
  <si>
    <t>2017-09-24 00:00:00.000</t>
  </si>
  <si>
    <t>396548</t>
  </si>
  <si>
    <t>2017-09-25 00:00:00.000</t>
  </si>
  <si>
    <t>396549</t>
  </si>
  <si>
    <t>2017-09-25 00:01:00.000</t>
  </si>
  <si>
    <t>396550</t>
  </si>
  <si>
    <t>396551</t>
  </si>
  <si>
    <t>2017-09-25 02:00:00.000</t>
  </si>
  <si>
    <t>396552</t>
  </si>
  <si>
    <t>2017-09-24 23:59:00.000</t>
  </si>
  <si>
    <t>396553</t>
  </si>
  <si>
    <t>397102</t>
  </si>
  <si>
    <t>2017-09-26 01:00:00.000</t>
  </si>
  <si>
    <t>399674</t>
  </si>
  <si>
    <t>2017-09-30 01:00:00.000</t>
  </si>
  <si>
    <t>399675</t>
  </si>
  <si>
    <t>2017-10-01 00:00:00.000</t>
  </si>
  <si>
    <t>399676</t>
  </si>
  <si>
    <t>2017-10-02 00:05:00.000</t>
  </si>
  <si>
    <t>399714</t>
  </si>
  <si>
    <t>399715</t>
  </si>
  <si>
    <t>399716</t>
  </si>
  <si>
    <t>399717</t>
  </si>
  <si>
    <t>399718</t>
  </si>
  <si>
    <t>2017-10-02 02:00:00.000</t>
  </si>
  <si>
    <t>402021</t>
  </si>
  <si>
    <t>2017-10-14 21:35:00.000</t>
  </si>
  <si>
    <t>402022</t>
  </si>
  <si>
    <t>2017-10-15 00:00:00.000</t>
  </si>
  <si>
    <t>402023</t>
  </si>
  <si>
    <t>2017-10-16 00:05:00.000</t>
  </si>
  <si>
    <t>402024</t>
  </si>
  <si>
    <t>402025</t>
  </si>
  <si>
    <t>402026</t>
  </si>
  <si>
    <t>402027</t>
  </si>
  <si>
    <t>2017-10-16 02:00:00.000</t>
  </si>
  <si>
    <t>402028</t>
  </si>
  <si>
    <t>2017-10-17 01:00:00.000</t>
  </si>
  <si>
    <t>402107</t>
  </si>
  <si>
    <t>2017-10-13 01:00:00.000</t>
  </si>
  <si>
    <t>407549</t>
  </si>
  <si>
    <t>2017-10-22 00:00:00.000</t>
  </si>
  <si>
    <t>407550</t>
  </si>
  <si>
    <t>2017-10-23 00:00:00.000</t>
  </si>
  <si>
    <t>407551</t>
  </si>
  <si>
    <t>407552</t>
  </si>
  <si>
    <t>407553</t>
  </si>
  <si>
    <t>2017-10-23 00:01:00.000</t>
  </si>
  <si>
    <t>7</t>
  </si>
  <si>
    <t>407554</t>
  </si>
  <si>
    <t>2017-10-23 02:00:00.000</t>
  </si>
  <si>
    <t>407555</t>
  </si>
  <si>
    <t>2017-10-24 01:00:00.000</t>
  </si>
  <si>
    <t>407790</t>
  </si>
  <si>
    <t>410611</t>
  </si>
  <si>
    <t>2017-10-29 00:00:00.000</t>
  </si>
  <si>
    <t>410612</t>
  </si>
  <si>
    <t>2017-10-30 01:00:00.000</t>
  </si>
  <si>
    <t>410613</t>
  </si>
  <si>
    <t>410614</t>
  </si>
  <si>
    <t>410615</t>
  </si>
  <si>
    <t>410616</t>
  </si>
  <si>
    <t>2017-10-30 01:01:00.000</t>
  </si>
  <si>
    <t>410617</t>
  </si>
  <si>
    <t>2017-10-30 03:00:00.000</t>
  </si>
  <si>
    <t>410618</t>
  </si>
  <si>
    <t>2017-10-31 02:01:00.000</t>
  </si>
  <si>
    <t>413617</t>
  </si>
  <si>
    <t>2017-11-04 02:00:00.000</t>
  </si>
  <si>
    <t>413618</t>
  </si>
  <si>
    <t>2017-11-05 01:05:00.000</t>
  </si>
  <si>
    <t>413619</t>
  </si>
  <si>
    <t>2017-11-06 00:59:00.000</t>
  </si>
  <si>
    <t>413620</t>
  </si>
  <si>
    <t>2017-11-06 01:00:00.000</t>
  </si>
  <si>
    <t>413621</t>
  </si>
  <si>
    <t>2017-11-06 01:02:00.000</t>
  </si>
  <si>
    <t>413622</t>
  </si>
  <si>
    <t>2017-11-06 01:05:00.000</t>
  </si>
  <si>
    <t>413623</t>
  </si>
  <si>
    <t>413624</t>
  </si>
  <si>
    <t>2017-11-06 03:00:00.000</t>
  </si>
  <si>
    <t>417071</t>
  </si>
  <si>
    <t>2017-11-20 01:00:00.000</t>
  </si>
  <si>
    <t>417072</t>
  </si>
  <si>
    <t>2017-11-20 01:02:00.000</t>
  </si>
  <si>
    <t>417073</t>
  </si>
  <si>
    <t>417074</t>
  </si>
  <si>
    <t>417075</t>
  </si>
  <si>
    <t>417076</t>
  </si>
  <si>
    <t>417077</t>
  </si>
  <si>
    <t>417078</t>
  </si>
  <si>
    <t>2017-11-20 00:59:00.000</t>
  </si>
  <si>
    <t>420603</t>
  </si>
  <si>
    <t>2017-11-27 01:00:00.000</t>
  </si>
  <si>
    <t>420604</t>
  </si>
  <si>
    <t>420605</t>
  </si>
  <si>
    <t>420606</t>
  </si>
  <si>
    <t>2017-11-27 01:01:00.000</t>
  </si>
  <si>
    <t>420607</t>
  </si>
  <si>
    <t>420608</t>
  </si>
  <si>
    <t>420609</t>
  </si>
  <si>
    <t>420610</t>
  </si>
  <si>
    <t>449074</t>
  </si>
  <si>
    <t>2018-03-12 01:38:00.000</t>
  </si>
  <si>
    <t>449075</t>
  </si>
  <si>
    <t>2018-03-12 01:00:00.000</t>
  </si>
  <si>
    <t>449076</t>
  </si>
  <si>
    <t>449077</t>
  </si>
  <si>
    <t>2018-03-12 00:59:00.000</t>
  </si>
  <si>
    <t>449078</t>
  </si>
  <si>
    <t>449122</t>
  </si>
  <si>
    <t>2018-03-12 03:05:00.000</t>
  </si>
  <si>
    <t>449123</t>
  </si>
  <si>
    <t>2018-03-13 02:01:00.000</t>
  </si>
  <si>
    <t>452895</t>
  </si>
  <si>
    <t>2018-03-17 22:35:00.000</t>
  </si>
  <si>
    <t>453526</t>
  </si>
  <si>
    <t>2018-03-18 01:00:00.000</t>
  </si>
  <si>
    <t>453801</t>
  </si>
  <si>
    <t>2018-03-19 01:00:00.000</t>
  </si>
  <si>
    <t>453802</t>
  </si>
  <si>
    <t>2018-03-19 01:01:00.000</t>
  </si>
  <si>
    <t>453806</t>
  </si>
  <si>
    <t>2018-03-19 03:00:00.000</t>
  </si>
  <si>
    <t>456825</t>
  </si>
  <si>
    <t>2018-04-03 00:00:00.000</t>
  </si>
  <si>
    <t>456826</t>
  </si>
  <si>
    <t>2018-04-02 23:59:00.000</t>
  </si>
  <si>
    <t>456827</t>
  </si>
  <si>
    <t>2018-04-03 00:01:00.000</t>
  </si>
  <si>
    <t>456828</t>
  </si>
  <si>
    <t>456829</t>
  </si>
  <si>
    <t>456830</t>
  </si>
  <si>
    <t>456831</t>
  </si>
  <si>
    <t>2018-04-02 23:44:00.000</t>
  </si>
  <si>
    <t>456832</t>
  </si>
  <si>
    <t>2018-04-03 02:00:00.000</t>
  </si>
  <si>
    <t>462362</t>
  </si>
  <si>
    <t>2018-04-08 00:00:00.000</t>
  </si>
  <si>
    <t>462690</t>
  </si>
  <si>
    <t>2018-04-09 00:00:00.000</t>
  </si>
  <si>
    <t>462691</t>
  </si>
  <si>
    <t>462692</t>
  </si>
  <si>
    <t>2018-04-08 23:59:00.000</t>
  </si>
  <si>
    <t>462693</t>
  </si>
  <si>
    <t>2018-04-09 00:01:00.000</t>
  </si>
  <si>
    <t>462694</t>
  </si>
  <si>
    <t>462695</t>
  </si>
  <si>
    <t>2018-04-09 02:00:00.000</t>
  </si>
  <si>
    <t>463126</t>
  </si>
  <si>
    <t>2018-04-10 01:01:00.000</t>
  </si>
  <si>
    <t>463940</t>
  </si>
  <si>
    <t>2018-04-12 00:30:00.000</t>
  </si>
  <si>
    <t>463953</t>
  </si>
  <si>
    <t>465639</t>
  </si>
  <si>
    <t>2018-04-15 00:01:00.000</t>
  </si>
  <si>
    <t>465811</t>
  </si>
  <si>
    <t>2018-04-16 00:00:00.000</t>
  </si>
  <si>
    <t>465812</t>
  </si>
  <si>
    <t>2018-04-15 23:59:00.000</t>
  </si>
  <si>
    <t>465813</t>
  </si>
  <si>
    <t>465814</t>
  </si>
  <si>
    <t>465815</t>
  </si>
  <si>
    <t>465816</t>
  </si>
  <si>
    <t>2018-04-16 02:00:00.000</t>
  </si>
  <si>
    <t>465817</t>
  </si>
  <si>
    <t>2018-04-17 01:00:00.000</t>
  </si>
  <si>
    <t>468918</t>
  </si>
  <si>
    <t>2018-04-22 00:01:00.000</t>
  </si>
  <si>
    <t>469177</t>
  </si>
  <si>
    <t>2018-04-23 00:00:00.000</t>
  </si>
  <si>
    <t>469178</t>
  </si>
  <si>
    <t>469179</t>
  </si>
  <si>
    <t>469180</t>
  </si>
  <si>
    <t>469181</t>
  </si>
  <si>
    <t>469182</t>
  </si>
  <si>
    <t>2018-04-23 02:00:00.000</t>
  </si>
  <si>
    <t>469183</t>
  </si>
  <si>
    <t>2018-04-24 00:59:00.000</t>
  </si>
  <si>
    <t>470280</t>
  </si>
  <si>
    <t>2018-04-26 00:30:00.000</t>
  </si>
  <si>
    <t>470281</t>
  </si>
  <si>
    <t>472111</t>
  </si>
  <si>
    <t>2018-04-29 00:00:00.000</t>
  </si>
  <si>
    <t>472307</t>
  </si>
  <si>
    <t>2018-04-30 00:00:00.000</t>
  </si>
  <si>
    <t>472308</t>
  </si>
  <si>
    <t>472317</t>
  </si>
  <si>
    <t>472318</t>
  </si>
  <si>
    <t>472319</t>
  </si>
  <si>
    <t>472320</t>
  </si>
  <si>
    <t>2018-04-30 02:00:00.000</t>
  </si>
  <si>
    <t>472321</t>
  </si>
  <si>
    <t>2018-05-01 01:01:00.000</t>
  </si>
  <si>
    <t>475346</t>
  </si>
  <si>
    <t>2018-05-06 00:00:00.000</t>
  </si>
  <si>
    <t>475558</t>
  </si>
  <si>
    <t>2018-05-06 23:59:00.000</t>
  </si>
  <si>
    <t>475559</t>
  </si>
  <si>
    <t>475560</t>
  </si>
  <si>
    <t>2018-05-07 02:01:00.000</t>
  </si>
  <si>
    <t>475561</t>
  </si>
  <si>
    <t>2018-05-08 01:00:00.000</t>
  </si>
  <si>
    <t>475562</t>
  </si>
  <si>
    <t>2018-05-07 00:00:00.000</t>
  </si>
  <si>
    <t>475563</t>
  </si>
  <si>
    <t>2018-05-07 00:01:00.000</t>
  </si>
  <si>
    <t>475564</t>
  </si>
  <si>
    <t>478015</t>
  </si>
  <si>
    <t>2018-05-12 21:30:00.000</t>
  </si>
  <si>
    <t>478454</t>
  </si>
  <si>
    <t>2018-05-13 00:00:00.000</t>
  </si>
  <si>
    <t>478776</t>
  </si>
  <si>
    <t>2018-05-14 00:05:00.000</t>
  </si>
  <si>
    <t>478777</t>
  </si>
  <si>
    <t>478778</t>
  </si>
  <si>
    <t>478779</t>
  </si>
  <si>
    <t>478780</t>
  </si>
  <si>
    <t>478781</t>
  </si>
  <si>
    <t>2018-05-14 02:00:00.000</t>
  </si>
  <si>
    <t>479653</t>
  </si>
  <si>
    <t>2018-05-17 00:00:00.000</t>
  </si>
  <si>
    <t>479654</t>
  </si>
  <si>
    <t>2018-05-17 00:01:00.000</t>
  </si>
  <si>
    <t>479655</t>
  </si>
  <si>
    <t>479656</t>
  </si>
  <si>
    <t>479657</t>
  </si>
  <si>
    <t>2018-05-16 23:59:00.000</t>
  </si>
  <si>
    <t>479658</t>
  </si>
  <si>
    <t>479659</t>
  </si>
  <si>
    <t>479660</t>
  </si>
  <si>
    <t>481869</t>
  </si>
  <si>
    <t>2018-05-22 00:00:00.000</t>
  </si>
  <si>
    <t>481870</t>
  </si>
  <si>
    <t>2018-05-22 00:01:00.000</t>
  </si>
  <si>
    <t>481871</t>
  </si>
  <si>
    <t>481872</t>
  </si>
  <si>
    <t>2018-05-21 23:58:00.000</t>
  </si>
  <si>
    <t>481873</t>
  </si>
  <si>
    <t>481874</t>
  </si>
  <si>
    <t>481875</t>
  </si>
  <si>
    <t>481876</t>
  </si>
  <si>
    <t>2018-05-22 02:01:00.000</t>
  </si>
  <si>
    <t>483633</t>
  </si>
  <si>
    <t>2018-05-26 23:00:00.000</t>
  </si>
  <si>
    <t>484224</t>
  </si>
  <si>
    <t>2018-05-28 00:00:00.000</t>
  </si>
  <si>
    <t>484225</t>
  </si>
  <si>
    <t>484226</t>
  </si>
  <si>
    <t>484227</t>
  </si>
  <si>
    <t>484228</t>
  </si>
  <si>
    <t>2018-05-28 00:01:00.000</t>
  </si>
  <si>
    <t>484229</t>
  </si>
  <si>
    <t>2018-05-28 02:00:00.000</t>
  </si>
  <si>
    <t>486472</t>
  </si>
  <si>
    <t>2018-06-11 00:01:00.000</t>
  </si>
  <si>
    <t>486476</t>
  </si>
  <si>
    <t>2018-06-11 02:01:00.000</t>
  </si>
  <si>
    <t>486477</t>
  </si>
  <si>
    <t>2018-06-12 00:59:00.000</t>
  </si>
  <si>
    <t>490575</t>
  </si>
  <si>
    <t>2018-06-24 00:00:00.000</t>
  </si>
  <si>
    <t>490576</t>
  </si>
  <si>
    <t>2018-06-25 00:00:00.000</t>
  </si>
  <si>
    <t>490577</t>
  </si>
  <si>
    <t>2018-06-25 00:01:00.000</t>
  </si>
  <si>
    <t>490578</t>
  </si>
  <si>
    <t>490579</t>
  </si>
  <si>
    <t>490580</t>
  </si>
  <si>
    <t>490581</t>
  </si>
  <si>
    <t>2018-06-25 02:00:00.000</t>
  </si>
  <si>
    <t>490582</t>
  </si>
  <si>
    <t>2018-06-26 01:00:00.000</t>
  </si>
  <si>
    <t>493536</t>
  </si>
  <si>
    <t>2018-07-01 00:00:00.000</t>
  </si>
  <si>
    <t>493688</t>
  </si>
  <si>
    <t>2018-07-02 00:01:00.000</t>
  </si>
  <si>
    <t>493689</t>
  </si>
  <si>
    <t>493690</t>
  </si>
  <si>
    <t>2018-07-02 00:00:00.000</t>
  </si>
  <si>
    <t>493691</t>
  </si>
  <si>
    <t>493692</t>
  </si>
  <si>
    <t>2018-07-02 00:03:00.000</t>
  </si>
  <si>
    <t>493693</t>
  </si>
  <si>
    <t>2018-07-02 02:00:00.000</t>
  </si>
  <si>
    <t>493786</t>
  </si>
  <si>
    <t>2018-07-03 00:02:00.000</t>
  </si>
  <si>
    <t>495195</t>
  </si>
  <si>
    <t>2018-07-08 00:00:00.000</t>
  </si>
  <si>
    <t>vist_team_whole_score</t>
    <phoneticPr fontId="1" type="noConversion"/>
  </si>
  <si>
    <t>主（半）</t>
    <phoneticPr fontId="1" type="noConversion"/>
  </si>
  <si>
    <t>主（全）</t>
    <phoneticPr fontId="1" type="noConversion"/>
  </si>
  <si>
    <t>客队</t>
    <phoneticPr fontId="1" type="noConversion"/>
  </si>
  <si>
    <t>客队（半）</t>
  </si>
  <si>
    <t>客队（半）</t>
    <phoneticPr fontId="1" type="noConversion"/>
  </si>
  <si>
    <t>主队：</t>
  </si>
  <si>
    <t>主队：</t>
    <phoneticPr fontId="1" type="noConversion"/>
  </si>
  <si>
    <t>波杜基林特</t>
    <phoneticPr fontId="1" type="noConversion"/>
  </si>
  <si>
    <t>波杜基林特</t>
    <phoneticPr fontId="1" type="noConversion"/>
  </si>
  <si>
    <t>半</t>
  </si>
  <si>
    <t>半</t>
    <phoneticPr fontId="1" type="noConversion"/>
  </si>
  <si>
    <t>全</t>
  </si>
  <si>
    <t>全</t>
    <phoneticPr fontId="1" type="noConversion"/>
  </si>
  <si>
    <t>波杜基林特</t>
    <phoneticPr fontId="1" type="noConversion"/>
  </si>
  <si>
    <t>布兰</t>
    <phoneticPr fontId="1" type="noConversion"/>
  </si>
  <si>
    <t>场次</t>
  </si>
  <si>
    <t>场次</t>
    <phoneticPr fontId="1" type="noConversion"/>
  </si>
  <si>
    <t>场次</t>
    <phoneticPr fontId="1" type="noConversion"/>
  </si>
  <si>
    <t>平均</t>
  </si>
  <si>
    <t>平均</t>
    <phoneticPr fontId="1" type="noConversion"/>
  </si>
  <si>
    <t>平均</t>
    <phoneticPr fontId="1" type="noConversion"/>
  </si>
  <si>
    <t>平均</t>
    <phoneticPr fontId="1" type="noConversion"/>
  </si>
  <si>
    <t>上半场进球场次</t>
  </si>
  <si>
    <t>上半场进球场次</t>
    <phoneticPr fontId="1" type="noConversion"/>
  </si>
  <si>
    <t>上半场失球场次</t>
  </si>
  <si>
    <t>上半场失球场次</t>
    <phoneticPr fontId="1" type="noConversion"/>
  </si>
  <si>
    <t>上半场失球场次</t>
    <phoneticPr fontId="1" type="noConversion"/>
  </si>
  <si>
    <t>home_team_harf_score</t>
    <phoneticPr fontId="1" type="noConversion"/>
  </si>
  <si>
    <t>          </t>
  </si>
  <si>
    <t>盘路</t>
  </si>
  <si>
    <t>平手</t>
  </si>
  <si>
    <t>输</t>
  </si>
  <si>
    <t>2-0</t>
  </si>
  <si>
    <t>平手/半球</t>
  </si>
  <si>
    <t>赢</t>
  </si>
  <si>
    <t>0-2</t>
  </si>
  <si>
    <t>0-1</t>
  </si>
  <si>
    <t>-</t>
  </si>
  <si>
    <t>1-0</t>
  </si>
  <si>
    <t>0-0</t>
  </si>
  <si>
    <t>3-0</t>
  </si>
  <si>
    <t>2016-09-19</t>
  </si>
  <si>
    <t>1-3</t>
  </si>
  <si>
    <t>2.70</t>
  </si>
  <si>
    <t>3.26</t>
  </si>
  <si>
    <t>2.48</t>
  </si>
  <si>
    <t>1.96</t>
  </si>
  <si>
    <t>1.86</t>
  </si>
  <si>
    <t>2014-10-27</t>
  </si>
  <si>
    <t>2-1</t>
  </si>
  <si>
    <t>2.09</t>
  </si>
  <si>
    <t>3.50</t>
  </si>
  <si>
    <t>3.13</t>
  </si>
  <si>
    <t>1.82</t>
  </si>
  <si>
    <t>2.02</t>
  </si>
  <si>
    <t>2009-04-28</t>
  </si>
  <si>
    <t>2008-08-31</t>
  </si>
  <si>
    <t>3-1</t>
  </si>
  <si>
    <t>2005-08-14</t>
  </si>
  <si>
    <t>2004-09-19</t>
  </si>
  <si>
    <t>2003-09-21</t>
  </si>
  <si>
    <t>2002-05-05</t>
  </si>
  <si>
    <t>2001-09-28</t>
  </si>
  <si>
    <t>5-1</t>
  </si>
  <si>
    <t>2000-05-07</t>
  </si>
  <si>
    <t>3-2</t>
  </si>
  <si>
    <t>按进球 两队应该平</t>
  </si>
  <si>
    <t>过往战绩，就没平过</t>
    <phoneticPr fontId="1" type="noConversion"/>
  </si>
  <si>
    <t>负负</t>
    <phoneticPr fontId="1" type="noConversion"/>
  </si>
  <si>
    <t>史達</t>
    <phoneticPr fontId="1" type="noConversion"/>
  </si>
  <si>
    <t>史达贝克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</si>
</sst>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80" formatCode="0.00_ "/>
    <numFmt numFmtId="181" formatCode="0.00_);[Red]\(0.00\)"/>
  </numFmts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黑体"/>
      <family val="3"/>
      <charset val="134"/>
    </font>
    <font>
      <sz val="11"/>
      <color theme="0"/>
      <name val="黑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0" borderId="0" xfId="0" applyFont="1">
      <alignment vertical="center"/>
    </xf>
    <xf numFmtId="49" fontId="2" fillId="3" borderId="1" xfId="0" applyNumberFormat="1" applyFont="1" applyFill="1" applyBorder="1">
      <alignment vertical="center"/>
    </xf>
    <xf numFmtId="49" fontId="2" fillId="0" borderId="0" xfId="0" applyNumberFormat="1" applyFont="1">
      <alignment vertical="center"/>
    </xf>
    <xf numFmtId="49" fontId="0" fillId="0" borderId="0" xfId="0" applyNumberFormat="1">
      <alignment vertical="center"/>
    </xf>
    <xf numFmtId="0" fontId="2" fillId="0" borderId="1" xfId="0" applyFont="1" applyBorder="1">
      <alignment vertical="center"/>
    </xf>
    <xf numFmtId="49" fontId="0" fillId="0" borderId="1" xfId="0" applyNumberFormat="1" applyBorder="1">
      <alignment vertical="center"/>
    </xf>
    <xf numFmtId="47" fontId="0" fillId="0" borderId="1" xfId="0" applyNumberFormat="1" applyBorder="1">
      <alignment vertical="center"/>
    </xf>
    <xf numFmtId="49" fontId="0" fillId="3" borderId="1" xfId="0" applyNumberFormat="1" applyFill="1" applyBorder="1" applyAlignment="1">
      <alignment vertical="center" wrapText="1"/>
    </xf>
    <xf numFmtId="0" fontId="0" fillId="0" borderId="0" xfId="0" applyNumberFormat="1">
      <alignment vertical="center"/>
    </xf>
    <xf numFmtId="0" fontId="0" fillId="0" borderId="1" xfId="0" applyNumberFormat="1" applyBorder="1">
      <alignment vertical="center"/>
    </xf>
    <xf numFmtId="0" fontId="2" fillId="3" borderId="1" xfId="0" applyNumberFormat="1" applyFont="1" applyFill="1" applyBorder="1">
      <alignment vertical="center"/>
    </xf>
    <xf numFmtId="0" fontId="2" fillId="0" borderId="0" xfId="0" applyFont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80" fontId="2" fillId="0" borderId="2" xfId="0" applyNumberFormat="1" applyFont="1" applyBorder="1" applyAlignment="1">
      <alignment horizontal="center" vertical="center" wrapText="1"/>
    </xf>
    <xf numFmtId="47" fontId="2" fillId="0" borderId="1" xfId="0" applyNumberFormat="1" applyFont="1" applyBorder="1">
      <alignment vertical="center"/>
    </xf>
    <xf numFmtId="181" fontId="2" fillId="0" borderId="0" xfId="0" applyNumberFormat="1" applyFont="1" applyAlignment="1">
      <alignment horizontal="center" vertical="center" wrapText="1"/>
    </xf>
    <xf numFmtId="181" fontId="0" fillId="0" borderId="0" xfId="0" applyNumberFormat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81" fontId="2" fillId="0" borderId="1" xfId="0" applyNumberFormat="1" applyFont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2" borderId="1" xfId="0" applyNumberFormat="1" applyFill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2:Q981"/>
  <sheetViews>
    <sheetView workbookViewId="0">
      <pane ySplit="11" topLeftCell="A200" activePane="bottomLeft" state="frozen"/>
      <selection pane="bottomLeft" activeCell="P1" sqref="P1:Q1048576"/>
    </sheetView>
  </sheetViews>
  <sheetFormatPr defaultRowHeight="13.5" x14ac:dyDescent="0.15"/>
  <cols>
    <col min="1" max="3" width="2" style="5" customWidth="1"/>
    <col min="4" max="4" width="8.5" style="5" bestFit="1" customWidth="1"/>
    <col min="5" max="5" width="4.375" style="5" customWidth="1"/>
    <col min="6" max="6" width="4.625" style="5" customWidth="1"/>
    <col min="7" max="7" width="10.5" style="5" customWidth="1"/>
    <col min="8" max="8" width="13" style="5" customWidth="1"/>
    <col min="9" max="9" width="9.5" style="10" bestFit="1" customWidth="1"/>
    <col min="10" max="10" width="9.25" style="5" customWidth="1"/>
    <col min="11" max="11" width="1.25" style="5" hidden="1" customWidth="1"/>
    <col min="12" max="12" width="16.375" style="5" bestFit="1" customWidth="1"/>
    <col min="13" max="13" width="8.5" style="5" bestFit="1" customWidth="1"/>
    <col min="14" max="14" width="9.25" style="5" customWidth="1"/>
    <col min="15" max="15" width="1.875" style="5" hidden="1" customWidth="1"/>
    <col min="16" max="17" width="3.375" style="5" bestFit="1" customWidth="1"/>
    <col min="18" max="18" width="9" style="5"/>
    <col min="19" max="19" width="15" style="5" bestFit="1" customWidth="1"/>
    <col min="20" max="16384" width="9" style="5"/>
  </cols>
  <sheetData>
    <row r="2" spans="4:17" x14ac:dyDescent="0.15">
      <c r="G2" s="5" t="s">
        <v>1774</v>
      </c>
      <c r="H2" s="5" t="s">
        <v>32</v>
      </c>
      <c r="I2" s="10">
        <f ca="1">SUMIF(H30:H999,"=H2",I264:I999)</f>
        <v>0</v>
      </c>
    </row>
    <row r="10" spans="4:17" x14ac:dyDescent="0.15">
      <c r="D10" s="3" t="s">
        <v>0</v>
      </c>
      <c r="E10" s="3" t="s">
        <v>16</v>
      </c>
      <c r="F10" s="3" t="s">
        <v>20</v>
      </c>
      <c r="G10" s="3" t="s">
        <v>1</v>
      </c>
      <c r="H10" s="3" t="s">
        <v>2</v>
      </c>
      <c r="I10" s="12" t="s">
        <v>1768</v>
      </c>
      <c r="J10" s="3" t="s">
        <v>1769</v>
      </c>
      <c r="L10" s="3" t="s">
        <v>14</v>
      </c>
      <c r="M10" s="3" t="s">
        <v>1772</v>
      </c>
      <c r="N10" s="3" t="s">
        <v>14</v>
      </c>
    </row>
    <row r="11" spans="4:17" ht="72.75" customHeight="1" x14ac:dyDescent="0.15">
      <c r="D11" s="9" t="s">
        <v>17</v>
      </c>
      <c r="E11" s="9" t="s">
        <v>21</v>
      </c>
      <c r="F11" s="9" t="s">
        <v>18</v>
      </c>
      <c r="G11" s="9" t="s">
        <v>22</v>
      </c>
      <c r="H11" s="9" t="s">
        <v>23</v>
      </c>
      <c r="I11" s="9" t="s">
        <v>24</v>
      </c>
      <c r="J11" s="9" t="s">
        <v>25</v>
      </c>
      <c r="K11" s="9" t="s">
        <v>26</v>
      </c>
      <c r="L11" s="9" t="s">
        <v>27</v>
      </c>
      <c r="M11" s="9" t="s">
        <v>28</v>
      </c>
      <c r="N11" s="9" t="s">
        <v>1767</v>
      </c>
      <c r="O11" s="9" t="s">
        <v>30</v>
      </c>
    </row>
    <row r="12" spans="4:17" x14ac:dyDescent="0.15">
      <c r="D12" s="7" t="s">
        <v>6</v>
      </c>
      <c r="E12" s="7" t="s">
        <v>58</v>
      </c>
      <c r="F12" s="7" t="s">
        <v>58</v>
      </c>
      <c r="G12" s="7" t="s">
        <v>59</v>
      </c>
      <c r="H12" s="7" t="s">
        <v>31</v>
      </c>
      <c r="I12" s="7" t="s">
        <v>10</v>
      </c>
      <c r="J12" s="7" t="s">
        <v>10</v>
      </c>
      <c r="K12" s="7" t="s">
        <v>33</v>
      </c>
      <c r="L12" s="7" t="s">
        <v>32</v>
      </c>
      <c r="M12" s="7" t="s">
        <v>33</v>
      </c>
      <c r="N12" s="7" t="s">
        <v>33</v>
      </c>
      <c r="O12" s="7" t="s">
        <v>33</v>
      </c>
      <c r="P12" s="11" t="str">
        <f>IF(I12=M12,"平",IF(I12&gt;M12,"胜","负"))</f>
        <v>胜</v>
      </c>
      <c r="Q12" s="11" t="str">
        <f>IF(J12=N12,"平",IF(J12&gt;N12,"胜","负"))</f>
        <v>胜</v>
      </c>
    </row>
    <row r="13" spans="4:17" x14ac:dyDescent="0.15">
      <c r="D13" s="7" t="s">
        <v>6</v>
      </c>
      <c r="E13" s="7" t="s">
        <v>60</v>
      </c>
      <c r="F13" s="7" t="s">
        <v>60</v>
      </c>
      <c r="G13" s="7" t="s">
        <v>59</v>
      </c>
      <c r="H13" s="7" t="s">
        <v>34</v>
      </c>
      <c r="I13" s="7" t="s">
        <v>33</v>
      </c>
      <c r="J13" s="7" t="s">
        <v>33</v>
      </c>
      <c r="K13" s="7" t="s">
        <v>33</v>
      </c>
      <c r="L13" s="7" t="s">
        <v>35</v>
      </c>
      <c r="M13" s="7" t="s">
        <v>33</v>
      </c>
      <c r="N13" s="7" t="s">
        <v>33</v>
      </c>
      <c r="O13" s="7" t="s">
        <v>33</v>
      </c>
      <c r="P13" s="11" t="str">
        <f t="shared" ref="P13:P76" si="0">IF(I13=M13,"平",IF(I13&gt;M13,"胜","负"))</f>
        <v>平</v>
      </c>
      <c r="Q13" s="11" t="str">
        <f t="shared" ref="Q13:Q76" si="1">IF(J13=N13,"平",IF(J13&gt;N13,"胜","负"))</f>
        <v>平</v>
      </c>
    </row>
    <row r="14" spans="4:17" x14ac:dyDescent="0.15">
      <c r="D14" s="7" t="s">
        <v>6</v>
      </c>
      <c r="E14" s="7" t="s">
        <v>61</v>
      </c>
      <c r="F14" s="7" t="s">
        <v>61</v>
      </c>
      <c r="G14" s="7" t="s">
        <v>62</v>
      </c>
      <c r="H14" s="7" t="s">
        <v>36</v>
      </c>
      <c r="I14" s="7" t="s">
        <v>33</v>
      </c>
      <c r="J14" s="7" t="s">
        <v>9</v>
      </c>
      <c r="K14" s="7" t="s">
        <v>33</v>
      </c>
      <c r="L14" s="7" t="s">
        <v>37</v>
      </c>
      <c r="M14" s="7" t="s">
        <v>9</v>
      </c>
      <c r="N14" s="7" t="s">
        <v>50</v>
      </c>
      <c r="O14" s="7" t="s">
        <v>33</v>
      </c>
      <c r="P14" s="11" t="str">
        <f t="shared" si="0"/>
        <v>负</v>
      </c>
      <c r="Q14" s="11" t="str">
        <f t="shared" si="1"/>
        <v>负</v>
      </c>
    </row>
    <row r="15" spans="4:17" x14ac:dyDescent="0.15">
      <c r="D15" s="7" t="s">
        <v>6</v>
      </c>
      <c r="E15" s="7" t="s">
        <v>63</v>
      </c>
      <c r="F15" s="7" t="s">
        <v>63</v>
      </c>
      <c r="G15" s="7" t="s">
        <v>64</v>
      </c>
      <c r="H15" s="7" t="s">
        <v>38</v>
      </c>
      <c r="I15" s="7" t="s">
        <v>9</v>
      </c>
      <c r="J15" s="7" t="s">
        <v>39</v>
      </c>
      <c r="K15" s="7" t="s">
        <v>33</v>
      </c>
      <c r="L15" s="7" t="s">
        <v>35</v>
      </c>
      <c r="M15" s="7" t="s">
        <v>33</v>
      </c>
      <c r="N15" s="7" t="s">
        <v>33</v>
      </c>
      <c r="O15" s="7" t="s">
        <v>33</v>
      </c>
      <c r="P15" s="11" t="str">
        <f t="shared" si="0"/>
        <v>胜</v>
      </c>
      <c r="Q15" s="11" t="str">
        <f t="shared" si="1"/>
        <v>胜</v>
      </c>
    </row>
    <row r="16" spans="4:17" x14ac:dyDescent="0.15">
      <c r="D16" s="7" t="s">
        <v>6</v>
      </c>
      <c r="E16" s="7" t="s">
        <v>65</v>
      </c>
      <c r="F16" s="7" t="s">
        <v>65</v>
      </c>
      <c r="G16" s="7" t="s">
        <v>66</v>
      </c>
      <c r="H16" s="7" t="s">
        <v>40</v>
      </c>
      <c r="I16" s="7" t="s">
        <v>33</v>
      </c>
      <c r="J16" s="7" t="s">
        <v>10</v>
      </c>
      <c r="K16" s="7" t="s">
        <v>33</v>
      </c>
      <c r="L16" s="7" t="s">
        <v>31</v>
      </c>
      <c r="M16" s="7" t="s">
        <v>33</v>
      </c>
      <c r="N16" s="7" t="s">
        <v>33</v>
      </c>
      <c r="O16" s="7" t="s">
        <v>33</v>
      </c>
      <c r="P16" s="11" t="str">
        <f t="shared" si="0"/>
        <v>平</v>
      </c>
      <c r="Q16" s="11" t="str">
        <f t="shared" si="1"/>
        <v>胜</v>
      </c>
    </row>
    <row r="17" spans="4:17" x14ac:dyDescent="0.15">
      <c r="D17" s="7" t="s">
        <v>6</v>
      </c>
      <c r="E17" s="7" t="s">
        <v>67</v>
      </c>
      <c r="F17" s="7" t="s">
        <v>67</v>
      </c>
      <c r="G17" s="7" t="s">
        <v>68</v>
      </c>
      <c r="H17" s="7" t="s">
        <v>41</v>
      </c>
      <c r="I17" s="7" t="s">
        <v>10</v>
      </c>
      <c r="J17" s="7" t="s">
        <v>9</v>
      </c>
      <c r="K17" s="7" t="s">
        <v>33</v>
      </c>
      <c r="L17" s="7" t="s">
        <v>32</v>
      </c>
      <c r="M17" s="7" t="s">
        <v>33</v>
      </c>
      <c r="N17" s="7" t="s">
        <v>10</v>
      </c>
      <c r="O17" s="7" t="s">
        <v>33</v>
      </c>
      <c r="P17" s="11" t="str">
        <f t="shared" si="0"/>
        <v>胜</v>
      </c>
      <c r="Q17" s="11" t="str">
        <f t="shared" si="1"/>
        <v>胜</v>
      </c>
    </row>
    <row r="18" spans="4:17" x14ac:dyDescent="0.15">
      <c r="D18" s="7" t="s">
        <v>6</v>
      </c>
      <c r="E18" s="7" t="s">
        <v>69</v>
      </c>
      <c r="F18" s="7" t="s">
        <v>69</v>
      </c>
      <c r="G18" s="7" t="s">
        <v>70</v>
      </c>
      <c r="H18" s="7" t="s">
        <v>42</v>
      </c>
      <c r="I18" s="7" t="s">
        <v>33</v>
      </c>
      <c r="J18" s="7" t="s">
        <v>33</v>
      </c>
      <c r="K18" s="7" t="s">
        <v>33</v>
      </c>
      <c r="L18" s="7" t="s">
        <v>43</v>
      </c>
      <c r="M18" s="7" t="s">
        <v>10</v>
      </c>
      <c r="N18" s="7" t="s">
        <v>9</v>
      </c>
      <c r="O18" s="7" t="s">
        <v>33</v>
      </c>
      <c r="P18" s="11" t="str">
        <f t="shared" si="0"/>
        <v>负</v>
      </c>
      <c r="Q18" s="11" t="str">
        <f t="shared" si="1"/>
        <v>负</v>
      </c>
    </row>
    <row r="19" spans="4:17" x14ac:dyDescent="0.15">
      <c r="D19" s="7" t="s">
        <v>6</v>
      </c>
      <c r="E19" s="7" t="s">
        <v>71</v>
      </c>
      <c r="F19" s="7" t="s">
        <v>71</v>
      </c>
      <c r="G19" s="7" t="s">
        <v>70</v>
      </c>
      <c r="H19" s="7" t="s">
        <v>36</v>
      </c>
      <c r="I19" s="7" t="s">
        <v>10</v>
      </c>
      <c r="J19" s="7" t="s">
        <v>39</v>
      </c>
      <c r="K19" s="7" t="s">
        <v>33</v>
      </c>
      <c r="L19" s="7" t="s">
        <v>44</v>
      </c>
      <c r="M19" s="7" t="s">
        <v>10</v>
      </c>
      <c r="N19" s="7" t="s">
        <v>10</v>
      </c>
      <c r="O19" s="7" t="s">
        <v>33</v>
      </c>
      <c r="P19" s="11" t="str">
        <f t="shared" si="0"/>
        <v>平</v>
      </c>
      <c r="Q19" s="11" t="str">
        <f t="shared" si="1"/>
        <v>胜</v>
      </c>
    </row>
    <row r="20" spans="4:17" x14ac:dyDescent="0.15">
      <c r="D20" s="7" t="s">
        <v>6</v>
      </c>
      <c r="E20" s="7" t="s">
        <v>72</v>
      </c>
      <c r="F20" s="7" t="s">
        <v>72</v>
      </c>
      <c r="G20" s="7" t="s">
        <v>70</v>
      </c>
      <c r="H20" s="7" t="s">
        <v>45</v>
      </c>
      <c r="I20" s="7" t="s">
        <v>33</v>
      </c>
      <c r="J20" s="7" t="s">
        <v>33</v>
      </c>
      <c r="K20" s="7" t="s">
        <v>33</v>
      </c>
      <c r="L20" s="7" t="s">
        <v>46</v>
      </c>
      <c r="M20" s="7" t="s">
        <v>9</v>
      </c>
      <c r="N20" s="7" t="s">
        <v>9</v>
      </c>
      <c r="O20" s="7" t="s">
        <v>33</v>
      </c>
      <c r="P20" s="11" t="str">
        <f t="shared" si="0"/>
        <v>负</v>
      </c>
      <c r="Q20" s="11" t="str">
        <f t="shared" si="1"/>
        <v>负</v>
      </c>
    </row>
    <row r="21" spans="4:17" x14ac:dyDescent="0.15">
      <c r="D21" s="7" t="s">
        <v>6</v>
      </c>
      <c r="E21" s="7" t="s">
        <v>73</v>
      </c>
      <c r="F21" s="7" t="s">
        <v>73</v>
      </c>
      <c r="G21" s="7" t="s">
        <v>74</v>
      </c>
      <c r="H21" s="7" t="s">
        <v>37</v>
      </c>
      <c r="I21" s="7" t="s">
        <v>9</v>
      </c>
      <c r="J21" s="7" t="s">
        <v>47</v>
      </c>
      <c r="K21" s="7" t="s">
        <v>33</v>
      </c>
      <c r="L21" s="7" t="s">
        <v>48</v>
      </c>
      <c r="M21" s="7" t="s">
        <v>33</v>
      </c>
      <c r="N21" s="7" t="s">
        <v>39</v>
      </c>
      <c r="O21" s="7" t="s">
        <v>33</v>
      </c>
      <c r="P21" s="11" t="str">
        <f t="shared" si="0"/>
        <v>胜</v>
      </c>
      <c r="Q21" s="11" t="str">
        <f t="shared" si="1"/>
        <v>胜</v>
      </c>
    </row>
    <row r="22" spans="4:17" x14ac:dyDescent="0.15">
      <c r="D22" s="7" t="s">
        <v>6</v>
      </c>
      <c r="E22" s="7" t="s">
        <v>75</v>
      </c>
      <c r="F22" s="7" t="s">
        <v>75</v>
      </c>
      <c r="G22" s="7" t="s">
        <v>76</v>
      </c>
      <c r="H22" s="7" t="s">
        <v>34</v>
      </c>
      <c r="I22" s="7" t="s">
        <v>9</v>
      </c>
      <c r="J22" s="7" t="s">
        <v>9</v>
      </c>
      <c r="K22" s="7" t="s">
        <v>33</v>
      </c>
      <c r="L22" s="7" t="s">
        <v>49</v>
      </c>
      <c r="M22" s="7" t="s">
        <v>10</v>
      </c>
      <c r="N22" s="7" t="s">
        <v>9</v>
      </c>
      <c r="O22" s="7" t="s">
        <v>33</v>
      </c>
      <c r="P22" s="11" t="str">
        <f t="shared" si="0"/>
        <v>胜</v>
      </c>
      <c r="Q22" s="11" t="str">
        <f t="shared" si="1"/>
        <v>平</v>
      </c>
    </row>
    <row r="23" spans="4:17" x14ac:dyDescent="0.15">
      <c r="D23" s="7" t="s">
        <v>6</v>
      </c>
      <c r="E23" s="7" t="s">
        <v>77</v>
      </c>
      <c r="F23" s="7" t="s">
        <v>77</v>
      </c>
      <c r="G23" s="7" t="s">
        <v>78</v>
      </c>
      <c r="H23" s="7" t="s">
        <v>35</v>
      </c>
      <c r="I23" s="7" t="s">
        <v>33</v>
      </c>
      <c r="J23" s="7" t="s">
        <v>33</v>
      </c>
      <c r="K23" s="7" t="s">
        <v>33</v>
      </c>
      <c r="L23" s="7" t="s">
        <v>45</v>
      </c>
      <c r="M23" s="7" t="s">
        <v>33</v>
      </c>
      <c r="N23" s="7" t="s">
        <v>33</v>
      </c>
      <c r="O23" s="7" t="s">
        <v>33</v>
      </c>
      <c r="P23" s="11" t="str">
        <f t="shared" si="0"/>
        <v>平</v>
      </c>
      <c r="Q23" s="11" t="str">
        <f t="shared" si="1"/>
        <v>平</v>
      </c>
    </row>
    <row r="24" spans="4:17" x14ac:dyDescent="0.15">
      <c r="D24" s="7" t="s">
        <v>6</v>
      </c>
      <c r="E24" s="7" t="s">
        <v>79</v>
      </c>
      <c r="F24" s="7" t="s">
        <v>79</v>
      </c>
      <c r="G24" s="7" t="s">
        <v>80</v>
      </c>
      <c r="H24" s="7" t="s">
        <v>44</v>
      </c>
      <c r="I24" s="7" t="s">
        <v>33</v>
      </c>
      <c r="J24" s="7" t="s">
        <v>33</v>
      </c>
      <c r="K24" s="7" t="s">
        <v>33</v>
      </c>
      <c r="L24" s="7" t="s">
        <v>41</v>
      </c>
      <c r="M24" s="7" t="s">
        <v>33</v>
      </c>
      <c r="N24" s="7" t="s">
        <v>33</v>
      </c>
      <c r="O24" s="7" t="s">
        <v>33</v>
      </c>
      <c r="P24" s="11" t="str">
        <f t="shared" si="0"/>
        <v>平</v>
      </c>
      <c r="Q24" s="11" t="str">
        <f t="shared" si="1"/>
        <v>平</v>
      </c>
    </row>
    <row r="25" spans="4:17" x14ac:dyDescent="0.15">
      <c r="D25" s="7" t="s">
        <v>6</v>
      </c>
      <c r="E25" s="7" t="s">
        <v>81</v>
      </c>
      <c r="F25" s="7" t="s">
        <v>81</v>
      </c>
      <c r="G25" s="7" t="s">
        <v>82</v>
      </c>
      <c r="H25" s="7" t="s">
        <v>31</v>
      </c>
      <c r="I25" s="7" t="s">
        <v>33</v>
      </c>
      <c r="J25" s="7" t="s">
        <v>10</v>
      </c>
      <c r="K25" s="7" t="s">
        <v>33</v>
      </c>
      <c r="L25" s="7" t="s">
        <v>36</v>
      </c>
      <c r="M25" s="7" t="s">
        <v>9</v>
      </c>
      <c r="N25" s="7" t="s">
        <v>9</v>
      </c>
      <c r="O25" s="7" t="s">
        <v>33</v>
      </c>
      <c r="P25" s="11" t="str">
        <f t="shared" si="0"/>
        <v>负</v>
      </c>
      <c r="Q25" s="11" t="str">
        <f t="shared" si="1"/>
        <v>负</v>
      </c>
    </row>
    <row r="26" spans="4:17" x14ac:dyDescent="0.15">
      <c r="D26" s="7" t="s">
        <v>6</v>
      </c>
      <c r="E26" s="7" t="s">
        <v>83</v>
      </c>
      <c r="F26" s="7" t="s">
        <v>83</v>
      </c>
      <c r="G26" s="7" t="s">
        <v>84</v>
      </c>
      <c r="H26" s="7" t="s">
        <v>46</v>
      </c>
      <c r="I26" s="7" t="s">
        <v>33</v>
      </c>
      <c r="J26" s="7" t="s">
        <v>33</v>
      </c>
      <c r="K26" s="7" t="s">
        <v>33</v>
      </c>
      <c r="L26" s="7" t="s">
        <v>40</v>
      </c>
      <c r="M26" s="7" t="s">
        <v>33</v>
      </c>
      <c r="N26" s="7" t="s">
        <v>10</v>
      </c>
      <c r="O26" s="7" t="s">
        <v>33</v>
      </c>
      <c r="P26" s="11" t="str">
        <f t="shared" si="0"/>
        <v>平</v>
      </c>
      <c r="Q26" s="11" t="str">
        <f t="shared" si="1"/>
        <v>负</v>
      </c>
    </row>
    <row r="27" spans="4:17" x14ac:dyDescent="0.15">
      <c r="D27" s="7" t="s">
        <v>6</v>
      </c>
      <c r="E27" s="7" t="s">
        <v>85</v>
      </c>
      <c r="F27" s="7" t="s">
        <v>85</v>
      </c>
      <c r="G27" s="7" t="s">
        <v>86</v>
      </c>
      <c r="H27" s="7" t="s">
        <v>43</v>
      </c>
      <c r="I27" s="7" t="s">
        <v>33</v>
      </c>
      <c r="J27" s="7" t="s">
        <v>33</v>
      </c>
      <c r="K27" s="7" t="s">
        <v>33</v>
      </c>
      <c r="L27" s="7" t="s">
        <v>38</v>
      </c>
      <c r="M27" s="7" t="s">
        <v>10</v>
      </c>
      <c r="N27" s="7" t="s">
        <v>10</v>
      </c>
      <c r="O27" s="7" t="s">
        <v>33</v>
      </c>
      <c r="P27" s="11" t="str">
        <f t="shared" si="0"/>
        <v>负</v>
      </c>
      <c r="Q27" s="11" t="str">
        <f t="shared" si="1"/>
        <v>负</v>
      </c>
    </row>
    <row r="28" spans="4:17" x14ac:dyDescent="0.15">
      <c r="D28" s="7" t="s">
        <v>6</v>
      </c>
      <c r="E28" s="7" t="s">
        <v>87</v>
      </c>
      <c r="F28" s="7" t="s">
        <v>87</v>
      </c>
      <c r="G28" s="7" t="s">
        <v>88</v>
      </c>
      <c r="H28" s="7" t="s">
        <v>48</v>
      </c>
      <c r="I28" s="7" t="s">
        <v>9</v>
      </c>
      <c r="J28" s="7" t="s">
        <v>9</v>
      </c>
      <c r="K28" s="7" t="s">
        <v>33</v>
      </c>
      <c r="L28" s="7" t="s">
        <v>42</v>
      </c>
      <c r="M28" s="7" t="s">
        <v>33</v>
      </c>
      <c r="N28" s="7" t="s">
        <v>33</v>
      </c>
      <c r="O28" s="7" t="s">
        <v>33</v>
      </c>
      <c r="P28" s="11" t="str">
        <f t="shared" si="0"/>
        <v>胜</v>
      </c>
      <c r="Q28" s="11" t="str">
        <f t="shared" si="1"/>
        <v>胜</v>
      </c>
    </row>
    <row r="29" spans="4:17" ht="16.5" customHeight="1" x14ac:dyDescent="0.15">
      <c r="D29" s="7" t="s">
        <v>6</v>
      </c>
      <c r="E29" s="7" t="s">
        <v>89</v>
      </c>
      <c r="F29" s="7" t="s">
        <v>89</v>
      </c>
      <c r="G29" s="7" t="s">
        <v>90</v>
      </c>
      <c r="H29" s="7" t="s">
        <v>49</v>
      </c>
      <c r="I29" s="7" t="s">
        <v>33</v>
      </c>
      <c r="J29" s="7" t="s">
        <v>9</v>
      </c>
      <c r="K29" s="7" t="s">
        <v>33</v>
      </c>
      <c r="L29" s="7" t="s">
        <v>37</v>
      </c>
      <c r="M29" s="7" t="s">
        <v>9</v>
      </c>
      <c r="N29" s="7" t="s">
        <v>9</v>
      </c>
      <c r="O29" s="7" t="s">
        <v>33</v>
      </c>
      <c r="P29" s="11" t="str">
        <f t="shared" si="0"/>
        <v>负</v>
      </c>
      <c r="Q29" s="11" t="str">
        <f t="shared" si="1"/>
        <v>平</v>
      </c>
    </row>
    <row r="30" spans="4:17" x14ac:dyDescent="0.15">
      <c r="D30" s="7" t="s">
        <v>6</v>
      </c>
      <c r="E30" s="7" t="s">
        <v>91</v>
      </c>
      <c r="F30" s="7" t="s">
        <v>91</v>
      </c>
      <c r="G30" s="7" t="s">
        <v>92</v>
      </c>
      <c r="H30" s="7" t="s">
        <v>1775</v>
      </c>
      <c r="I30" s="11" t="s">
        <v>33</v>
      </c>
      <c r="J30" s="7" t="s">
        <v>33</v>
      </c>
      <c r="K30" s="7" t="s">
        <v>33</v>
      </c>
      <c r="L30" s="7" t="s">
        <v>34</v>
      </c>
      <c r="M30" s="7" t="s">
        <v>33</v>
      </c>
      <c r="N30" s="7" t="s">
        <v>39</v>
      </c>
      <c r="O30" s="7" t="s">
        <v>33</v>
      </c>
      <c r="P30" s="11" t="str">
        <f t="shared" si="0"/>
        <v>平</v>
      </c>
      <c r="Q30" s="11" t="str">
        <f t="shared" si="1"/>
        <v>负</v>
      </c>
    </row>
    <row r="31" spans="4:17" x14ac:dyDescent="0.15">
      <c r="D31" s="7" t="s">
        <v>6</v>
      </c>
      <c r="E31" s="7" t="s">
        <v>93</v>
      </c>
      <c r="F31" s="7" t="s">
        <v>93</v>
      </c>
      <c r="G31" s="7" t="s">
        <v>94</v>
      </c>
      <c r="H31" s="7" t="s">
        <v>42</v>
      </c>
      <c r="I31" s="7" t="s">
        <v>33</v>
      </c>
      <c r="J31" s="7" t="s">
        <v>10</v>
      </c>
      <c r="K31" s="7" t="s">
        <v>33</v>
      </c>
      <c r="L31" s="7" t="s">
        <v>46</v>
      </c>
      <c r="M31" s="7" t="s">
        <v>33</v>
      </c>
      <c r="N31" s="7" t="s">
        <v>10</v>
      </c>
      <c r="O31" s="7" t="s">
        <v>33</v>
      </c>
      <c r="P31" s="11" t="str">
        <f t="shared" si="0"/>
        <v>平</v>
      </c>
      <c r="Q31" s="11" t="str">
        <f t="shared" si="1"/>
        <v>平</v>
      </c>
    </row>
    <row r="32" spans="4:17" x14ac:dyDescent="0.15">
      <c r="D32" s="7" t="s">
        <v>6</v>
      </c>
      <c r="E32" s="7" t="s">
        <v>95</v>
      </c>
      <c r="F32" s="7" t="s">
        <v>95</v>
      </c>
      <c r="G32" s="7" t="s">
        <v>96</v>
      </c>
      <c r="H32" s="7" t="s">
        <v>36</v>
      </c>
      <c r="I32" s="7" t="s">
        <v>33</v>
      </c>
      <c r="J32" s="7" t="s">
        <v>9</v>
      </c>
      <c r="K32" s="7" t="s">
        <v>33</v>
      </c>
      <c r="L32" s="7" t="s">
        <v>32</v>
      </c>
      <c r="M32" s="7" t="s">
        <v>33</v>
      </c>
      <c r="N32" s="7" t="s">
        <v>10</v>
      </c>
      <c r="O32" s="7" t="s">
        <v>33</v>
      </c>
      <c r="P32" s="11" t="str">
        <f t="shared" si="0"/>
        <v>平</v>
      </c>
      <c r="Q32" s="11" t="str">
        <f t="shared" si="1"/>
        <v>胜</v>
      </c>
    </row>
    <row r="33" spans="4:17" x14ac:dyDescent="0.15">
      <c r="D33" s="7" t="s">
        <v>6</v>
      </c>
      <c r="E33" s="7" t="s">
        <v>97</v>
      </c>
      <c r="F33" s="7" t="s">
        <v>97</v>
      </c>
      <c r="G33" s="7" t="s">
        <v>98</v>
      </c>
      <c r="H33" s="7" t="s">
        <v>40</v>
      </c>
      <c r="I33" s="7" t="s">
        <v>33</v>
      </c>
      <c r="J33" s="7" t="s">
        <v>33</v>
      </c>
      <c r="K33" s="7" t="s">
        <v>33</v>
      </c>
      <c r="L33" s="7" t="s">
        <v>49</v>
      </c>
      <c r="M33" s="7" t="s">
        <v>9</v>
      </c>
      <c r="N33" s="7" t="s">
        <v>9</v>
      </c>
      <c r="O33" s="7" t="s">
        <v>33</v>
      </c>
      <c r="P33" s="11" t="str">
        <f t="shared" si="0"/>
        <v>负</v>
      </c>
      <c r="Q33" s="11" t="str">
        <f t="shared" si="1"/>
        <v>负</v>
      </c>
    </row>
    <row r="34" spans="4:17" x14ac:dyDescent="0.15">
      <c r="D34" s="7" t="s">
        <v>6</v>
      </c>
      <c r="E34" s="7" t="s">
        <v>99</v>
      </c>
      <c r="F34" s="7" t="s">
        <v>99</v>
      </c>
      <c r="G34" s="7" t="s">
        <v>100</v>
      </c>
      <c r="H34" s="7" t="s">
        <v>38</v>
      </c>
      <c r="I34" s="7" t="s">
        <v>10</v>
      </c>
      <c r="J34" s="7" t="s">
        <v>39</v>
      </c>
      <c r="K34" s="7" t="s">
        <v>33</v>
      </c>
      <c r="L34" s="7" t="s">
        <v>31</v>
      </c>
      <c r="M34" s="7" t="s">
        <v>10</v>
      </c>
      <c r="N34" s="7" t="s">
        <v>10</v>
      </c>
      <c r="O34" s="7" t="s">
        <v>33</v>
      </c>
      <c r="P34" s="11" t="str">
        <f t="shared" si="0"/>
        <v>平</v>
      </c>
      <c r="Q34" s="11" t="str">
        <f t="shared" si="1"/>
        <v>胜</v>
      </c>
    </row>
    <row r="35" spans="4:17" x14ac:dyDescent="0.15">
      <c r="D35" s="7" t="s">
        <v>6</v>
      </c>
      <c r="E35" s="7" t="s">
        <v>101</v>
      </c>
      <c r="F35" s="7" t="s">
        <v>101</v>
      </c>
      <c r="G35" s="7" t="s">
        <v>102</v>
      </c>
      <c r="H35" s="7" t="s">
        <v>37</v>
      </c>
      <c r="I35" s="7" t="s">
        <v>10</v>
      </c>
      <c r="J35" s="7" t="s">
        <v>10</v>
      </c>
      <c r="K35" s="7" t="s">
        <v>33</v>
      </c>
      <c r="L35" s="7" t="s">
        <v>35</v>
      </c>
      <c r="M35" s="7" t="s">
        <v>33</v>
      </c>
      <c r="N35" s="7" t="s">
        <v>33</v>
      </c>
      <c r="O35" s="7" t="s">
        <v>33</v>
      </c>
      <c r="P35" s="11" t="str">
        <f t="shared" si="0"/>
        <v>胜</v>
      </c>
      <c r="Q35" s="11" t="str">
        <f t="shared" si="1"/>
        <v>胜</v>
      </c>
    </row>
    <row r="36" spans="4:17" x14ac:dyDescent="0.15">
      <c r="D36" s="7" t="s">
        <v>6</v>
      </c>
      <c r="E36" s="7" t="s">
        <v>103</v>
      </c>
      <c r="F36" s="7" t="s">
        <v>103</v>
      </c>
      <c r="G36" s="7" t="s">
        <v>102</v>
      </c>
      <c r="H36" s="7" t="s">
        <v>34</v>
      </c>
      <c r="I36" s="7" t="s">
        <v>33</v>
      </c>
      <c r="J36" s="7" t="s">
        <v>33</v>
      </c>
      <c r="K36" s="7" t="s">
        <v>33</v>
      </c>
      <c r="L36" s="7" t="s">
        <v>48</v>
      </c>
      <c r="M36" s="7" t="s">
        <v>33</v>
      </c>
      <c r="N36" s="7" t="s">
        <v>33</v>
      </c>
      <c r="O36" s="7" t="s">
        <v>33</v>
      </c>
      <c r="P36" s="11" t="str">
        <f t="shared" si="0"/>
        <v>平</v>
      </c>
      <c r="Q36" s="11" t="str">
        <f t="shared" si="1"/>
        <v>平</v>
      </c>
    </row>
    <row r="37" spans="4:17" x14ac:dyDescent="0.15">
      <c r="D37" s="7" t="s">
        <v>6</v>
      </c>
      <c r="E37" s="7" t="s">
        <v>104</v>
      </c>
      <c r="F37" s="7" t="s">
        <v>104</v>
      </c>
      <c r="G37" s="7" t="s">
        <v>105</v>
      </c>
      <c r="H37" s="7" t="s">
        <v>45</v>
      </c>
      <c r="I37" s="7" t="s">
        <v>33</v>
      </c>
      <c r="J37" s="7" t="s">
        <v>33</v>
      </c>
      <c r="K37" s="7" t="s">
        <v>33</v>
      </c>
      <c r="L37" s="7" t="s">
        <v>44</v>
      </c>
      <c r="M37" s="7" t="s">
        <v>33</v>
      </c>
      <c r="N37" s="7" t="s">
        <v>33</v>
      </c>
      <c r="O37" s="7" t="s">
        <v>33</v>
      </c>
      <c r="P37" s="11" t="str">
        <f t="shared" si="0"/>
        <v>平</v>
      </c>
      <c r="Q37" s="11" t="str">
        <f t="shared" si="1"/>
        <v>平</v>
      </c>
    </row>
    <row r="38" spans="4:17" x14ac:dyDescent="0.15">
      <c r="D38" s="7" t="s">
        <v>6</v>
      </c>
      <c r="E38" s="7" t="s">
        <v>106</v>
      </c>
      <c r="F38" s="7" t="s">
        <v>106</v>
      </c>
      <c r="G38" s="7" t="s">
        <v>107</v>
      </c>
      <c r="H38" s="7" t="s">
        <v>41</v>
      </c>
      <c r="I38" s="7" t="s">
        <v>9</v>
      </c>
      <c r="J38" s="7" t="s">
        <v>39</v>
      </c>
      <c r="K38" s="7" t="s">
        <v>33</v>
      </c>
      <c r="L38" s="7" t="s">
        <v>43</v>
      </c>
      <c r="M38" s="7" t="s">
        <v>33</v>
      </c>
      <c r="N38" s="7" t="s">
        <v>9</v>
      </c>
      <c r="O38" s="7" t="s">
        <v>33</v>
      </c>
      <c r="P38" s="11" t="str">
        <f t="shared" si="0"/>
        <v>胜</v>
      </c>
      <c r="Q38" s="11" t="str">
        <f t="shared" si="1"/>
        <v>胜</v>
      </c>
    </row>
    <row r="39" spans="4:17" x14ac:dyDescent="0.15">
      <c r="D39" s="7" t="s">
        <v>6</v>
      </c>
      <c r="E39" s="7" t="s">
        <v>108</v>
      </c>
      <c r="F39" s="7" t="s">
        <v>108</v>
      </c>
      <c r="G39" s="7" t="s">
        <v>109</v>
      </c>
      <c r="H39" s="7" t="s">
        <v>43</v>
      </c>
      <c r="I39" s="7" t="s">
        <v>33</v>
      </c>
      <c r="J39" s="7" t="s">
        <v>10</v>
      </c>
      <c r="K39" s="7" t="s">
        <v>33</v>
      </c>
      <c r="L39" s="7" t="s">
        <v>44</v>
      </c>
      <c r="M39" s="7" t="s">
        <v>33</v>
      </c>
      <c r="N39" s="7" t="s">
        <v>10</v>
      </c>
      <c r="O39" s="7" t="s">
        <v>33</v>
      </c>
      <c r="P39" s="11" t="str">
        <f t="shared" si="0"/>
        <v>平</v>
      </c>
      <c r="Q39" s="11" t="str">
        <f t="shared" si="1"/>
        <v>平</v>
      </c>
    </row>
    <row r="40" spans="4:17" x14ac:dyDescent="0.15">
      <c r="D40" s="7" t="s">
        <v>6</v>
      </c>
      <c r="E40" s="7" t="s">
        <v>110</v>
      </c>
      <c r="F40" s="7" t="s">
        <v>110</v>
      </c>
      <c r="G40" s="7" t="s">
        <v>111</v>
      </c>
      <c r="H40" s="7" t="s">
        <v>31</v>
      </c>
      <c r="I40" s="7" t="s">
        <v>10</v>
      </c>
      <c r="J40" s="7" t="s">
        <v>10</v>
      </c>
      <c r="K40" s="7" t="s">
        <v>33</v>
      </c>
      <c r="L40" s="7" t="s">
        <v>40</v>
      </c>
      <c r="M40" s="7" t="s">
        <v>10</v>
      </c>
      <c r="N40" s="7" t="s">
        <v>39</v>
      </c>
      <c r="O40" s="7" t="s">
        <v>33</v>
      </c>
      <c r="P40" s="11" t="str">
        <f t="shared" si="0"/>
        <v>平</v>
      </c>
      <c r="Q40" s="11" t="str">
        <f t="shared" si="1"/>
        <v>负</v>
      </c>
    </row>
    <row r="41" spans="4:17" x14ac:dyDescent="0.15">
      <c r="D41" s="7" t="s">
        <v>6</v>
      </c>
      <c r="E41" s="7" t="s">
        <v>112</v>
      </c>
      <c r="F41" s="7" t="s">
        <v>112</v>
      </c>
      <c r="G41" s="7" t="s">
        <v>113</v>
      </c>
      <c r="H41" s="7" t="s">
        <v>48</v>
      </c>
      <c r="I41" s="7" t="s">
        <v>9</v>
      </c>
      <c r="J41" s="7" t="s">
        <v>47</v>
      </c>
      <c r="K41" s="7" t="s">
        <v>33</v>
      </c>
      <c r="L41" s="7" t="s">
        <v>36</v>
      </c>
      <c r="M41" s="7" t="s">
        <v>10</v>
      </c>
      <c r="N41" s="7" t="s">
        <v>10</v>
      </c>
      <c r="O41" s="7" t="s">
        <v>33</v>
      </c>
      <c r="P41" s="11" t="str">
        <f t="shared" si="0"/>
        <v>胜</v>
      </c>
      <c r="Q41" s="11" t="str">
        <f t="shared" si="1"/>
        <v>胜</v>
      </c>
    </row>
    <row r="42" spans="4:17" x14ac:dyDescent="0.15">
      <c r="D42" s="7" t="s">
        <v>6</v>
      </c>
      <c r="E42" s="7" t="s">
        <v>114</v>
      </c>
      <c r="F42" s="7" t="s">
        <v>114</v>
      </c>
      <c r="G42" s="7" t="s">
        <v>115</v>
      </c>
      <c r="H42" s="7" t="s">
        <v>38</v>
      </c>
      <c r="I42" s="7" t="s">
        <v>10</v>
      </c>
      <c r="J42" s="7" t="s">
        <v>39</v>
      </c>
      <c r="K42" s="7" t="s">
        <v>33</v>
      </c>
      <c r="L42" s="7" t="s">
        <v>37</v>
      </c>
      <c r="M42" s="7" t="s">
        <v>33</v>
      </c>
      <c r="N42" s="7" t="s">
        <v>10</v>
      </c>
      <c r="O42" s="7" t="s">
        <v>33</v>
      </c>
      <c r="P42" s="11" t="str">
        <f t="shared" si="0"/>
        <v>胜</v>
      </c>
      <c r="Q42" s="11" t="str">
        <f t="shared" si="1"/>
        <v>胜</v>
      </c>
    </row>
    <row r="43" spans="4:17" x14ac:dyDescent="0.15">
      <c r="D43" s="7" t="s">
        <v>6</v>
      </c>
      <c r="E43" s="7" t="s">
        <v>116</v>
      </c>
      <c r="F43" s="7" t="s">
        <v>116</v>
      </c>
      <c r="G43" s="7" t="s">
        <v>117</v>
      </c>
      <c r="H43" s="7" t="s">
        <v>46</v>
      </c>
      <c r="I43" s="7" t="s">
        <v>33</v>
      </c>
      <c r="J43" s="7" t="s">
        <v>33</v>
      </c>
      <c r="K43" s="7" t="s">
        <v>33</v>
      </c>
      <c r="L43" s="7" t="s">
        <v>45</v>
      </c>
      <c r="M43" s="7" t="s">
        <v>10</v>
      </c>
      <c r="N43" s="7" t="s">
        <v>10</v>
      </c>
      <c r="O43" s="7" t="s">
        <v>33</v>
      </c>
      <c r="P43" s="11" t="str">
        <f t="shared" si="0"/>
        <v>负</v>
      </c>
      <c r="Q43" s="11" t="str">
        <f t="shared" si="1"/>
        <v>负</v>
      </c>
    </row>
    <row r="44" spans="4:17" x14ac:dyDescent="0.15">
      <c r="D44" s="7" t="s">
        <v>6</v>
      </c>
      <c r="E44" s="7" t="s">
        <v>118</v>
      </c>
      <c r="F44" s="7" t="s">
        <v>118</v>
      </c>
      <c r="G44" s="7" t="s">
        <v>115</v>
      </c>
      <c r="H44" s="7" t="s">
        <v>35</v>
      </c>
      <c r="I44" s="7" t="s">
        <v>33</v>
      </c>
      <c r="J44" s="7" t="s">
        <v>10</v>
      </c>
      <c r="K44" s="7" t="s">
        <v>33</v>
      </c>
      <c r="L44" s="7" t="s">
        <v>34</v>
      </c>
      <c r="M44" s="7" t="s">
        <v>10</v>
      </c>
      <c r="N44" s="7" t="s">
        <v>39</v>
      </c>
      <c r="O44" s="7" t="s">
        <v>33</v>
      </c>
      <c r="P44" s="11" t="str">
        <f t="shared" si="0"/>
        <v>负</v>
      </c>
      <c r="Q44" s="11" t="str">
        <f t="shared" si="1"/>
        <v>负</v>
      </c>
    </row>
    <row r="45" spans="4:17" x14ac:dyDescent="0.15">
      <c r="D45" s="7" t="s">
        <v>6</v>
      </c>
      <c r="E45" s="7" t="s">
        <v>119</v>
      </c>
      <c r="F45" s="7" t="s">
        <v>119</v>
      </c>
      <c r="G45" s="7" t="s">
        <v>120</v>
      </c>
      <c r="H45" s="7" t="s">
        <v>32</v>
      </c>
      <c r="I45" s="11" t="s">
        <v>9</v>
      </c>
      <c r="J45" s="7" t="s">
        <v>39</v>
      </c>
      <c r="K45" s="7" t="s">
        <v>33</v>
      </c>
      <c r="L45" s="7" t="s">
        <v>41</v>
      </c>
      <c r="M45" s="7" t="s">
        <v>10</v>
      </c>
      <c r="N45" s="7" t="s">
        <v>50</v>
      </c>
      <c r="O45" s="7" t="s">
        <v>33</v>
      </c>
      <c r="P45" s="11" t="str">
        <f t="shared" si="0"/>
        <v>胜</v>
      </c>
      <c r="Q45" s="11" t="str">
        <f t="shared" si="1"/>
        <v>负</v>
      </c>
    </row>
    <row r="46" spans="4:17" x14ac:dyDescent="0.15">
      <c r="D46" s="7" t="s">
        <v>6</v>
      </c>
      <c r="E46" s="7" t="s">
        <v>121</v>
      </c>
      <c r="F46" s="7" t="s">
        <v>121</v>
      </c>
      <c r="G46" s="7" t="s">
        <v>122</v>
      </c>
      <c r="H46" s="7" t="s">
        <v>49</v>
      </c>
      <c r="I46" s="7" t="s">
        <v>9</v>
      </c>
      <c r="J46" s="7" t="s">
        <v>39</v>
      </c>
      <c r="K46" s="7" t="s">
        <v>33</v>
      </c>
      <c r="L46" s="7" t="s">
        <v>42</v>
      </c>
      <c r="M46" s="7" t="s">
        <v>10</v>
      </c>
      <c r="N46" s="7" t="s">
        <v>9</v>
      </c>
      <c r="O46" s="7" t="s">
        <v>33</v>
      </c>
      <c r="P46" s="11" t="str">
        <f t="shared" si="0"/>
        <v>胜</v>
      </c>
      <c r="Q46" s="11" t="str">
        <f t="shared" si="1"/>
        <v>胜</v>
      </c>
    </row>
    <row r="47" spans="4:17" x14ac:dyDescent="0.15">
      <c r="D47" s="7" t="s">
        <v>6</v>
      </c>
      <c r="E47" s="7" t="s">
        <v>123</v>
      </c>
      <c r="F47" s="7" t="s">
        <v>123</v>
      </c>
      <c r="G47" s="7" t="s">
        <v>124</v>
      </c>
      <c r="H47" s="7" t="s">
        <v>40</v>
      </c>
      <c r="I47" s="7" t="s">
        <v>10</v>
      </c>
      <c r="J47" s="7" t="s">
        <v>10</v>
      </c>
      <c r="K47" s="7" t="s">
        <v>33</v>
      </c>
      <c r="L47" s="7" t="s">
        <v>35</v>
      </c>
      <c r="M47" s="7" t="s">
        <v>33</v>
      </c>
      <c r="N47" s="7" t="s">
        <v>10</v>
      </c>
      <c r="O47" s="7" t="s">
        <v>33</v>
      </c>
      <c r="P47" s="11" t="str">
        <f t="shared" si="0"/>
        <v>胜</v>
      </c>
      <c r="Q47" s="11" t="str">
        <f t="shared" si="1"/>
        <v>平</v>
      </c>
    </row>
    <row r="48" spans="4:17" x14ac:dyDescent="0.15">
      <c r="D48" s="7" t="s">
        <v>6</v>
      </c>
      <c r="E48" s="7" t="s">
        <v>125</v>
      </c>
      <c r="F48" s="7" t="s">
        <v>125</v>
      </c>
      <c r="G48" s="7" t="s">
        <v>126</v>
      </c>
      <c r="H48" s="7" t="s">
        <v>45</v>
      </c>
      <c r="I48" s="7" t="s">
        <v>10</v>
      </c>
      <c r="J48" s="7" t="s">
        <v>47</v>
      </c>
      <c r="K48" s="7" t="s">
        <v>33</v>
      </c>
      <c r="L48" s="7" t="s">
        <v>49</v>
      </c>
      <c r="M48" s="7" t="s">
        <v>9</v>
      </c>
      <c r="N48" s="7" t="s">
        <v>47</v>
      </c>
      <c r="O48" s="7" t="s">
        <v>33</v>
      </c>
      <c r="P48" s="11" t="str">
        <f t="shared" si="0"/>
        <v>负</v>
      </c>
      <c r="Q48" s="11" t="str">
        <f t="shared" si="1"/>
        <v>平</v>
      </c>
    </row>
    <row r="49" spans="4:17" x14ac:dyDescent="0.15">
      <c r="D49" s="7" t="s">
        <v>6</v>
      </c>
      <c r="E49" s="7" t="s">
        <v>127</v>
      </c>
      <c r="F49" s="7" t="s">
        <v>127</v>
      </c>
      <c r="G49" s="7" t="s">
        <v>128</v>
      </c>
      <c r="H49" s="7" t="s">
        <v>34</v>
      </c>
      <c r="I49" s="7" t="s">
        <v>33</v>
      </c>
      <c r="J49" s="7" t="s">
        <v>39</v>
      </c>
      <c r="K49" s="7" t="s">
        <v>33</v>
      </c>
      <c r="L49" s="7" t="s">
        <v>31</v>
      </c>
      <c r="M49" s="7" t="s">
        <v>33</v>
      </c>
      <c r="N49" s="7" t="s">
        <v>10</v>
      </c>
      <c r="O49" s="7" t="s">
        <v>33</v>
      </c>
      <c r="P49" s="11" t="str">
        <f t="shared" si="0"/>
        <v>平</v>
      </c>
      <c r="Q49" s="11" t="str">
        <f t="shared" si="1"/>
        <v>胜</v>
      </c>
    </row>
    <row r="50" spans="4:17" x14ac:dyDescent="0.15">
      <c r="D50" s="7" t="s">
        <v>6</v>
      </c>
      <c r="E50" s="7" t="s">
        <v>129</v>
      </c>
      <c r="F50" s="7" t="s">
        <v>129</v>
      </c>
      <c r="G50" s="7" t="s">
        <v>130</v>
      </c>
      <c r="H50" s="7" t="s">
        <v>44</v>
      </c>
      <c r="I50" s="7" t="s">
        <v>9</v>
      </c>
      <c r="J50" s="7" t="s">
        <v>50</v>
      </c>
      <c r="K50" s="7" t="s">
        <v>33</v>
      </c>
      <c r="L50" s="7" t="s">
        <v>46</v>
      </c>
      <c r="M50" s="7" t="s">
        <v>10</v>
      </c>
      <c r="N50" s="7" t="s">
        <v>39</v>
      </c>
      <c r="O50" s="7" t="s">
        <v>33</v>
      </c>
      <c r="P50" s="11" t="str">
        <f t="shared" si="0"/>
        <v>胜</v>
      </c>
      <c r="Q50" s="11" t="str">
        <f t="shared" si="1"/>
        <v>胜</v>
      </c>
    </row>
    <row r="51" spans="4:17" x14ac:dyDescent="0.15">
      <c r="D51" s="7" t="s">
        <v>6</v>
      </c>
      <c r="E51" s="7" t="s">
        <v>131</v>
      </c>
      <c r="F51" s="7" t="s">
        <v>131</v>
      </c>
      <c r="G51" s="7" t="s">
        <v>132</v>
      </c>
      <c r="H51" s="7" t="s">
        <v>41</v>
      </c>
      <c r="I51" s="7" t="s">
        <v>33</v>
      </c>
      <c r="J51" s="7" t="s">
        <v>33</v>
      </c>
      <c r="K51" s="7" t="s">
        <v>33</v>
      </c>
      <c r="L51" s="7" t="s">
        <v>48</v>
      </c>
      <c r="M51" s="7" t="s">
        <v>10</v>
      </c>
      <c r="N51" s="7" t="s">
        <v>9</v>
      </c>
      <c r="O51" s="7" t="s">
        <v>33</v>
      </c>
      <c r="P51" s="11" t="str">
        <f t="shared" si="0"/>
        <v>负</v>
      </c>
      <c r="Q51" s="11" t="str">
        <f t="shared" si="1"/>
        <v>负</v>
      </c>
    </row>
    <row r="52" spans="4:17" x14ac:dyDescent="0.15">
      <c r="D52" s="7" t="s">
        <v>6</v>
      </c>
      <c r="E52" s="7" t="s">
        <v>133</v>
      </c>
      <c r="F52" s="7" t="s">
        <v>133</v>
      </c>
      <c r="G52" s="7" t="s">
        <v>132</v>
      </c>
      <c r="H52" s="7" t="s">
        <v>36</v>
      </c>
      <c r="I52" s="7" t="s">
        <v>33</v>
      </c>
      <c r="J52" s="7" t="s">
        <v>10</v>
      </c>
      <c r="K52" s="7" t="s">
        <v>33</v>
      </c>
      <c r="L52" s="7" t="s">
        <v>38</v>
      </c>
      <c r="M52" s="7" t="s">
        <v>33</v>
      </c>
      <c r="N52" s="7" t="s">
        <v>10</v>
      </c>
      <c r="O52" s="7" t="s">
        <v>33</v>
      </c>
      <c r="P52" s="11" t="str">
        <f t="shared" si="0"/>
        <v>平</v>
      </c>
      <c r="Q52" s="11" t="str">
        <f t="shared" si="1"/>
        <v>平</v>
      </c>
    </row>
    <row r="53" spans="4:17" x14ac:dyDescent="0.15">
      <c r="D53" s="7" t="s">
        <v>6</v>
      </c>
      <c r="E53" s="7" t="s">
        <v>134</v>
      </c>
      <c r="F53" s="7" t="s">
        <v>134</v>
      </c>
      <c r="G53" s="7" t="s">
        <v>132</v>
      </c>
      <c r="H53" s="7" t="s">
        <v>43</v>
      </c>
      <c r="I53" s="7" t="s">
        <v>10</v>
      </c>
      <c r="J53" s="7" t="s">
        <v>9</v>
      </c>
      <c r="K53" s="7" t="s">
        <v>33</v>
      </c>
      <c r="L53" s="7" t="s">
        <v>32</v>
      </c>
      <c r="M53" s="7" t="s">
        <v>33</v>
      </c>
      <c r="N53" s="7" t="s">
        <v>10</v>
      </c>
      <c r="O53" s="7" t="s">
        <v>33</v>
      </c>
      <c r="P53" s="11" t="str">
        <f t="shared" si="0"/>
        <v>胜</v>
      </c>
      <c r="Q53" s="11" t="str">
        <f t="shared" si="1"/>
        <v>胜</v>
      </c>
    </row>
    <row r="54" spans="4:17" x14ac:dyDescent="0.15">
      <c r="D54" s="7" t="s">
        <v>6</v>
      </c>
      <c r="E54" s="7" t="s">
        <v>135</v>
      </c>
      <c r="F54" s="7" t="s">
        <v>135</v>
      </c>
      <c r="G54" s="7" t="s">
        <v>136</v>
      </c>
      <c r="H54" s="7" t="s">
        <v>42</v>
      </c>
      <c r="I54" s="7" t="s">
        <v>39</v>
      </c>
      <c r="J54" s="7" t="s">
        <v>50</v>
      </c>
      <c r="K54" s="7" t="s">
        <v>33</v>
      </c>
      <c r="L54" s="7" t="s">
        <v>37</v>
      </c>
      <c r="M54" s="7" t="s">
        <v>33</v>
      </c>
      <c r="N54" s="7" t="s">
        <v>10</v>
      </c>
      <c r="O54" s="7" t="s">
        <v>33</v>
      </c>
      <c r="P54" s="11" t="str">
        <f t="shared" si="0"/>
        <v>胜</v>
      </c>
      <c r="Q54" s="11" t="str">
        <f t="shared" si="1"/>
        <v>胜</v>
      </c>
    </row>
    <row r="55" spans="4:17" x14ac:dyDescent="0.15">
      <c r="D55" s="7" t="s">
        <v>6</v>
      </c>
      <c r="E55" s="7" t="s">
        <v>137</v>
      </c>
      <c r="F55" s="7" t="s">
        <v>137</v>
      </c>
      <c r="G55" s="7" t="s">
        <v>138</v>
      </c>
      <c r="H55" s="7" t="s">
        <v>46</v>
      </c>
      <c r="I55" s="7" t="s">
        <v>33</v>
      </c>
      <c r="J55" s="7" t="s">
        <v>10</v>
      </c>
      <c r="K55" s="7" t="s">
        <v>33</v>
      </c>
      <c r="L55" s="7" t="s">
        <v>43</v>
      </c>
      <c r="M55" s="7" t="s">
        <v>33</v>
      </c>
      <c r="N55" s="7" t="s">
        <v>33</v>
      </c>
      <c r="O55" s="7" t="s">
        <v>33</v>
      </c>
      <c r="P55" s="11" t="str">
        <f t="shared" si="0"/>
        <v>平</v>
      </c>
      <c r="Q55" s="11" t="str">
        <f t="shared" si="1"/>
        <v>胜</v>
      </c>
    </row>
    <row r="56" spans="4:17" x14ac:dyDescent="0.15">
      <c r="D56" s="7" t="s">
        <v>6</v>
      </c>
      <c r="E56" s="7" t="s">
        <v>139</v>
      </c>
      <c r="F56" s="7" t="s">
        <v>139</v>
      </c>
      <c r="G56" s="7" t="s">
        <v>140</v>
      </c>
      <c r="H56" s="7" t="s">
        <v>49</v>
      </c>
      <c r="I56" s="7" t="s">
        <v>33</v>
      </c>
      <c r="J56" s="7" t="s">
        <v>9</v>
      </c>
      <c r="K56" s="7" t="s">
        <v>33</v>
      </c>
      <c r="L56" s="7" t="s">
        <v>41</v>
      </c>
      <c r="M56" s="7" t="s">
        <v>33</v>
      </c>
      <c r="N56" s="7" t="s">
        <v>9</v>
      </c>
      <c r="O56" s="7" t="s">
        <v>33</v>
      </c>
      <c r="P56" s="11" t="str">
        <f t="shared" si="0"/>
        <v>平</v>
      </c>
      <c r="Q56" s="11" t="str">
        <f t="shared" si="1"/>
        <v>平</v>
      </c>
    </row>
    <row r="57" spans="4:17" x14ac:dyDescent="0.15">
      <c r="D57" s="7" t="s">
        <v>6</v>
      </c>
      <c r="E57" s="7" t="s">
        <v>141</v>
      </c>
      <c r="F57" s="7" t="s">
        <v>141</v>
      </c>
      <c r="G57" s="7" t="s">
        <v>142</v>
      </c>
      <c r="H57" s="7" t="s">
        <v>34</v>
      </c>
      <c r="I57" s="7" t="s">
        <v>33</v>
      </c>
      <c r="J57" s="7" t="s">
        <v>10</v>
      </c>
      <c r="K57" s="7" t="s">
        <v>33</v>
      </c>
      <c r="L57" s="7" t="s">
        <v>40</v>
      </c>
      <c r="M57" s="7" t="s">
        <v>33</v>
      </c>
      <c r="N57" s="7" t="s">
        <v>33</v>
      </c>
      <c r="O57" s="7" t="s">
        <v>33</v>
      </c>
      <c r="P57" s="11" t="str">
        <f t="shared" si="0"/>
        <v>平</v>
      </c>
      <c r="Q57" s="11" t="str">
        <f t="shared" si="1"/>
        <v>胜</v>
      </c>
    </row>
    <row r="58" spans="4:17" x14ac:dyDescent="0.15">
      <c r="D58" s="7" t="s">
        <v>6</v>
      </c>
      <c r="E58" s="7" t="s">
        <v>143</v>
      </c>
      <c r="F58" s="7" t="s">
        <v>143</v>
      </c>
      <c r="G58" s="7" t="s">
        <v>144</v>
      </c>
      <c r="H58" s="7" t="s">
        <v>35</v>
      </c>
      <c r="I58" s="7" t="s">
        <v>33</v>
      </c>
      <c r="J58" s="7" t="s">
        <v>33</v>
      </c>
      <c r="K58" s="7" t="s">
        <v>33</v>
      </c>
      <c r="L58" s="7" t="s">
        <v>32</v>
      </c>
      <c r="M58" s="7" t="s">
        <v>33</v>
      </c>
      <c r="N58" s="7" t="s">
        <v>10</v>
      </c>
      <c r="O58" s="7" t="s">
        <v>33</v>
      </c>
      <c r="P58" s="11" t="str">
        <f t="shared" si="0"/>
        <v>平</v>
      </c>
      <c r="Q58" s="11" t="str">
        <f t="shared" si="1"/>
        <v>负</v>
      </c>
    </row>
    <row r="59" spans="4:17" x14ac:dyDescent="0.15">
      <c r="D59" s="7" t="s">
        <v>6</v>
      </c>
      <c r="E59" s="7" t="s">
        <v>145</v>
      </c>
      <c r="F59" s="7" t="s">
        <v>145</v>
      </c>
      <c r="G59" s="7" t="s">
        <v>144</v>
      </c>
      <c r="H59" s="7" t="s">
        <v>31</v>
      </c>
      <c r="I59" s="7" t="s">
        <v>33</v>
      </c>
      <c r="J59" s="7" t="s">
        <v>33</v>
      </c>
      <c r="K59" s="7" t="s">
        <v>33</v>
      </c>
      <c r="L59" s="7" t="s">
        <v>44</v>
      </c>
      <c r="M59" s="7" t="s">
        <v>33</v>
      </c>
      <c r="N59" s="7" t="s">
        <v>33</v>
      </c>
      <c r="O59" s="7" t="s">
        <v>33</v>
      </c>
      <c r="P59" s="11" t="str">
        <f t="shared" si="0"/>
        <v>平</v>
      </c>
      <c r="Q59" s="11" t="str">
        <f t="shared" si="1"/>
        <v>平</v>
      </c>
    </row>
    <row r="60" spans="4:17" x14ac:dyDescent="0.15">
      <c r="D60" s="7" t="s">
        <v>6</v>
      </c>
      <c r="E60" s="7" t="s">
        <v>146</v>
      </c>
      <c r="F60" s="7" t="s">
        <v>146</v>
      </c>
      <c r="G60" s="7" t="s">
        <v>144</v>
      </c>
      <c r="H60" s="7" t="s">
        <v>37</v>
      </c>
      <c r="I60" s="7" t="s">
        <v>9</v>
      </c>
      <c r="J60" s="7" t="s">
        <v>39</v>
      </c>
      <c r="K60" s="7" t="s">
        <v>33</v>
      </c>
      <c r="L60" s="7" t="s">
        <v>36</v>
      </c>
      <c r="M60" s="7" t="s">
        <v>9</v>
      </c>
      <c r="N60" s="7" t="s">
        <v>9</v>
      </c>
      <c r="O60" s="7" t="s">
        <v>33</v>
      </c>
      <c r="P60" s="11" t="str">
        <f t="shared" si="0"/>
        <v>平</v>
      </c>
      <c r="Q60" s="11" t="str">
        <f t="shared" si="1"/>
        <v>胜</v>
      </c>
    </row>
    <row r="61" spans="4:17" x14ac:dyDescent="0.15">
      <c r="D61" s="7" t="s">
        <v>6</v>
      </c>
      <c r="E61" s="7" t="s">
        <v>147</v>
      </c>
      <c r="F61" s="7" t="s">
        <v>147</v>
      </c>
      <c r="G61" s="7" t="s">
        <v>148</v>
      </c>
      <c r="H61" s="7" t="s">
        <v>48</v>
      </c>
      <c r="I61" s="7" t="s">
        <v>10</v>
      </c>
      <c r="J61" s="7" t="s">
        <v>10</v>
      </c>
      <c r="K61" s="7" t="s">
        <v>33</v>
      </c>
      <c r="L61" s="7" t="s">
        <v>45</v>
      </c>
      <c r="M61" s="7" t="s">
        <v>33</v>
      </c>
      <c r="N61" s="7" t="s">
        <v>10</v>
      </c>
      <c r="O61" s="7" t="s">
        <v>33</v>
      </c>
      <c r="P61" s="11" t="str">
        <f t="shared" si="0"/>
        <v>胜</v>
      </c>
      <c r="Q61" s="11" t="str">
        <f t="shared" si="1"/>
        <v>平</v>
      </c>
    </row>
    <row r="62" spans="4:17" x14ac:dyDescent="0.15">
      <c r="D62" s="7" t="s">
        <v>6</v>
      </c>
      <c r="E62" s="7" t="s">
        <v>149</v>
      </c>
      <c r="F62" s="7" t="s">
        <v>149</v>
      </c>
      <c r="G62" s="7" t="s">
        <v>150</v>
      </c>
      <c r="H62" s="7" t="s">
        <v>38</v>
      </c>
      <c r="I62" s="7" t="s">
        <v>9</v>
      </c>
      <c r="J62" s="7" t="s">
        <v>9</v>
      </c>
      <c r="K62" s="7" t="s">
        <v>33</v>
      </c>
      <c r="L62" s="7" t="s">
        <v>42</v>
      </c>
      <c r="M62" s="7" t="s">
        <v>33</v>
      </c>
      <c r="N62" s="7" t="s">
        <v>9</v>
      </c>
      <c r="O62" s="7" t="s">
        <v>33</v>
      </c>
      <c r="P62" s="11" t="str">
        <f t="shared" si="0"/>
        <v>胜</v>
      </c>
      <c r="Q62" s="11" t="str">
        <f t="shared" si="1"/>
        <v>平</v>
      </c>
    </row>
    <row r="63" spans="4:17" x14ac:dyDescent="0.15">
      <c r="D63" s="7" t="s">
        <v>6</v>
      </c>
      <c r="E63" s="7" t="s">
        <v>151</v>
      </c>
      <c r="F63" s="7" t="s">
        <v>151</v>
      </c>
      <c r="G63" s="7" t="s">
        <v>152</v>
      </c>
      <c r="H63" s="7" t="s">
        <v>36</v>
      </c>
      <c r="I63" s="7" t="s">
        <v>10</v>
      </c>
      <c r="J63" s="7" t="s">
        <v>9</v>
      </c>
      <c r="K63" s="7" t="s">
        <v>33</v>
      </c>
      <c r="L63" s="7" t="s">
        <v>40</v>
      </c>
      <c r="M63" s="7" t="s">
        <v>9</v>
      </c>
      <c r="N63" s="7" t="s">
        <v>39</v>
      </c>
      <c r="O63" s="7" t="s">
        <v>33</v>
      </c>
      <c r="P63" s="11" t="str">
        <f t="shared" si="0"/>
        <v>负</v>
      </c>
      <c r="Q63" s="11" t="str">
        <f t="shared" si="1"/>
        <v>负</v>
      </c>
    </row>
    <row r="64" spans="4:17" x14ac:dyDescent="0.15">
      <c r="D64" s="7" t="s">
        <v>6</v>
      </c>
      <c r="E64" s="7" t="s">
        <v>153</v>
      </c>
      <c r="F64" s="7" t="s">
        <v>153</v>
      </c>
      <c r="G64" s="7" t="s">
        <v>154</v>
      </c>
      <c r="H64" s="7" t="s">
        <v>45</v>
      </c>
      <c r="I64" s="7" t="s">
        <v>10</v>
      </c>
      <c r="J64" s="7" t="s">
        <v>50</v>
      </c>
      <c r="K64" s="7" t="s">
        <v>33</v>
      </c>
      <c r="L64" s="7" t="s">
        <v>35</v>
      </c>
      <c r="M64" s="7" t="s">
        <v>9</v>
      </c>
      <c r="N64" s="7" t="s">
        <v>9</v>
      </c>
      <c r="O64" s="7" t="s">
        <v>33</v>
      </c>
      <c r="P64" s="11" t="str">
        <f t="shared" si="0"/>
        <v>负</v>
      </c>
      <c r="Q64" s="11" t="str">
        <f t="shared" si="1"/>
        <v>胜</v>
      </c>
    </row>
    <row r="65" spans="4:17" x14ac:dyDescent="0.15">
      <c r="D65" s="7" t="s">
        <v>6</v>
      </c>
      <c r="E65" s="7" t="s">
        <v>155</v>
      </c>
      <c r="F65" s="7" t="s">
        <v>155</v>
      </c>
      <c r="G65" s="7" t="s">
        <v>156</v>
      </c>
      <c r="H65" s="7" t="s">
        <v>43</v>
      </c>
      <c r="I65" s="7" t="s">
        <v>10</v>
      </c>
      <c r="J65" s="7" t="s">
        <v>39</v>
      </c>
      <c r="K65" s="7" t="s">
        <v>33</v>
      </c>
      <c r="L65" s="7" t="s">
        <v>48</v>
      </c>
      <c r="M65" s="7" t="s">
        <v>33</v>
      </c>
      <c r="N65" s="7" t="s">
        <v>33</v>
      </c>
      <c r="O65" s="7" t="s">
        <v>33</v>
      </c>
      <c r="P65" s="11" t="str">
        <f t="shared" si="0"/>
        <v>胜</v>
      </c>
      <c r="Q65" s="11" t="str">
        <f t="shared" si="1"/>
        <v>胜</v>
      </c>
    </row>
    <row r="66" spans="4:17" x14ac:dyDescent="0.15">
      <c r="D66" s="7" t="s">
        <v>6</v>
      </c>
      <c r="E66" s="7" t="s">
        <v>157</v>
      </c>
      <c r="F66" s="7" t="s">
        <v>157</v>
      </c>
      <c r="G66" s="7" t="s">
        <v>158</v>
      </c>
      <c r="H66" s="7" t="s">
        <v>41</v>
      </c>
      <c r="I66" s="7" t="s">
        <v>33</v>
      </c>
      <c r="J66" s="7" t="s">
        <v>33</v>
      </c>
      <c r="K66" s="7" t="s">
        <v>33</v>
      </c>
      <c r="L66" s="7" t="s">
        <v>38</v>
      </c>
      <c r="M66" s="7" t="s">
        <v>33</v>
      </c>
      <c r="N66" s="7" t="s">
        <v>9</v>
      </c>
      <c r="O66" s="7" t="s">
        <v>33</v>
      </c>
      <c r="P66" s="11" t="str">
        <f t="shared" si="0"/>
        <v>平</v>
      </c>
      <c r="Q66" s="11" t="str">
        <f t="shared" si="1"/>
        <v>负</v>
      </c>
    </row>
    <row r="67" spans="4:17" x14ac:dyDescent="0.15">
      <c r="D67" s="7" t="s">
        <v>6</v>
      </c>
      <c r="E67" s="7" t="s">
        <v>159</v>
      </c>
      <c r="F67" s="7" t="s">
        <v>159</v>
      </c>
      <c r="G67" s="7" t="s">
        <v>160</v>
      </c>
      <c r="H67" s="7" t="s">
        <v>32</v>
      </c>
      <c r="I67" s="11" t="s">
        <v>33</v>
      </c>
      <c r="J67" s="7" t="s">
        <v>10</v>
      </c>
      <c r="K67" s="7" t="s">
        <v>33</v>
      </c>
      <c r="L67" s="7" t="s">
        <v>31</v>
      </c>
      <c r="M67" s="7" t="s">
        <v>33</v>
      </c>
      <c r="N67" s="7" t="s">
        <v>10</v>
      </c>
      <c r="O67" s="7" t="s">
        <v>33</v>
      </c>
      <c r="P67" s="11" t="str">
        <f t="shared" si="0"/>
        <v>平</v>
      </c>
      <c r="Q67" s="11" t="str">
        <f t="shared" si="1"/>
        <v>平</v>
      </c>
    </row>
    <row r="68" spans="4:17" x14ac:dyDescent="0.15">
      <c r="D68" s="7" t="s">
        <v>6</v>
      </c>
      <c r="E68" s="7" t="s">
        <v>161</v>
      </c>
      <c r="F68" s="7" t="s">
        <v>161</v>
      </c>
      <c r="G68" s="7" t="s">
        <v>158</v>
      </c>
      <c r="H68" s="7" t="s">
        <v>46</v>
      </c>
      <c r="I68" s="7" t="s">
        <v>9</v>
      </c>
      <c r="J68" s="7" t="s">
        <v>39</v>
      </c>
      <c r="K68" s="7" t="s">
        <v>33</v>
      </c>
      <c r="L68" s="7" t="s">
        <v>37</v>
      </c>
      <c r="M68" s="7" t="s">
        <v>33</v>
      </c>
      <c r="N68" s="7" t="s">
        <v>10</v>
      </c>
      <c r="O68" s="7" t="s">
        <v>33</v>
      </c>
      <c r="P68" s="11" t="str">
        <f t="shared" si="0"/>
        <v>胜</v>
      </c>
      <c r="Q68" s="11" t="str">
        <f t="shared" si="1"/>
        <v>胜</v>
      </c>
    </row>
    <row r="69" spans="4:17" x14ac:dyDescent="0.15">
      <c r="D69" s="7" t="s">
        <v>6</v>
      </c>
      <c r="E69" s="7" t="s">
        <v>162</v>
      </c>
      <c r="F69" s="7" t="s">
        <v>162</v>
      </c>
      <c r="G69" s="7" t="s">
        <v>163</v>
      </c>
      <c r="H69" s="7" t="s">
        <v>44</v>
      </c>
      <c r="I69" s="7" t="s">
        <v>10</v>
      </c>
      <c r="J69" s="7" t="s">
        <v>9</v>
      </c>
      <c r="K69" s="7" t="s">
        <v>33</v>
      </c>
      <c r="L69" s="7" t="s">
        <v>49</v>
      </c>
      <c r="M69" s="7" t="s">
        <v>33</v>
      </c>
      <c r="N69" s="7" t="s">
        <v>10</v>
      </c>
      <c r="O69" s="7" t="s">
        <v>33</v>
      </c>
      <c r="P69" s="11" t="str">
        <f t="shared" si="0"/>
        <v>胜</v>
      </c>
      <c r="Q69" s="11" t="str">
        <f t="shared" si="1"/>
        <v>胜</v>
      </c>
    </row>
    <row r="70" spans="4:17" x14ac:dyDescent="0.15">
      <c r="D70" s="7" t="s">
        <v>6</v>
      </c>
      <c r="E70" s="7" t="s">
        <v>164</v>
      </c>
      <c r="F70" s="7" t="s">
        <v>164</v>
      </c>
      <c r="G70" s="7" t="s">
        <v>165</v>
      </c>
      <c r="H70" s="7" t="s">
        <v>42</v>
      </c>
      <c r="I70" s="7" t="s">
        <v>10</v>
      </c>
      <c r="J70" s="7" t="s">
        <v>10</v>
      </c>
      <c r="K70" s="7" t="s">
        <v>33</v>
      </c>
      <c r="L70" s="7" t="s">
        <v>34</v>
      </c>
      <c r="M70" s="7" t="s">
        <v>39</v>
      </c>
      <c r="N70" s="7" t="s">
        <v>39</v>
      </c>
      <c r="O70" s="7" t="s">
        <v>33</v>
      </c>
      <c r="P70" s="11" t="str">
        <f t="shared" si="0"/>
        <v>负</v>
      </c>
      <c r="Q70" s="11" t="str">
        <f t="shared" si="1"/>
        <v>负</v>
      </c>
    </row>
    <row r="71" spans="4:17" x14ac:dyDescent="0.15">
      <c r="D71" s="7" t="s">
        <v>6</v>
      </c>
      <c r="E71" s="7" t="s">
        <v>166</v>
      </c>
      <c r="F71" s="7" t="s">
        <v>166</v>
      </c>
      <c r="G71" s="7" t="s">
        <v>167</v>
      </c>
      <c r="H71" s="7" t="s">
        <v>31</v>
      </c>
      <c r="I71" s="7" t="s">
        <v>10</v>
      </c>
      <c r="J71" s="7" t="s">
        <v>9</v>
      </c>
      <c r="K71" s="7" t="s">
        <v>33</v>
      </c>
      <c r="L71" s="7" t="s">
        <v>45</v>
      </c>
      <c r="M71" s="7" t="s">
        <v>10</v>
      </c>
      <c r="N71" s="7" t="s">
        <v>9</v>
      </c>
      <c r="O71" s="7" t="s">
        <v>33</v>
      </c>
      <c r="P71" s="11" t="str">
        <f t="shared" si="0"/>
        <v>平</v>
      </c>
      <c r="Q71" s="11" t="str">
        <f t="shared" si="1"/>
        <v>平</v>
      </c>
    </row>
    <row r="72" spans="4:17" x14ac:dyDescent="0.15">
      <c r="D72" s="7" t="s">
        <v>6</v>
      </c>
      <c r="E72" s="7" t="s">
        <v>168</v>
      </c>
      <c r="F72" s="7" t="s">
        <v>168</v>
      </c>
      <c r="G72" s="7" t="s">
        <v>169</v>
      </c>
      <c r="H72" s="7" t="s">
        <v>40</v>
      </c>
      <c r="I72" s="7" t="s">
        <v>33</v>
      </c>
      <c r="J72" s="7" t="s">
        <v>9</v>
      </c>
      <c r="K72" s="7" t="s">
        <v>33</v>
      </c>
      <c r="L72" s="7" t="s">
        <v>42</v>
      </c>
      <c r="M72" s="7" t="s">
        <v>9</v>
      </c>
      <c r="N72" s="7" t="s">
        <v>39</v>
      </c>
      <c r="O72" s="7" t="s">
        <v>33</v>
      </c>
      <c r="P72" s="11" t="str">
        <f t="shared" si="0"/>
        <v>负</v>
      </c>
      <c r="Q72" s="11" t="str">
        <f t="shared" si="1"/>
        <v>负</v>
      </c>
    </row>
    <row r="73" spans="4:17" x14ac:dyDescent="0.15">
      <c r="D73" s="7" t="s">
        <v>6</v>
      </c>
      <c r="E73" s="7" t="s">
        <v>170</v>
      </c>
      <c r="F73" s="7" t="s">
        <v>170</v>
      </c>
      <c r="G73" s="7" t="s">
        <v>171</v>
      </c>
      <c r="H73" s="7" t="s">
        <v>49</v>
      </c>
      <c r="I73" s="7" t="s">
        <v>9</v>
      </c>
      <c r="J73" s="7" t="s">
        <v>39</v>
      </c>
      <c r="K73" s="7" t="s">
        <v>33</v>
      </c>
      <c r="L73" s="7" t="s">
        <v>46</v>
      </c>
      <c r="M73" s="7" t="s">
        <v>10</v>
      </c>
      <c r="N73" s="7" t="s">
        <v>39</v>
      </c>
      <c r="O73" s="7" t="s">
        <v>33</v>
      </c>
      <c r="P73" s="11" t="str">
        <f t="shared" si="0"/>
        <v>胜</v>
      </c>
      <c r="Q73" s="11" t="str">
        <f t="shared" si="1"/>
        <v>平</v>
      </c>
    </row>
    <row r="74" spans="4:17" x14ac:dyDescent="0.15">
      <c r="D74" s="7" t="s">
        <v>6</v>
      </c>
      <c r="E74" s="7" t="s">
        <v>172</v>
      </c>
      <c r="F74" s="7" t="s">
        <v>172</v>
      </c>
      <c r="G74" s="7" t="s">
        <v>173</v>
      </c>
      <c r="H74" s="7" t="s">
        <v>34</v>
      </c>
      <c r="I74" s="7" t="s">
        <v>33</v>
      </c>
      <c r="J74" s="7" t="s">
        <v>50</v>
      </c>
      <c r="K74" s="7" t="s">
        <v>33</v>
      </c>
      <c r="L74" s="7" t="s">
        <v>36</v>
      </c>
      <c r="M74" s="7" t="s">
        <v>10</v>
      </c>
      <c r="N74" s="7" t="s">
        <v>10</v>
      </c>
      <c r="O74" s="7" t="s">
        <v>33</v>
      </c>
      <c r="P74" s="11" t="str">
        <f t="shared" si="0"/>
        <v>负</v>
      </c>
      <c r="Q74" s="11" t="str">
        <f t="shared" si="1"/>
        <v>胜</v>
      </c>
    </row>
    <row r="75" spans="4:17" x14ac:dyDescent="0.15">
      <c r="D75" s="7" t="s">
        <v>6</v>
      </c>
      <c r="E75" s="7" t="s">
        <v>174</v>
      </c>
      <c r="F75" s="7" t="s">
        <v>174</v>
      </c>
      <c r="G75" s="7" t="s">
        <v>175</v>
      </c>
      <c r="H75" s="7" t="s">
        <v>35</v>
      </c>
      <c r="I75" s="7" t="s">
        <v>33</v>
      </c>
      <c r="J75" s="7" t="s">
        <v>33</v>
      </c>
      <c r="K75" s="7" t="s">
        <v>33</v>
      </c>
      <c r="L75" s="7" t="s">
        <v>44</v>
      </c>
      <c r="M75" s="7" t="s">
        <v>33</v>
      </c>
      <c r="N75" s="7" t="s">
        <v>10</v>
      </c>
      <c r="O75" s="7" t="s">
        <v>33</v>
      </c>
      <c r="P75" s="11" t="str">
        <f t="shared" si="0"/>
        <v>平</v>
      </c>
      <c r="Q75" s="11" t="str">
        <f t="shared" si="1"/>
        <v>负</v>
      </c>
    </row>
    <row r="76" spans="4:17" x14ac:dyDescent="0.15">
      <c r="D76" s="7" t="s">
        <v>6</v>
      </c>
      <c r="E76" s="7" t="s">
        <v>176</v>
      </c>
      <c r="F76" s="7" t="s">
        <v>176</v>
      </c>
      <c r="G76" s="7" t="s">
        <v>177</v>
      </c>
      <c r="H76" s="7" t="s">
        <v>38</v>
      </c>
      <c r="I76" s="7" t="s">
        <v>39</v>
      </c>
      <c r="J76" s="7" t="s">
        <v>47</v>
      </c>
      <c r="K76" s="7" t="s">
        <v>33</v>
      </c>
      <c r="L76" s="7" t="s">
        <v>43</v>
      </c>
      <c r="M76" s="7" t="s">
        <v>33</v>
      </c>
      <c r="N76" s="7" t="s">
        <v>33</v>
      </c>
      <c r="O76" s="7" t="s">
        <v>33</v>
      </c>
      <c r="P76" s="11" t="str">
        <f t="shared" si="0"/>
        <v>胜</v>
      </c>
      <c r="Q76" s="11" t="str">
        <f t="shared" si="1"/>
        <v>胜</v>
      </c>
    </row>
    <row r="77" spans="4:17" x14ac:dyDescent="0.15">
      <c r="D77" s="7" t="s">
        <v>6</v>
      </c>
      <c r="E77" s="7" t="s">
        <v>178</v>
      </c>
      <c r="F77" s="7" t="s">
        <v>178</v>
      </c>
      <c r="G77" s="7" t="s">
        <v>175</v>
      </c>
      <c r="H77" s="7" t="s">
        <v>48</v>
      </c>
      <c r="I77" s="7" t="s">
        <v>33</v>
      </c>
      <c r="J77" s="7" t="s">
        <v>10</v>
      </c>
      <c r="K77" s="7" t="s">
        <v>33</v>
      </c>
      <c r="L77" s="7" t="s">
        <v>32</v>
      </c>
      <c r="M77" s="7" t="s">
        <v>9</v>
      </c>
      <c r="N77" s="7" t="s">
        <v>9</v>
      </c>
      <c r="O77" s="7" t="s">
        <v>33</v>
      </c>
      <c r="P77" s="11" t="str">
        <f t="shared" ref="P77:P140" si="2">IF(I77=M77,"平",IF(I77&gt;M77,"胜","负"))</f>
        <v>负</v>
      </c>
      <c r="Q77" s="11" t="str">
        <f t="shared" ref="Q77:Q140" si="3">IF(J77=N77,"平",IF(J77&gt;N77,"胜","负"))</f>
        <v>负</v>
      </c>
    </row>
    <row r="78" spans="4:17" x14ac:dyDescent="0.15">
      <c r="D78" s="7" t="s">
        <v>6</v>
      </c>
      <c r="E78" s="7" t="s">
        <v>179</v>
      </c>
      <c r="F78" s="7" t="s">
        <v>179</v>
      </c>
      <c r="G78" s="7" t="s">
        <v>180</v>
      </c>
      <c r="H78" s="7" t="s">
        <v>37</v>
      </c>
      <c r="I78" s="7" t="s">
        <v>10</v>
      </c>
      <c r="J78" s="7" t="s">
        <v>9</v>
      </c>
      <c r="K78" s="7" t="s">
        <v>33</v>
      </c>
      <c r="L78" s="7" t="s">
        <v>41</v>
      </c>
      <c r="M78" s="7" t="s">
        <v>33</v>
      </c>
      <c r="N78" s="7" t="s">
        <v>33</v>
      </c>
      <c r="O78" s="7" t="s">
        <v>33</v>
      </c>
      <c r="P78" s="11" t="str">
        <f t="shared" si="2"/>
        <v>胜</v>
      </c>
      <c r="Q78" s="11" t="str">
        <f t="shared" si="3"/>
        <v>胜</v>
      </c>
    </row>
    <row r="79" spans="4:17" x14ac:dyDescent="0.15">
      <c r="D79" s="7" t="s">
        <v>6</v>
      </c>
      <c r="E79" s="7" t="s">
        <v>181</v>
      </c>
      <c r="F79" s="7" t="s">
        <v>181</v>
      </c>
      <c r="G79" s="7" t="s">
        <v>182</v>
      </c>
      <c r="H79" s="7" t="s">
        <v>43</v>
      </c>
      <c r="I79" s="7" t="s">
        <v>33</v>
      </c>
      <c r="J79" s="7" t="s">
        <v>9</v>
      </c>
      <c r="K79" s="7" t="s">
        <v>33</v>
      </c>
      <c r="L79" s="7" t="s">
        <v>40</v>
      </c>
      <c r="M79" s="7" t="s">
        <v>33</v>
      </c>
      <c r="N79" s="7" t="s">
        <v>33</v>
      </c>
      <c r="O79" s="7" t="s">
        <v>33</v>
      </c>
      <c r="P79" s="11" t="str">
        <f t="shared" si="2"/>
        <v>平</v>
      </c>
      <c r="Q79" s="11" t="str">
        <f t="shared" si="3"/>
        <v>胜</v>
      </c>
    </row>
    <row r="80" spans="4:17" x14ac:dyDescent="0.15">
      <c r="D80" s="7" t="s">
        <v>6</v>
      </c>
      <c r="E80" s="7" t="s">
        <v>183</v>
      </c>
      <c r="F80" s="7" t="s">
        <v>183</v>
      </c>
      <c r="G80" s="7" t="s">
        <v>184</v>
      </c>
      <c r="H80" s="7" t="s">
        <v>32</v>
      </c>
      <c r="I80" s="11" t="s">
        <v>9</v>
      </c>
      <c r="J80" s="7" t="s">
        <v>50</v>
      </c>
      <c r="K80" s="7" t="s">
        <v>33</v>
      </c>
      <c r="L80" s="7" t="s">
        <v>49</v>
      </c>
      <c r="M80" s="7" t="s">
        <v>9</v>
      </c>
      <c r="N80" s="7" t="s">
        <v>39</v>
      </c>
      <c r="O80" s="7" t="s">
        <v>33</v>
      </c>
      <c r="P80" s="11" t="str">
        <f t="shared" si="2"/>
        <v>平</v>
      </c>
      <c r="Q80" s="11" t="str">
        <f t="shared" si="3"/>
        <v>胜</v>
      </c>
    </row>
    <row r="81" spans="4:17" x14ac:dyDescent="0.15">
      <c r="D81" s="7" t="s">
        <v>6</v>
      </c>
      <c r="E81" s="7" t="s">
        <v>185</v>
      </c>
      <c r="F81" s="7" t="s">
        <v>185</v>
      </c>
      <c r="G81" s="7" t="s">
        <v>186</v>
      </c>
      <c r="H81" s="7" t="s">
        <v>44</v>
      </c>
      <c r="I81" s="7" t="s">
        <v>33</v>
      </c>
      <c r="J81" s="7" t="s">
        <v>9</v>
      </c>
      <c r="K81" s="7" t="s">
        <v>33</v>
      </c>
      <c r="L81" s="7" t="s">
        <v>48</v>
      </c>
      <c r="M81" s="7" t="s">
        <v>33</v>
      </c>
      <c r="N81" s="7" t="s">
        <v>33</v>
      </c>
      <c r="O81" s="7" t="s">
        <v>33</v>
      </c>
      <c r="P81" s="11" t="str">
        <f t="shared" si="2"/>
        <v>平</v>
      </c>
      <c r="Q81" s="11" t="str">
        <f t="shared" si="3"/>
        <v>胜</v>
      </c>
    </row>
    <row r="82" spans="4:17" x14ac:dyDescent="0.15">
      <c r="D82" s="7" t="s">
        <v>6</v>
      </c>
      <c r="E82" s="7" t="s">
        <v>187</v>
      </c>
      <c r="F82" s="7" t="s">
        <v>187</v>
      </c>
      <c r="G82" s="7" t="s">
        <v>188</v>
      </c>
      <c r="H82" s="7" t="s">
        <v>45</v>
      </c>
      <c r="I82" s="7" t="s">
        <v>33</v>
      </c>
      <c r="J82" s="7" t="s">
        <v>10</v>
      </c>
      <c r="K82" s="7" t="s">
        <v>33</v>
      </c>
      <c r="L82" s="7" t="s">
        <v>37</v>
      </c>
      <c r="M82" s="7" t="s">
        <v>9</v>
      </c>
      <c r="N82" s="7" t="s">
        <v>9</v>
      </c>
      <c r="O82" s="7" t="s">
        <v>33</v>
      </c>
      <c r="P82" s="11" t="str">
        <f t="shared" si="2"/>
        <v>负</v>
      </c>
      <c r="Q82" s="11" t="str">
        <f t="shared" si="3"/>
        <v>负</v>
      </c>
    </row>
    <row r="83" spans="4:17" x14ac:dyDescent="0.15">
      <c r="D83" s="7" t="s">
        <v>6</v>
      </c>
      <c r="E83" s="7" t="s">
        <v>189</v>
      </c>
      <c r="F83" s="7" t="s">
        <v>189</v>
      </c>
      <c r="G83" s="7" t="s">
        <v>190</v>
      </c>
      <c r="H83" s="7" t="s">
        <v>36</v>
      </c>
      <c r="I83" s="7" t="s">
        <v>9</v>
      </c>
      <c r="J83" s="7" t="s">
        <v>39</v>
      </c>
      <c r="K83" s="7" t="s">
        <v>33</v>
      </c>
      <c r="L83" s="7" t="s">
        <v>35</v>
      </c>
      <c r="M83" s="7" t="s">
        <v>10</v>
      </c>
      <c r="N83" s="7" t="s">
        <v>9</v>
      </c>
      <c r="O83" s="7" t="s">
        <v>33</v>
      </c>
      <c r="P83" s="11" t="str">
        <f t="shared" si="2"/>
        <v>胜</v>
      </c>
      <c r="Q83" s="11" t="str">
        <f t="shared" si="3"/>
        <v>胜</v>
      </c>
    </row>
    <row r="84" spans="4:17" x14ac:dyDescent="0.15">
      <c r="D84" s="7" t="s">
        <v>6</v>
      </c>
      <c r="E84" s="7" t="s">
        <v>191</v>
      </c>
      <c r="F84" s="7" t="s">
        <v>191</v>
      </c>
      <c r="G84" s="7" t="s">
        <v>188</v>
      </c>
      <c r="H84" s="7" t="s">
        <v>42</v>
      </c>
      <c r="I84" s="7" t="s">
        <v>33</v>
      </c>
      <c r="J84" s="7" t="s">
        <v>10</v>
      </c>
      <c r="K84" s="7" t="s">
        <v>33</v>
      </c>
      <c r="L84" s="7" t="s">
        <v>31</v>
      </c>
      <c r="M84" s="7" t="s">
        <v>10</v>
      </c>
      <c r="N84" s="7" t="s">
        <v>10</v>
      </c>
      <c r="O84" s="7" t="s">
        <v>33</v>
      </c>
      <c r="P84" s="11" t="str">
        <f t="shared" si="2"/>
        <v>负</v>
      </c>
      <c r="Q84" s="11" t="str">
        <f t="shared" si="3"/>
        <v>平</v>
      </c>
    </row>
    <row r="85" spans="4:17" x14ac:dyDescent="0.15">
      <c r="D85" s="7" t="s">
        <v>6</v>
      </c>
      <c r="E85" s="7" t="s">
        <v>192</v>
      </c>
      <c r="F85" s="7" t="s">
        <v>192</v>
      </c>
      <c r="G85" s="7" t="s">
        <v>193</v>
      </c>
      <c r="H85" s="7" t="s">
        <v>46</v>
      </c>
      <c r="I85" s="7" t="s">
        <v>33</v>
      </c>
      <c r="J85" s="7" t="s">
        <v>33</v>
      </c>
      <c r="K85" s="7" t="s">
        <v>33</v>
      </c>
      <c r="L85" s="7" t="s">
        <v>38</v>
      </c>
      <c r="M85" s="7" t="s">
        <v>10</v>
      </c>
      <c r="N85" s="7" t="s">
        <v>10</v>
      </c>
      <c r="O85" s="7" t="s">
        <v>33</v>
      </c>
      <c r="P85" s="11" t="str">
        <f t="shared" si="2"/>
        <v>负</v>
      </c>
      <c r="Q85" s="11" t="str">
        <f t="shared" si="3"/>
        <v>负</v>
      </c>
    </row>
    <row r="86" spans="4:17" x14ac:dyDescent="0.15">
      <c r="D86" s="7" t="s">
        <v>6</v>
      </c>
      <c r="E86" s="7" t="s">
        <v>194</v>
      </c>
      <c r="F86" s="7" t="s">
        <v>194</v>
      </c>
      <c r="G86" s="7" t="s">
        <v>195</v>
      </c>
      <c r="H86" s="7" t="s">
        <v>41</v>
      </c>
      <c r="I86" s="7" t="s">
        <v>10</v>
      </c>
      <c r="J86" s="7" t="s">
        <v>9</v>
      </c>
      <c r="K86" s="7" t="s">
        <v>33</v>
      </c>
      <c r="L86" s="7" t="s">
        <v>34</v>
      </c>
      <c r="M86" s="7" t="s">
        <v>10</v>
      </c>
      <c r="N86" s="7" t="s">
        <v>9</v>
      </c>
      <c r="O86" s="7" t="s">
        <v>33</v>
      </c>
      <c r="P86" s="11" t="str">
        <f t="shared" si="2"/>
        <v>平</v>
      </c>
      <c r="Q86" s="11" t="str">
        <f t="shared" si="3"/>
        <v>平</v>
      </c>
    </row>
    <row r="87" spans="4:17" x14ac:dyDescent="0.15">
      <c r="D87" s="7" t="s">
        <v>6</v>
      </c>
      <c r="E87" s="7" t="s">
        <v>196</v>
      </c>
      <c r="F87" s="7" t="s">
        <v>196</v>
      </c>
      <c r="G87" s="7" t="s">
        <v>197</v>
      </c>
      <c r="H87" s="7" t="s">
        <v>37</v>
      </c>
      <c r="I87" s="7" t="s">
        <v>33</v>
      </c>
      <c r="J87" s="7" t="s">
        <v>39</v>
      </c>
      <c r="K87" s="7" t="s">
        <v>33</v>
      </c>
      <c r="L87" s="7" t="s">
        <v>32</v>
      </c>
      <c r="M87" s="7" t="s">
        <v>33</v>
      </c>
      <c r="N87" s="7" t="s">
        <v>10</v>
      </c>
      <c r="O87" s="7" t="s">
        <v>33</v>
      </c>
      <c r="P87" s="11" t="str">
        <f t="shared" si="2"/>
        <v>平</v>
      </c>
      <c r="Q87" s="11" t="str">
        <f t="shared" si="3"/>
        <v>胜</v>
      </c>
    </row>
    <row r="88" spans="4:17" x14ac:dyDescent="0.15">
      <c r="D88" s="7" t="s">
        <v>6</v>
      </c>
      <c r="E88" s="7" t="s">
        <v>198</v>
      </c>
      <c r="F88" s="7" t="s">
        <v>198</v>
      </c>
      <c r="G88" s="7" t="s">
        <v>199</v>
      </c>
      <c r="H88" s="7" t="s">
        <v>34</v>
      </c>
      <c r="I88" s="7" t="s">
        <v>10</v>
      </c>
      <c r="J88" s="7" t="s">
        <v>50</v>
      </c>
      <c r="K88" s="7" t="s">
        <v>33</v>
      </c>
      <c r="L88" s="7" t="s">
        <v>45</v>
      </c>
      <c r="M88" s="7" t="s">
        <v>10</v>
      </c>
      <c r="N88" s="7" t="s">
        <v>10</v>
      </c>
      <c r="O88" s="7" t="s">
        <v>33</v>
      </c>
      <c r="P88" s="11" t="str">
        <f t="shared" si="2"/>
        <v>平</v>
      </c>
      <c r="Q88" s="11" t="str">
        <f t="shared" si="3"/>
        <v>胜</v>
      </c>
    </row>
    <row r="89" spans="4:17" x14ac:dyDescent="0.15">
      <c r="D89" s="7" t="s">
        <v>6</v>
      </c>
      <c r="E89" s="7" t="s">
        <v>200</v>
      </c>
      <c r="F89" s="7" t="s">
        <v>200</v>
      </c>
      <c r="G89" s="7" t="s">
        <v>201</v>
      </c>
      <c r="H89" s="7" t="s">
        <v>40</v>
      </c>
      <c r="I89" s="7" t="s">
        <v>33</v>
      </c>
      <c r="J89" s="7" t="s">
        <v>10</v>
      </c>
      <c r="K89" s="7" t="s">
        <v>33</v>
      </c>
      <c r="L89" s="7" t="s">
        <v>46</v>
      </c>
      <c r="M89" s="7" t="s">
        <v>9</v>
      </c>
      <c r="N89" s="7" t="s">
        <v>50</v>
      </c>
      <c r="O89" s="7" t="s">
        <v>33</v>
      </c>
      <c r="P89" s="11" t="str">
        <f t="shared" si="2"/>
        <v>负</v>
      </c>
      <c r="Q89" s="11" t="str">
        <f t="shared" si="3"/>
        <v>负</v>
      </c>
    </row>
    <row r="90" spans="4:17" x14ac:dyDescent="0.15">
      <c r="D90" s="7" t="s">
        <v>6</v>
      </c>
      <c r="E90" s="7" t="s">
        <v>202</v>
      </c>
      <c r="F90" s="7" t="s">
        <v>202</v>
      </c>
      <c r="G90" s="7" t="s">
        <v>203</v>
      </c>
      <c r="H90" s="7" t="s">
        <v>31</v>
      </c>
      <c r="I90" s="7" t="s">
        <v>33</v>
      </c>
      <c r="J90" s="7" t="s">
        <v>33</v>
      </c>
      <c r="K90" s="7" t="s">
        <v>33</v>
      </c>
      <c r="L90" s="7" t="s">
        <v>41</v>
      </c>
      <c r="M90" s="7" t="s">
        <v>9</v>
      </c>
      <c r="N90" s="7" t="s">
        <v>9</v>
      </c>
      <c r="O90" s="7" t="s">
        <v>33</v>
      </c>
      <c r="P90" s="11" t="str">
        <f t="shared" si="2"/>
        <v>负</v>
      </c>
      <c r="Q90" s="11" t="str">
        <f t="shared" si="3"/>
        <v>负</v>
      </c>
    </row>
    <row r="91" spans="4:17" x14ac:dyDescent="0.15">
      <c r="D91" s="7" t="s">
        <v>6</v>
      </c>
      <c r="E91" s="7" t="s">
        <v>204</v>
      </c>
      <c r="F91" s="7" t="s">
        <v>204</v>
      </c>
      <c r="G91" s="7" t="s">
        <v>205</v>
      </c>
      <c r="H91" s="7" t="s">
        <v>35</v>
      </c>
      <c r="I91" s="7" t="s">
        <v>33</v>
      </c>
      <c r="J91" s="7" t="s">
        <v>10</v>
      </c>
      <c r="K91" s="7" t="s">
        <v>33</v>
      </c>
      <c r="L91" s="7" t="s">
        <v>43</v>
      </c>
      <c r="M91" s="7" t="s">
        <v>10</v>
      </c>
      <c r="N91" s="7" t="s">
        <v>10</v>
      </c>
      <c r="O91" s="7" t="s">
        <v>33</v>
      </c>
      <c r="P91" s="11" t="str">
        <f t="shared" si="2"/>
        <v>负</v>
      </c>
      <c r="Q91" s="11" t="str">
        <f t="shared" si="3"/>
        <v>平</v>
      </c>
    </row>
    <row r="92" spans="4:17" x14ac:dyDescent="0.15">
      <c r="D92" s="7" t="s">
        <v>6</v>
      </c>
      <c r="E92" s="7" t="s">
        <v>206</v>
      </c>
      <c r="F92" s="7" t="s">
        <v>206</v>
      </c>
      <c r="G92" s="7" t="s">
        <v>207</v>
      </c>
      <c r="H92" s="7" t="s">
        <v>49</v>
      </c>
      <c r="I92" s="7" t="s">
        <v>9</v>
      </c>
      <c r="J92" s="7" t="s">
        <v>50</v>
      </c>
      <c r="K92" s="7" t="s">
        <v>33</v>
      </c>
      <c r="L92" s="7" t="s">
        <v>48</v>
      </c>
      <c r="M92" s="7" t="s">
        <v>33</v>
      </c>
      <c r="N92" s="7" t="s">
        <v>10</v>
      </c>
      <c r="O92" s="7" t="s">
        <v>33</v>
      </c>
      <c r="P92" s="11" t="str">
        <f t="shared" si="2"/>
        <v>胜</v>
      </c>
      <c r="Q92" s="11" t="str">
        <f t="shared" si="3"/>
        <v>胜</v>
      </c>
    </row>
    <row r="93" spans="4:17" x14ac:dyDescent="0.15">
      <c r="D93" s="7" t="s">
        <v>6</v>
      </c>
      <c r="E93" s="7" t="s">
        <v>208</v>
      </c>
      <c r="F93" s="7" t="s">
        <v>208</v>
      </c>
      <c r="G93" s="7" t="s">
        <v>207</v>
      </c>
      <c r="H93" s="7" t="s">
        <v>36</v>
      </c>
      <c r="I93" s="7" t="s">
        <v>33</v>
      </c>
      <c r="J93" s="7" t="s">
        <v>10</v>
      </c>
      <c r="K93" s="7" t="s">
        <v>33</v>
      </c>
      <c r="L93" s="7" t="s">
        <v>42</v>
      </c>
      <c r="M93" s="7" t="s">
        <v>33</v>
      </c>
      <c r="N93" s="7" t="s">
        <v>39</v>
      </c>
      <c r="O93" s="7" t="s">
        <v>33</v>
      </c>
      <c r="P93" s="11" t="str">
        <f t="shared" si="2"/>
        <v>平</v>
      </c>
      <c r="Q93" s="11" t="str">
        <f t="shared" si="3"/>
        <v>负</v>
      </c>
    </row>
    <row r="94" spans="4:17" x14ac:dyDescent="0.15">
      <c r="D94" s="7" t="s">
        <v>6</v>
      </c>
      <c r="E94" s="7" t="s">
        <v>209</v>
      </c>
      <c r="F94" s="7" t="s">
        <v>209</v>
      </c>
      <c r="G94" s="7" t="s">
        <v>210</v>
      </c>
      <c r="H94" s="7" t="s">
        <v>38</v>
      </c>
      <c r="I94" s="7" t="s">
        <v>9</v>
      </c>
      <c r="J94" s="7" t="s">
        <v>39</v>
      </c>
      <c r="K94" s="7" t="s">
        <v>33</v>
      </c>
      <c r="L94" s="7" t="s">
        <v>44</v>
      </c>
      <c r="M94" s="7" t="s">
        <v>33</v>
      </c>
      <c r="N94" s="7" t="s">
        <v>9</v>
      </c>
      <c r="O94" s="7" t="s">
        <v>33</v>
      </c>
      <c r="P94" s="11" t="str">
        <f t="shared" si="2"/>
        <v>胜</v>
      </c>
      <c r="Q94" s="11" t="str">
        <f t="shared" si="3"/>
        <v>胜</v>
      </c>
    </row>
    <row r="95" spans="4:17" x14ac:dyDescent="0.15">
      <c r="D95" s="7" t="s">
        <v>6</v>
      </c>
      <c r="E95" s="7" t="s">
        <v>211</v>
      </c>
      <c r="F95" s="7" t="s">
        <v>211</v>
      </c>
      <c r="G95" s="7" t="s">
        <v>212</v>
      </c>
      <c r="H95" s="7" t="s">
        <v>46</v>
      </c>
      <c r="I95" s="7" t="s">
        <v>33</v>
      </c>
      <c r="J95" s="7" t="s">
        <v>10</v>
      </c>
      <c r="K95" s="7" t="s">
        <v>33</v>
      </c>
      <c r="L95" s="7" t="s">
        <v>31</v>
      </c>
      <c r="M95" s="7" t="s">
        <v>33</v>
      </c>
      <c r="N95" s="7" t="s">
        <v>10</v>
      </c>
      <c r="O95" s="7" t="s">
        <v>33</v>
      </c>
      <c r="P95" s="11" t="str">
        <f t="shared" si="2"/>
        <v>平</v>
      </c>
      <c r="Q95" s="11" t="str">
        <f t="shared" si="3"/>
        <v>平</v>
      </c>
    </row>
    <row r="96" spans="4:17" x14ac:dyDescent="0.15">
      <c r="D96" s="7" t="s">
        <v>6</v>
      </c>
      <c r="E96" s="7" t="s">
        <v>213</v>
      </c>
      <c r="F96" s="7" t="s">
        <v>213</v>
      </c>
      <c r="G96" s="7" t="s">
        <v>214</v>
      </c>
      <c r="H96" s="7" t="s">
        <v>49</v>
      </c>
      <c r="I96" s="7" t="s">
        <v>33</v>
      </c>
      <c r="J96" s="7" t="s">
        <v>33</v>
      </c>
      <c r="K96" s="7" t="s">
        <v>33</v>
      </c>
      <c r="L96" s="7" t="s">
        <v>38</v>
      </c>
      <c r="M96" s="7" t="s">
        <v>10</v>
      </c>
      <c r="N96" s="7" t="s">
        <v>9</v>
      </c>
      <c r="O96" s="7" t="s">
        <v>33</v>
      </c>
      <c r="P96" s="11" t="str">
        <f t="shared" si="2"/>
        <v>负</v>
      </c>
      <c r="Q96" s="11" t="str">
        <f t="shared" si="3"/>
        <v>负</v>
      </c>
    </row>
    <row r="97" spans="4:17" x14ac:dyDescent="0.15">
      <c r="D97" s="7" t="s">
        <v>6</v>
      </c>
      <c r="E97" s="7" t="s">
        <v>215</v>
      </c>
      <c r="F97" s="7" t="s">
        <v>215</v>
      </c>
      <c r="G97" s="7" t="s">
        <v>216</v>
      </c>
      <c r="H97" s="7" t="s">
        <v>45</v>
      </c>
      <c r="I97" s="7" t="s">
        <v>33</v>
      </c>
      <c r="J97" s="7" t="s">
        <v>33</v>
      </c>
      <c r="K97" s="7" t="s">
        <v>33</v>
      </c>
      <c r="L97" s="7" t="s">
        <v>36</v>
      </c>
      <c r="M97" s="7" t="s">
        <v>33</v>
      </c>
      <c r="N97" s="7" t="s">
        <v>10</v>
      </c>
      <c r="O97" s="7" t="s">
        <v>33</v>
      </c>
      <c r="P97" s="11" t="str">
        <f t="shared" si="2"/>
        <v>平</v>
      </c>
      <c r="Q97" s="11" t="str">
        <f t="shared" si="3"/>
        <v>负</v>
      </c>
    </row>
    <row r="98" spans="4:17" x14ac:dyDescent="0.15">
      <c r="D98" s="7" t="s">
        <v>6</v>
      </c>
      <c r="E98" s="7" t="s">
        <v>217</v>
      </c>
      <c r="F98" s="7" t="s">
        <v>217</v>
      </c>
      <c r="G98" s="7" t="s">
        <v>218</v>
      </c>
      <c r="H98" s="7" t="s">
        <v>41</v>
      </c>
      <c r="I98" s="7" t="s">
        <v>10</v>
      </c>
      <c r="J98" s="7" t="s">
        <v>39</v>
      </c>
      <c r="K98" s="7" t="s">
        <v>33</v>
      </c>
      <c r="L98" s="7" t="s">
        <v>35</v>
      </c>
      <c r="M98" s="7" t="s">
        <v>33</v>
      </c>
      <c r="N98" s="7" t="s">
        <v>10</v>
      </c>
      <c r="O98" s="7" t="s">
        <v>33</v>
      </c>
      <c r="P98" s="11" t="str">
        <f t="shared" si="2"/>
        <v>胜</v>
      </c>
      <c r="Q98" s="11" t="str">
        <f t="shared" si="3"/>
        <v>胜</v>
      </c>
    </row>
    <row r="99" spans="4:17" x14ac:dyDescent="0.15">
      <c r="D99" s="7" t="s">
        <v>6</v>
      </c>
      <c r="E99" s="7" t="s">
        <v>219</v>
      </c>
      <c r="F99" s="7" t="s">
        <v>219</v>
      </c>
      <c r="G99" s="7" t="s">
        <v>220</v>
      </c>
      <c r="H99" s="7" t="s">
        <v>48</v>
      </c>
      <c r="I99" s="7" t="s">
        <v>9</v>
      </c>
      <c r="J99" s="7" t="s">
        <v>9</v>
      </c>
      <c r="K99" s="7" t="s">
        <v>33</v>
      </c>
      <c r="L99" s="7" t="s">
        <v>37</v>
      </c>
      <c r="M99" s="7" t="s">
        <v>33</v>
      </c>
      <c r="N99" s="7" t="s">
        <v>10</v>
      </c>
      <c r="O99" s="7" t="s">
        <v>33</v>
      </c>
      <c r="P99" s="11" t="str">
        <f t="shared" si="2"/>
        <v>胜</v>
      </c>
      <c r="Q99" s="11" t="str">
        <f t="shared" si="3"/>
        <v>胜</v>
      </c>
    </row>
    <row r="100" spans="4:17" x14ac:dyDescent="0.15">
      <c r="D100" s="7" t="s">
        <v>6</v>
      </c>
      <c r="E100" s="7" t="s">
        <v>221</v>
      </c>
      <c r="F100" s="7" t="s">
        <v>221</v>
      </c>
      <c r="G100" s="7" t="s">
        <v>218</v>
      </c>
      <c r="H100" s="7" t="s">
        <v>43</v>
      </c>
      <c r="I100" s="7" t="s">
        <v>33</v>
      </c>
      <c r="J100" s="7" t="s">
        <v>39</v>
      </c>
      <c r="K100" s="7" t="s">
        <v>33</v>
      </c>
      <c r="L100" s="7" t="s">
        <v>42</v>
      </c>
      <c r="M100" s="7" t="s">
        <v>33</v>
      </c>
      <c r="N100" s="7" t="s">
        <v>33</v>
      </c>
      <c r="O100" s="7" t="s">
        <v>33</v>
      </c>
      <c r="P100" s="11" t="str">
        <f t="shared" si="2"/>
        <v>平</v>
      </c>
      <c r="Q100" s="11" t="str">
        <f t="shared" si="3"/>
        <v>胜</v>
      </c>
    </row>
    <row r="101" spans="4:17" x14ac:dyDescent="0.15">
      <c r="D101" s="7" t="s">
        <v>6</v>
      </c>
      <c r="E101" s="7" t="s">
        <v>222</v>
      </c>
      <c r="F101" s="7" t="s">
        <v>222</v>
      </c>
      <c r="G101" s="7" t="s">
        <v>223</v>
      </c>
      <c r="H101" s="7" t="s">
        <v>32</v>
      </c>
      <c r="I101" s="11" t="s">
        <v>33</v>
      </c>
      <c r="J101" s="7" t="s">
        <v>33</v>
      </c>
      <c r="K101" s="7" t="s">
        <v>33</v>
      </c>
      <c r="L101" s="7" t="s">
        <v>40</v>
      </c>
      <c r="M101" s="7" t="s">
        <v>10</v>
      </c>
      <c r="N101" s="7" t="s">
        <v>50</v>
      </c>
      <c r="O101" s="7" t="s">
        <v>33</v>
      </c>
      <c r="P101" s="11" t="str">
        <f t="shared" si="2"/>
        <v>负</v>
      </c>
      <c r="Q101" s="11" t="str">
        <f t="shared" si="3"/>
        <v>负</v>
      </c>
    </row>
    <row r="102" spans="4:17" x14ac:dyDescent="0.15">
      <c r="D102" s="7" t="s">
        <v>6</v>
      </c>
      <c r="E102" s="7" t="s">
        <v>224</v>
      </c>
      <c r="F102" s="7" t="s">
        <v>224</v>
      </c>
      <c r="G102" s="7" t="s">
        <v>225</v>
      </c>
      <c r="H102" s="7" t="s">
        <v>44</v>
      </c>
      <c r="I102" s="7" t="s">
        <v>10</v>
      </c>
      <c r="J102" s="7" t="s">
        <v>9</v>
      </c>
      <c r="K102" s="7" t="s">
        <v>33</v>
      </c>
      <c r="L102" s="7" t="s">
        <v>34</v>
      </c>
      <c r="M102" s="7" t="s">
        <v>33</v>
      </c>
      <c r="N102" s="7" t="s">
        <v>33</v>
      </c>
      <c r="O102" s="7" t="s">
        <v>33</v>
      </c>
      <c r="P102" s="11" t="str">
        <f t="shared" si="2"/>
        <v>胜</v>
      </c>
      <c r="Q102" s="11" t="str">
        <f t="shared" si="3"/>
        <v>胜</v>
      </c>
    </row>
    <row r="103" spans="4:17" x14ac:dyDescent="0.15">
      <c r="D103" s="7" t="s">
        <v>6</v>
      </c>
      <c r="E103" s="7" t="s">
        <v>226</v>
      </c>
      <c r="F103" s="7" t="s">
        <v>226</v>
      </c>
      <c r="G103" s="7" t="s">
        <v>227</v>
      </c>
      <c r="H103" s="7" t="s">
        <v>31</v>
      </c>
      <c r="I103" s="7" t="s">
        <v>33</v>
      </c>
      <c r="J103" s="7" t="s">
        <v>9</v>
      </c>
      <c r="K103" s="7" t="s">
        <v>33</v>
      </c>
      <c r="L103" s="7" t="s">
        <v>49</v>
      </c>
      <c r="M103" s="7" t="s">
        <v>33</v>
      </c>
      <c r="N103" s="7" t="s">
        <v>10</v>
      </c>
      <c r="O103" s="7" t="s">
        <v>33</v>
      </c>
      <c r="P103" s="11" t="str">
        <f t="shared" si="2"/>
        <v>平</v>
      </c>
      <c r="Q103" s="11" t="str">
        <f t="shared" si="3"/>
        <v>胜</v>
      </c>
    </row>
    <row r="104" spans="4:17" x14ac:dyDescent="0.15">
      <c r="D104" s="7" t="s">
        <v>6</v>
      </c>
      <c r="E104" s="7" t="s">
        <v>228</v>
      </c>
      <c r="F104" s="7" t="s">
        <v>228</v>
      </c>
      <c r="G104" s="7" t="s">
        <v>229</v>
      </c>
      <c r="H104" s="7" t="s">
        <v>38</v>
      </c>
      <c r="I104" s="7" t="s">
        <v>10</v>
      </c>
      <c r="J104" s="7" t="s">
        <v>9</v>
      </c>
      <c r="K104" s="7" t="s">
        <v>33</v>
      </c>
      <c r="L104" s="7" t="s">
        <v>32</v>
      </c>
      <c r="M104" s="7" t="s">
        <v>33</v>
      </c>
      <c r="N104" s="7" t="s">
        <v>10</v>
      </c>
      <c r="O104" s="7" t="s">
        <v>33</v>
      </c>
      <c r="P104" s="11" t="str">
        <f t="shared" si="2"/>
        <v>胜</v>
      </c>
      <c r="Q104" s="11" t="str">
        <f t="shared" si="3"/>
        <v>胜</v>
      </c>
    </row>
    <row r="105" spans="4:17" x14ac:dyDescent="0.15">
      <c r="D105" s="7" t="s">
        <v>6</v>
      </c>
      <c r="E105" s="7" t="s">
        <v>230</v>
      </c>
      <c r="F105" s="7" t="s">
        <v>230</v>
      </c>
      <c r="G105" s="7" t="s">
        <v>231</v>
      </c>
      <c r="H105" s="7" t="s">
        <v>35</v>
      </c>
      <c r="I105" s="7" t="s">
        <v>10</v>
      </c>
      <c r="J105" s="7" t="s">
        <v>50</v>
      </c>
      <c r="K105" s="7" t="s">
        <v>33</v>
      </c>
      <c r="L105" s="7" t="s">
        <v>48</v>
      </c>
      <c r="M105" s="7" t="s">
        <v>10</v>
      </c>
      <c r="N105" s="7" t="s">
        <v>10</v>
      </c>
      <c r="O105" s="7" t="s">
        <v>33</v>
      </c>
      <c r="P105" s="11" t="str">
        <f t="shared" si="2"/>
        <v>平</v>
      </c>
      <c r="Q105" s="11" t="str">
        <f t="shared" si="3"/>
        <v>胜</v>
      </c>
    </row>
    <row r="106" spans="4:17" x14ac:dyDescent="0.15">
      <c r="D106" s="7" t="s">
        <v>6</v>
      </c>
      <c r="E106" s="7" t="s">
        <v>232</v>
      </c>
      <c r="F106" s="7" t="s">
        <v>232</v>
      </c>
      <c r="G106" s="7" t="s">
        <v>233</v>
      </c>
      <c r="H106" s="7" t="s">
        <v>40</v>
      </c>
      <c r="I106" s="7" t="s">
        <v>10</v>
      </c>
      <c r="J106" s="7" t="s">
        <v>9</v>
      </c>
      <c r="K106" s="7" t="s">
        <v>33</v>
      </c>
      <c r="L106" s="7" t="s">
        <v>45</v>
      </c>
      <c r="M106" s="7" t="s">
        <v>10</v>
      </c>
      <c r="N106" s="7" t="s">
        <v>10</v>
      </c>
      <c r="O106" s="7" t="s">
        <v>33</v>
      </c>
      <c r="P106" s="11" t="str">
        <f t="shared" si="2"/>
        <v>平</v>
      </c>
      <c r="Q106" s="11" t="str">
        <f t="shared" si="3"/>
        <v>胜</v>
      </c>
    </row>
    <row r="107" spans="4:17" x14ac:dyDescent="0.15">
      <c r="D107" s="7" t="s">
        <v>6</v>
      </c>
      <c r="E107" s="7" t="s">
        <v>234</v>
      </c>
      <c r="F107" s="7" t="s">
        <v>234</v>
      </c>
      <c r="G107" s="7" t="s">
        <v>235</v>
      </c>
      <c r="H107" s="7" t="s">
        <v>42</v>
      </c>
      <c r="I107" s="7" t="s">
        <v>9</v>
      </c>
      <c r="J107" s="7" t="s">
        <v>9</v>
      </c>
      <c r="K107" s="7" t="s">
        <v>33</v>
      </c>
      <c r="L107" s="7" t="s">
        <v>44</v>
      </c>
      <c r="M107" s="7" t="s">
        <v>33</v>
      </c>
      <c r="N107" s="7" t="s">
        <v>33</v>
      </c>
      <c r="O107" s="7" t="s">
        <v>33</v>
      </c>
      <c r="P107" s="11" t="str">
        <f t="shared" si="2"/>
        <v>胜</v>
      </c>
      <c r="Q107" s="11" t="str">
        <f t="shared" si="3"/>
        <v>胜</v>
      </c>
    </row>
    <row r="108" spans="4:17" x14ac:dyDescent="0.15">
      <c r="D108" s="7" t="s">
        <v>6</v>
      </c>
      <c r="E108" s="7" t="s">
        <v>236</v>
      </c>
      <c r="F108" s="7" t="s">
        <v>236</v>
      </c>
      <c r="G108" s="7" t="s">
        <v>237</v>
      </c>
      <c r="H108" s="7" t="s">
        <v>34</v>
      </c>
      <c r="I108" s="7" t="s">
        <v>10</v>
      </c>
      <c r="J108" s="7" t="s">
        <v>50</v>
      </c>
      <c r="K108" s="7" t="s">
        <v>33</v>
      </c>
      <c r="L108" s="7" t="s">
        <v>46</v>
      </c>
      <c r="M108" s="7" t="s">
        <v>33</v>
      </c>
      <c r="N108" s="7" t="s">
        <v>33</v>
      </c>
      <c r="O108" s="7" t="s">
        <v>33</v>
      </c>
      <c r="P108" s="11" t="str">
        <f t="shared" si="2"/>
        <v>胜</v>
      </c>
      <c r="Q108" s="11" t="str">
        <f t="shared" si="3"/>
        <v>胜</v>
      </c>
    </row>
    <row r="109" spans="4:17" x14ac:dyDescent="0.15">
      <c r="D109" s="7" t="s">
        <v>6</v>
      </c>
      <c r="E109" s="7" t="s">
        <v>238</v>
      </c>
      <c r="F109" s="7" t="s">
        <v>238</v>
      </c>
      <c r="G109" s="7" t="s">
        <v>237</v>
      </c>
      <c r="H109" s="7" t="s">
        <v>36</v>
      </c>
      <c r="I109" s="7" t="s">
        <v>10</v>
      </c>
      <c r="J109" s="7" t="s">
        <v>39</v>
      </c>
      <c r="K109" s="7" t="s">
        <v>33</v>
      </c>
      <c r="L109" s="7" t="s">
        <v>41</v>
      </c>
      <c r="M109" s="7" t="s">
        <v>33</v>
      </c>
      <c r="N109" s="7" t="s">
        <v>10</v>
      </c>
      <c r="O109" s="7" t="s">
        <v>33</v>
      </c>
      <c r="P109" s="11" t="str">
        <f t="shared" si="2"/>
        <v>胜</v>
      </c>
      <c r="Q109" s="11" t="str">
        <f t="shared" si="3"/>
        <v>胜</v>
      </c>
    </row>
    <row r="110" spans="4:17" x14ac:dyDescent="0.15">
      <c r="D110" s="7" t="s">
        <v>6</v>
      </c>
      <c r="E110" s="7" t="s">
        <v>239</v>
      </c>
      <c r="F110" s="7" t="s">
        <v>239</v>
      </c>
      <c r="G110" s="7" t="s">
        <v>240</v>
      </c>
      <c r="H110" s="7" t="s">
        <v>37</v>
      </c>
      <c r="I110" s="7" t="s">
        <v>9</v>
      </c>
      <c r="J110" s="7" t="s">
        <v>39</v>
      </c>
      <c r="K110" s="7" t="s">
        <v>33</v>
      </c>
      <c r="L110" s="7" t="s">
        <v>43</v>
      </c>
      <c r="M110" s="7" t="s">
        <v>33</v>
      </c>
      <c r="N110" s="7" t="s">
        <v>33</v>
      </c>
      <c r="O110" s="7" t="s">
        <v>33</v>
      </c>
      <c r="P110" s="11" t="str">
        <f t="shared" si="2"/>
        <v>胜</v>
      </c>
      <c r="Q110" s="11" t="str">
        <f t="shared" si="3"/>
        <v>胜</v>
      </c>
    </row>
    <row r="111" spans="4:17" x14ac:dyDescent="0.15">
      <c r="D111" s="7" t="s">
        <v>6</v>
      </c>
      <c r="E111" s="7" t="s">
        <v>241</v>
      </c>
      <c r="F111" s="7" t="s">
        <v>241</v>
      </c>
      <c r="G111" s="7" t="s">
        <v>242</v>
      </c>
      <c r="H111" s="7" t="s">
        <v>44</v>
      </c>
      <c r="I111" s="7" t="s">
        <v>33</v>
      </c>
      <c r="J111" s="7" t="s">
        <v>33</v>
      </c>
      <c r="K111" s="7" t="s">
        <v>33</v>
      </c>
      <c r="L111" s="7" t="s">
        <v>37</v>
      </c>
      <c r="M111" s="7" t="s">
        <v>33</v>
      </c>
      <c r="N111" s="7" t="s">
        <v>9</v>
      </c>
      <c r="O111" s="7" t="s">
        <v>33</v>
      </c>
      <c r="P111" s="11" t="str">
        <f t="shared" si="2"/>
        <v>平</v>
      </c>
      <c r="Q111" s="11" t="str">
        <f t="shared" si="3"/>
        <v>负</v>
      </c>
    </row>
    <row r="112" spans="4:17" x14ac:dyDescent="0.15">
      <c r="D112" s="7" t="s">
        <v>6</v>
      </c>
      <c r="E112" s="7" t="s">
        <v>243</v>
      </c>
      <c r="F112" s="7" t="s">
        <v>243</v>
      </c>
      <c r="G112" s="7" t="s">
        <v>244</v>
      </c>
      <c r="H112" s="7" t="s">
        <v>45</v>
      </c>
      <c r="I112" s="7" t="s">
        <v>10</v>
      </c>
      <c r="J112" s="7" t="s">
        <v>10</v>
      </c>
      <c r="K112" s="7" t="s">
        <v>33</v>
      </c>
      <c r="L112" s="7" t="s">
        <v>38</v>
      </c>
      <c r="M112" s="7" t="s">
        <v>33</v>
      </c>
      <c r="N112" s="7" t="s">
        <v>9</v>
      </c>
      <c r="O112" s="7" t="s">
        <v>33</v>
      </c>
      <c r="P112" s="11" t="str">
        <f t="shared" si="2"/>
        <v>胜</v>
      </c>
      <c r="Q112" s="11" t="str">
        <f t="shared" si="3"/>
        <v>负</v>
      </c>
    </row>
    <row r="113" spans="4:17" x14ac:dyDescent="0.15">
      <c r="D113" s="7" t="s">
        <v>6</v>
      </c>
      <c r="E113" s="7" t="s">
        <v>245</v>
      </c>
      <c r="F113" s="7" t="s">
        <v>245</v>
      </c>
      <c r="G113" s="7" t="s">
        <v>246</v>
      </c>
      <c r="H113" s="7" t="s">
        <v>41</v>
      </c>
      <c r="I113" s="7" t="s">
        <v>33</v>
      </c>
      <c r="J113" s="7" t="s">
        <v>33</v>
      </c>
      <c r="K113" s="7" t="s">
        <v>33</v>
      </c>
      <c r="L113" s="7" t="s">
        <v>40</v>
      </c>
      <c r="M113" s="7" t="s">
        <v>33</v>
      </c>
      <c r="N113" s="7" t="s">
        <v>33</v>
      </c>
      <c r="O113" s="7" t="s">
        <v>33</v>
      </c>
      <c r="P113" s="11" t="str">
        <f t="shared" si="2"/>
        <v>平</v>
      </c>
      <c r="Q113" s="11" t="str">
        <f t="shared" si="3"/>
        <v>平</v>
      </c>
    </row>
    <row r="114" spans="4:17" x14ac:dyDescent="0.15">
      <c r="D114" s="7" t="s">
        <v>6</v>
      </c>
      <c r="E114" s="7" t="s">
        <v>247</v>
      </c>
      <c r="F114" s="7" t="s">
        <v>247</v>
      </c>
      <c r="G114" s="7" t="s">
        <v>248</v>
      </c>
      <c r="H114" s="7" t="s">
        <v>48</v>
      </c>
      <c r="I114" s="7" t="s">
        <v>33</v>
      </c>
      <c r="J114" s="7" t="s">
        <v>9</v>
      </c>
      <c r="K114" s="7" t="s">
        <v>33</v>
      </c>
      <c r="L114" s="7" t="s">
        <v>31</v>
      </c>
      <c r="M114" s="7" t="s">
        <v>33</v>
      </c>
      <c r="N114" s="7" t="s">
        <v>33</v>
      </c>
      <c r="O114" s="7" t="s">
        <v>33</v>
      </c>
      <c r="P114" s="11" t="str">
        <f t="shared" si="2"/>
        <v>平</v>
      </c>
      <c r="Q114" s="11" t="str">
        <f t="shared" si="3"/>
        <v>胜</v>
      </c>
    </row>
    <row r="115" spans="4:17" x14ac:dyDescent="0.15">
      <c r="D115" s="7" t="s">
        <v>6</v>
      </c>
      <c r="E115" s="7" t="s">
        <v>249</v>
      </c>
      <c r="F115" s="7" t="s">
        <v>249</v>
      </c>
      <c r="G115" s="7" t="s">
        <v>248</v>
      </c>
      <c r="H115" s="7" t="s">
        <v>32</v>
      </c>
      <c r="I115" s="11" t="s">
        <v>10</v>
      </c>
      <c r="J115" s="7" t="s">
        <v>10</v>
      </c>
      <c r="K115" s="7" t="s">
        <v>33</v>
      </c>
      <c r="L115" s="7" t="s">
        <v>42</v>
      </c>
      <c r="M115" s="7" t="s">
        <v>33</v>
      </c>
      <c r="N115" s="7" t="s">
        <v>10</v>
      </c>
      <c r="O115" s="7" t="s">
        <v>33</v>
      </c>
      <c r="P115" s="11" t="str">
        <f t="shared" si="2"/>
        <v>胜</v>
      </c>
      <c r="Q115" s="11" t="str">
        <f t="shared" si="3"/>
        <v>平</v>
      </c>
    </row>
    <row r="116" spans="4:17" x14ac:dyDescent="0.15">
      <c r="D116" s="7" t="s">
        <v>6</v>
      </c>
      <c r="E116" s="7" t="s">
        <v>250</v>
      </c>
      <c r="F116" s="7" t="s">
        <v>250</v>
      </c>
      <c r="G116" s="7" t="s">
        <v>248</v>
      </c>
      <c r="H116" s="7" t="s">
        <v>49</v>
      </c>
      <c r="I116" s="7" t="s">
        <v>10</v>
      </c>
      <c r="J116" s="7" t="s">
        <v>9</v>
      </c>
      <c r="K116" s="7" t="s">
        <v>33</v>
      </c>
      <c r="L116" s="7" t="s">
        <v>35</v>
      </c>
      <c r="M116" s="7" t="s">
        <v>10</v>
      </c>
      <c r="N116" s="7" t="s">
        <v>10</v>
      </c>
      <c r="O116" s="7" t="s">
        <v>33</v>
      </c>
      <c r="P116" s="11" t="str">
        <f t="shared" si="2"/>
        <v>平</v>
      </c>
      <c r="Q116" s="11" t="str">
        <f t="shared" si="3"/>
        <v>胜</v>
      </c>
    </row>
    <row r="117" spans="4:17" x14ac:dyDescent="0.15">
      <c r="D117" s="7" t="s">
        <v>6</v>
      </c>
      <c r="E117" s="7" t="s">
        <v>251</v>
      </c>
      <c r="F117" s="7" t="s">
        <v>251</v>
      </c>
      <c r="G117" s="7" t="s">
        <v>252</v>
      </c>
      <c r="H117" s="7" t="s">
        <v>46</v>
      </c>
      <c r="I117" s="7" t="s">
        <v>33</v>
      </c>
      <c r="J117" s="7" t="s">
        <v>10</v>
      </c>
      <c r="K117" s="7" t="s">
        <v>33</v>
      </c>
      <c r="L117" s="7" t="s">
        <v>36</v>
      </c>
      <c r="M117" s="7" t="s">
        <v>10</v>
      </c>
      <c r="N117" s="7" t="s">
        <v>9</v>
      </c>
      <c r="O117" s="7" t="s">
        <v>33</v>
      </c>
      <c r="P117" s="11" t="str">
        <f t="shared" si="2"/>
        <v>负</v>
      </c>
      <c r="Q117" s="11" t="str">
        <f t="shared" si="3"/>
        <v>负</v>
      </c>
    </row>
    <row r="118" spans="4:17" x14ac:dyDescent="0.15">
      <c r="D118" s="7" t="s">
        <v>6</v>
      </c>
      <c r="E118" s="7" t="s">
        <v>253</v>
      </c>
      <c r="F118" s="7" t="s">
        <v>253</v>
      </c>
      <c r="G118" s="7" t="s">
        <v>254</v>
      </c>
      <c r="H118" s="7" t="s">
        <v>43</v>
      </c>
      <c r="I118" s="7" t="s">
        <v>10</v>
      </c>
      <c r="J118" s="7" t="s">
        <v>9</v>
      </c>
      <c r="K118" s="7" t="s">
        <v>33</v>
      </c>
      <c r="L118" s="7" t="s">
        <v>34</v>
      </c>
      <c r="M118" s="7" t="s">
        <v>33</v>
      </c>
      <c r="N118" s="7" t="s">
        <v>9</v>
      </c>
      <c r="O118" s="7" t="s">
        <v>33</v>
      </c>
      <c r="P118" s="11" t="str">
        <f t="shared" si="2"/>
        <v>胜</v>
      </c>
      <c r="Q118" s="11" t="str">
        <f t="shared" si="3"/>
        <v>平</v>
      </c>
    </row>
    <row r="119" spans="4:17" x14ac:dyDescent="0.15">
      <c r="D119" s="7" t="s">
        <v>6</v>
      </c>
      <c r="E119" s="7" t="s">
        <v>255</v>
      </c>
      <c r="F119" s="7" t="s">
        <v>255</v>
      </c>
      <c r="G119" s="7" t="s">
        <v>256</v>
      </c>
      <c r="H119" s="7" t="s">
        <v>46</v>
      </c>
      <c r="I119" s="7" t="s">
        <v>10</v>
      </c>
      <c r="J119" s="7" t="s">
        <v>10</v>
      </c>
      <c r="K119" s="7" t="s">
        <v>33</v>
      </c>
      <c r="L119" s="7" t="s">
        <v>41</v>
      </c>
      <c r="M119" s="7" t="s">
        <v>33</v>
      </c>
      <c r="N119" s="7" t="s">
        <v>9</v>
      </c>
      <c r="O119" s="7" t="s">
        <v>33</v>
      </c>
      <c r="P119" s="11" t="str">
        <f t="shared" si="2"/>
        <v>胜</v>
      </c>
      <c r="Q119" s="11" t="str">
        <f t="shared" si="3"/>
        <v>负</v>
      </c>
    </row>
    <row r="120" spans="4:17" x14ac:dyDescent="0.15">
      <c r="D120" s="7" t="s">
        <v>6</v>
      </c>
      <c r="E120" s="7" t="s">
        <v>257</v>
      </c>
      <c r="F120" s="7" t="s">
        <v>257</v>
      </c>
      <c r="G120" s="7" t="s">
        <v>258</v>
      </c>
      <c r="H120" s="7" t="s">
        <v>36</v>
      </c>
      <c r="I120" s="7" t="s">
        <v>33</v>
      </c>
      <c r="J120" s="7" t="s">
        <v>10</v>
      </c>
      <c r="K120" s="7" t="s">
        <v>33</v>
      </c>
      <c r="L120" s="7" t="s">
        <v>43</v>
      </c>
      <c r="M120" s="7" t="s">
        <v>10</v>
      </c>
      <c r="N120" s="7" t="s">
        <v>10</v>
      </c>
      <c r="O120" s="7" t="s">
        <v>33</v>
      </c>
      <c r="P120" s="11" t="str">
        <f t="shared" si="2"/>
        <v>负</v>
      </c>
      <c r="Q120" s="11" t="str">
        <f t="shared" si="3"/>
        <v>平</v>
      </c>
    </row>
    <row r="121" spans="4:17" x14ac:dyDescent="0.15">
      <c r="D121" s="7" t="s">
        <v>6</v>
      </c>
      <c r="E121" s="7" t="s">
        <v>259</v>
      </c>
      <c r="F121" s="7" t="s">
        <v>259</v>
      </c>
      <c r="G121" s="7" t="s">
        <v>260</v>
      </c>
      <c r="H121" s="7" t="s">
        <v>38</v>
      </c>
      <c r="I121" s="7" t="s">
        <v>33</v>
      </c>
      <c r="J121" s="7" t="s">
        <v>10</v>
      </c>
      <c r="K121" s="7" t="s">
        <v>33</v>
      </c>
      <c r="L121" s="7" t="s">
        <v>48</v>
      </c>
      <c r="M121" s="7" t="s">
        <v>33</v>
      </c>
      <c r="N121" s="7" t="s">
        <v>9</v>
      </c>
      <c r="O121" s="7" t="s">
        <v>33</v>
      </c>
      <c r="P121" s="11" t="str">
        <f t="shared" si="2"/>
        <v>平</v>
      </c>
      <c r="Q121" s="11" t="str">
        <f t="shared" si="3"/>
        <v>负</v>
      </c>
    </row>
    <row r="122" spans="4:17" x14ac:dyDescent="0.15">
      <c r="D122" s="7" t="s">
        <v>6</v>
      </c>
      <c r="E122" s="7" t="s">
        <v>261</v>
      </c>
      <c r="F122" s="7" t="s">
        <v>261</v>
      </c>
      <c r="G122" s="7" t="s">
        <v>262</v>
      </c>
      <c r="H122" s="7" t="s">
        <v>40</v>
      </c>
      <c r="I122" s="7" t="s">
        <v>9</v>
      </c>
      <c r="J122" s="7" t="s">
        <v>9</v>
      </c>
      <c r="K122" s="7" t="s">
        <v>33</v>
      </c>
      <c r="L122" s="7" t="s">
        <v>44</v>
      </c>
      <c r="M122" s="7" t="s">
        <v>33</v>
      </c>
      <c r="N122" s="7" t="s">
        <v>10</v>
      </c>
      <c r="O122" s="7" t="s">
        <v>33</v>
      </c>
      <c r="P122" s="11" t="str">
        <f t="shared" si="2"/>
        <v>胜</v>
      </c>
      <c r="Q122" s="11" t="str">
        <f t="shared" si="3"/>
        <v>胜</v>
      </c>
    </row>
    <row r="123" spans="4:17" x14ac:dyDescent="0.15">
      <c r="D123" s="7" t="s">
        <v>6</v>
      </c>
      <c r="E123" s="7" t="s">
        <v>263</v>
      </c>
      <c r="F123" s="7" t="s">
        <v>263</v>
      </c>
      <c r="G123" s="7" t="s">
        <v>264</v>
      </c>
      <c r="H123" s="7" t="s">
        <v>31</v>
      </c>
      <c r="I123" s="7" t="s">
        <v>10</v>
      </c>
      <c r="J123" s="7" t="s">
        <v>10</v>
      </c>
      <c r="K123" s="7" t="s">
        <v>33</v>
      </c>
      <c r="L123" s="7" t="s">
        <v>35</v>
      </c>
      <c r="M123" s="7" t="s">
        <v>33</v>
      </c>
      <c r="N123" s="7" t="s">
        <v>33</v>
      </c>
      <c r="O123" s="7" t="s">
        <v>33</v>
      </c>
      <c r="P123" s="11" t="str">
        <f t="shared" si="2"/>
        <v>胜</v>
      </c>
      <c r="Q123" s="11" t="str">
        <f t="shared" si="3"/>
        <v>胜</v>
      </c>
    </row>
    <row r="124" spans="4:17" x14ac:dyDescent="0.15">
      <c r="D124" s="7" t="s">
        <v>6</v>
      </c>
      <c r="E124" s="7" t="s">
        <v>265</v>
      </c>
      <c r="F124" s="7" t="s">
        <v>265</v>
      </c>
      <c r="G124" s="7" t="s">
        <v>264</v>
      </c>
      <c r="H124" s="7" t="s">
        <v>34</v>
      </c>
      <c r="I124" s="7" t="s">
        <v>9</v>
      </c>
      <c r="J124" s="7" t="s">
        <v>50</v>
      </c>
      <c r="K124" s="7" t="s">
        <v>33</v>
      </c>
      <c r="L124" s="7" t="s">
        <v>32</v>
      </c>
      <c r="M124" s="7" t="s">
        <v>9</v>
      </c>
      <c r="N124" s="7" t="s">
        <v>39</v>
      </c>
      <c r="O124" s="7" t="s">
        <v>33</v>
      </c>
      <c r="P124" s="11" t="str">
        <f t="shared" si="2"/>
        <v>平</v>
      </c>
      <c r="Q124" s="11" t="str">
        <f t="shared" si="3"/>
        <v>胜</v>
      </c>
    </row>
    <row r="125" spans="4:17" x14ac:dyDescent="0.15">
      <c r="D125" s="7" t="s">
        <v>6</v>
      </c>
      <c r="E125" s="7" t="s">
        <v>266</v>
      </c>
      <c r="F125" s="7" t="s">
        <v>266</v>
      </c>
      <c r="G125" s="7" t="s">
        <v>264</v>
      </c>
      <c r="H125" s="7" t="s">
        <v>42</v>
      </c>
      <c r="I125" s="7" t="s">
        <v>33</v>
      </c>
      <c r="J125" s="7" t="s">
        <v>10</v>
      </c>
      <c r="K125" s="7" t="s">
        <v>33</v>
      </c>
      <c r="L125" s="7" t="s">
        <v>45</v>
      </c>
      <c r="M125" s="7" t="s">
        <v>10</v>
      </c>
      <c r="N125" s="7" t="s">
        <v>10</v>
      </c>
      <c r="O125" s="7" t="s">
        <v>33</v>
      </c>
      <c r="P125" s="11" t="str">
        <f t="shared" si="2"/>
        <v>负</v>
      </c>
      <c r="Q125" s="11" t="str">
        <f t="shared" si="3"/>
        <v>平</v>
      </c>
    </row>
    <row r="126" spans="4:17" x14ac:dyDescent="0.15">
      <c r="D126" s="7" t="s">
        <v>6</v>
      </c>
      <c r="E126" s="7" t="s">
        <v>267</v>
      </c>
      <c r="F126" s="7" t="s">
        <v>267</v>
      </c>
      <c r="G126" s="7" t="s">
        <v>268</v>
      </c>
      <c r="H126" s="7" t="s">
        <v>37</v>
      </c>
      <c r="I126" s="7" t="s">
        <v>9</v>
      </c>
      <c r="J126" s="7" t="s">
        <v>39</v>
      </c>
      <c r="K126" s="7" t="s">
        <v>33</v>
      </c>
      <c r="L126" s="7" t="s">
        <v>49</v>
      </c>
      <c r="M126" s="7" t="s">
        <v>9</v>
      </c>
      <c r="N126" s="7" t="s">
        <v>9</v>
      </c>
      <c r="O126" s="7" t="s">
        <v>33</v>
      </c>
      <c r="P126" s="11" t="str">
        <f t="shared" si="2"/>
        <v>平</v>
      </c>
      <c r="Q126" s="11" t="str">
        <f t="shared" si="3"/>
        <v>胜</v>
      </c>
    </row>
    <row r="127" spans="4:17" x14ac:dyDescent="0.15">
      <c r="D127" s="7" t="s">
        <v>6</v>
      </c>
      <c r="E127" s="7" t="s">
        <v>269</v>
      </c>
      <c r="F127" s="7" t="s">
        <v>269</v>
      </c>
      <c r="G127" s="7" t="s">
        <v>270</v>
      </c>
      <c r="H127" s="7" t="s">
        <v>37</v>
      </c>
      <c r="I127" s="7" t="s">
        <v>9</v>
      </c>
      <c r="J127" s="7" t="s">
        <v>39</v>
      </c>
      <c r="K127" s="7" t="s">
        <v>33</v>
      </c>
      <c r="L127" s="7" t="s">
        <v>31</v>
      </c>
      <c r="M127" s="7" t="s">
        <v>33</v>
      </c>
      <c r="N127" s="7" t="s">
        <v>10</v>
      </c>
      <c r="O127" s="7" t="s">
        <v>33</v>
      </c>
      <c r="P127" s="11" t="str">
        <f t="shared" si="2"/>
        <v>胜</v>
      </c>
      <c r="Q127" s="11" t="str">
        <f t="shared" si="3"/>
        <v>胜</v>
      </c>
    </row>
    <row r="128" spans="4:17" x14ac:dyDescent="0.15">
      <c r="D128" s="7" t="s">
        <v>6</v>
      </c>
      <c r="E128" s="7" t="s">
        <v>271</v>
      </c>
      <c r="F128" s="7" t="s">
        <v>271</v>
      </c>
      <c r="G128" s="7" t="s">
        <v>272</v>
      </c>
      <c r="H128" s="7" t="s">
        <v>41</v>
      </c>
      <c r="I128" s="7" t="s">
        <v>33</v>
      </c>
      <c r="J128" s="7" t="s">
        <v>10</v>
      </c>
      <c r="K128" s="7" t="s">
        <v>33</v>
      </c>
      <c r="L128" s="7" t="s">
        <v>42</v>
      </c>
      <c r="M128" s="7" t="s">
        <v>33</v>
      </c>
      <c r="N128" s="7" t="s">
        <v>10</v>
      </c>
      <c r="O128" s="7" t="s">
        <v>33</v>
      </c>
      <c r="P128" s="11" t="str">
        <f t="shared" si="2"/>
        <v>平</v>
      </c>
      <c r="Q128" s="11" t="str">
        <f t="shared" si="3"/>
        <v>平</v>
      </c>
    </row>
    <row r="129" spans="4:17" x14ac:dyDescent="0.15">
      <c r="D129" s="7" t="s">
        <v>6</v>
      </c>
      <c r="E129" s="7" t="s">
        <v>273</v>
      </c>
      <c r="F129" s="7" t="s">
        <v>273</v>
      </c>
      <c r="G129" s="7" t="s">
        <v>274</v>
      </c>
      <c r="H129" s="7" t="s">
        <v>32</v>
      </c>
      <c r="I129" s="11" t="s">
        <v>9</v>
      </c>
      <c r="J129" s="7" t="s">
        <v>9</v>
      </c>
      <c r="K129" s="7" t="s">
        <v>33</v>
      </c>
      <c r="L129" s="7" t="s">
        <v>46</v>
      </c>
      <c r="M129" s="7" t="s">
        <v>33</v>
      </c>
      <c r="N129" s="7" t="s">
        <v>10</v>
      </c>
      <c r="O129" s="7" t="s">
        <v>33</v>
      </c>
      <c r="P129" s="11" t="str">
        <f t="shared" si="2"/>
        <v>胜</v>
      </c>
      <c r="Q129" s="11" t="str">
        <f t="shared" si="3"/>
        <v>胜</v>
      </c>
    </row>
    <row r="130" spans="4:17" x14ac:dyDescent="0.15">
      <c r="D130" s="7" t="s">
        <v>6</v>
      </c>
      <c r="E130" s="7" t="s">
        <v>275</v>
      </c>
      <c r="F130" s="7" t="s">
        <v>275</v>
      </c>
      <c r="G130" s="7" t="s">
        <v>276</v>
      </c>
      <c r="H130" s="7" t="s">
        <v>35</v>
      </c>
      <c r="I130" s="7" t="s">
        <v>33</v>
      </c>
      <c r="J130" s="7" t="s">
        <v>33</v>
      </c>
      <c r="K130" s="7" t="s">
        <v>33</v>
      </c>
      <c r="L130" s="7" t="s">
        <v>38</v>
      </c>
      <c r="M130" s="7" t="s">
        <v>10</v>
      </c>
      <c r="N130" s="7" t="s">
        <v>10</v>
      </c>
      <c r="O130" s="7" t="s">
        <v>33</v>
      </c>
      <c r="P130" s="11" t="str">
        <f t="shared" si="2"/>
        <v>负</v>
      </c>
      <c r="Q130" s="11" t="str">
        <f t="shared" si="3"/>
        <v>负</v>
      </c>
    </row>
    <row r="131" spans="4:17" x14ac:dyDescent="0.15">
      <c r="D131" s="7" t="s">
        <v>6</v>
      </c>
      <c r="E131" s="7" t="s">
        <v>277</v>
      </c>
      <c r="F131" s="7" t="s">
        <v>277</v>
      </c>
      <c r="G131" s="7" t="s">
        <v>276</v>
      </c>
      <c r="H131" s="7" t="s">
        <v>45</v>
      </c>
      <c r="I131" s="7" t="s">
        <v>33</v>
      </c>
      <c r="J131" s="7" t="s">
        <v>10</v>
      </c>
      <c r="K131" s="7" t="s">
        <v>33</v>
      </c>
      <c r="L131" s="7" t="s">
        <v>43</v>
      </c>
      <c r="M131" s="7" t="s">
        <v>9</v>
      </c>
      <c r="N131" s="7" t="s">
        <v>9</v>
      </c>
      <c r="O131" s="7" t="s">
        <v>33</v>
      </c>
      <c r="P131" s="11" t="str">
        <f t="shared" si="2"/>
        <v>负</v>
      </c>
      <c r="Q131" s="11" t="str">
        <f t="shared" si="3"/>
        <v>负</v>
      </c>
    </row>
    <row r="132" spans="4:17" x14ac:dyDescent="0.15">
      <c r="D132" s="7" t="s">
        <v>6</v>
      </c>
      <c r="E132" s="7" t="s">
        <v>278</v>
      </c>
      <c r="F132" s="7" t="s">
        <v>278</v>
      </c>
      <c r="G132" s="7" t="s">
        <v>279</v>
      </c>
      <c r="H132" s="7" t="s">
        <v>44</v>
      </c>
      <c r="I132" s="7" t="s">
        <v>9</v>
      </c>
      <c r="J132" s="7" t="s">
        <v>50</v>
      </c>
      <c r="K132" s="7" t="s">
        <v>33</v>
      </c>
      <c r="L132" s="7" t="s">
        <v>36</v>
      </c>
      <c r="M132" s="7" t="s">
        <v>33</v>
      </c>
      <c r="N132" s="7" t="s">
        <v>10</v>
      </c>
      <c r="O132" s="7" t="s">
        <v>33</v>
      </c>
      <c r="P132" s="11" t="str">
        <f t="shared" si="2"/>
        <v>胜</v>
      </c>
      <c r="Q132" s="11" t="str">
        <f t="shared" si="3"/>
        <v>胜</v>
      </c>
    </row>
    <row r="133" spans="4:17" x14ac:dyDescent="0.15">
      <c r="D133" s="7" t="s">
        <v>6</v>
      </c>
      <c r="E133" s="7" t="s">
        <v>280</v>
      </c>
      <c r="F133" s="7" t="s">
        <v>280</v>
      </c>
      <c r="G133" s="7" t="s">
        <v>281</v>
      </c>
      <c r="H133" s="7" t="s">
        <v>49</v>
      </c>
      <c r="I133" s="7" t="s">
        <v>33</v>
      </c>
      <c r="J133" s="7" t="s">
        <v>10</v>
      </c>
      <c r="K133" s="7" t="s">
        <v>33</v>
      </c>
      <c r="L133" s="7" t="s">
        <v>34</v>
      </c>
      <c r="M133" s="7" t="s">
        <v>9</v>
      </c>
      <c r="N133" s="7" t="s">
        <v>9</v>
      </c>
      <c r="O133" s="7" t="s">
        <v>33</v>
      </c>
      <c r="P133" s="11" t="str">
        <f t="shared" si="2"/>
        <v>负</v>
      </c>
      <c r="Q133" s="11" t="str">
        <f t="shared" si="3"/>
        <v>负</v>
      </c>
    </row>
    <row r="134" spans="4:17" x14ac:dyDescent="0.15">
      <c r="D134" s="7" t="s">
        <v>6</v>
      </c>
      <c r="E134" s="7" t="s">
        <v>282</v>
      </c>
      <c r="F134" s="7" t="s">
        <v>282</v>
      </c>
      <c r="G134" s="7" t="s">
        <v>283</v>
      </c>
      <c r="H134" s="7" t="s">
        <v>45</v>
      </c>
      <c r="I134" s="7" t="s">
        <v>33</v>
      </c>
      <c r="J134" s="7" t="s">
        <v>10</v>
      </c>
      <c r="K134" s="7" t="s">
        <v>33</v>
      </c>
      <c r="L134" s="7" t="s">
        <v>41</v>
      </c>
      <c r="M134" s="7" t="s">
        <v>33</v>
      </c>
      <c r="N134" s="7" t="s">
        <v>33</v>
      </c>
      <c r="O134" s="7" t="s">
        <v>33</v>
      </c>
      <c r="P134" s="11" t="str">
        <f t="shared" si="2"/>
        <v>平</v>
      </c>
      <c r="Q134" s="11" t="str">
        <f t="shared" si="3"/>
        <v>胜</v>
      </c>
    </row>
    <row r="135" spans="4:17" x14ac:dyDescent="0.15">
      <c r="D135" s="7" t="s">
        <v>6</v>
      </c>
      <c r="E135" s="7" t="s">
        <v>284</v>
      </c>
      <c r="F135" s="7" t="s">
        <v>284</v>
      </c>
      <c r="G135" s="7" t="s">
        <v>285</v>
      </c>
      <c r="H135" s="7" t="s">
        <v>40</v>
      </c>
      <c r="I135" s="7" t="s">
        <v>33</v>
      </c>
      <c r="J135" s="7" t="s">
        <v>9</v>
      </c>
      <c r="K135" s="7" t="s">
        <v>33</v>
      </c>
      <c r="L135" s="7" t="s">
        <v>38</v>
      </c>
      <c r="M135" s="7" t="s">
        <v>33</v>
      </c>
      <c r="N135" s="7" t="s">
        <v>33</v>
      </c>
      <c r="O135" s="7" t="s">
        <v>33</v>
      </c>
      <c r="P135" s="11" t="str">
        <f t="shared" si="2"/>
        <v>平</v>
      </c>
      <c r="Q135" s="11" t="str">
        <f t="shared" si="3"/>
        <v>胜</v>
      </c>
    </row>
    <row r="136" spans="4:17" x14ac:dyDescent="0.15">
      <c r="D136" s="7" t="s">
        <v>6</v>
      </c>
      <c r="E136" s="7" t="s">
        <v>286</v>
      </c>
      <c r="F136" s="7" t="s">
        <v>286</v>
      </c>
      <c r="G136" s="7" t="s">
        <v>287</v>
      </c>
      <c r="H136" s="7" t="s">
        <v>42</v>
      </c>
      <c r="I136" s="7" t="s">
        <v>33</v>
      </c>
      <c r="J136" s="7" t="s">
        <v>33</v>
      </c>
      <c r="K136" s="7" t="s">
        <v>33</v>
      </c>
      <c r="L136" s="7" t="s">
        <v>48</v>
      </c>
      <c r="M136" s="7" t="s">
        <v>33</v>
      </c>
      <c r="N136" s="7" t="s">
        <v>10</v>
      </c>
      <c r="O136" s="7" t="s">
        <v>33</v>
      </c>
      <c r="P136" s="11" t="str">
        <f t="shared" si="2"/>
        <v>平</v>
      </c>
      <c r="Q136" s="11" t="str">
        <f t="shared" si="3"/>
        <v>负</v>
      </c>
    </row>
    <row r="137" spans="4:17" x14ac:dyDescent="0.15">
      <c r="D137" s="7" t="s">
        <v>6</v>
      </c>
      <c r="E137" s="7" t="s">
        <v>288</v>
      </c>
      <c r="F137" s="7" t="s">
        <v>288</v>
      </c>
      <c r="G137" s="7" t="s">
        <v>287</v>
      </c>
      <c r="H137" s="7" t="s">
        <v>46</v>
      </c>
      <c r="I137" s="7" t="s">
        <v>10</v>
      </c>
      <c r="J137" s="7" t="s">
        <v>9</v>
      </c>
      <c r="K137" s="7" t="s">
        <v>33</v>
      </c>
      <c r="L137" s="7" t="s">
        <v>35</v>
      </c>
      <c r="M137" s="7" t="s">
        <v>33</v>
      </c>
      <c r="N137" s="7" t="s">
        <v>10</v>
      </c>
      <c r="O137" s="7" t="s">
        <v>33</v>
      </c>
      <c r="P137" s="11" t="str">
        <f t="shared" si="2"/>
        <v>胜</v>
      </c>
      <c r="Q137" s="11" t="str">
        <f t="shared" si="3"/>
        <v>胜</v>
      </c>
    </row>
    <row r="138" spans="4:17" x14ac:dyDescent="0.15">
      <c r="D138" s="7" t="s">
        <v>6</v>
      </c>
      <c r="E138" s="7" t="s">
        <v>289</v>
      </c>
      <c r="F138" s="7" t="s">
        <v>289</v>
      </c>
      <c r="G138" s="7" t="s">
        <v>285</v>
      </c>
      <c r="H138" s="7" t="s">
        <v>34</v>
      </c>
      <c r="I138" s="7" t="s">
        <v>33</v>
      </c>
      <c r="J138" s="7" t="s">
        <v>33</v>
      </c>
      <c r="K138" s="7" t="s">
        <v>33</v>
      </c>
      <c r="L138" s="7" t="s">
        <v>37</v>
      </c>
      <c r="M138" s="7" t="s">
        <v>33</v>
      </c>
      <c r="N138" s="7" t="s">
        <v>10</v>
      </c>
      <c r="O138" s="7" t="s">
        <v>33</v>
      </c>
      <c r="P138" s="11" t="str">
        <f t="shared" si="2"/>
        <v>平</v>
      </c>
      <c r="Q138" s="11" t="str">
        <f t="shared" si="3"/>
        <v>负</v>
      </c>
    </row>
    <row r="139" spans="4:17" x14ac:dyDescent="0.15">
      <c r="D139" s="7" t="s">
        <v>6</v>
      </c>
      <c r="E139" s="7" t="s">
        <v>290</v>
      </c>
      <c r="F139" s="7" t="s">
        <v>290</v>
      </c>
      <c r="G139" s="7" t="s">
        <v>285</v>
      </c>
      <c r="H139" s="7" t="s">
        <v>44</v>
      </c>
      <c r="I139" s="7" t="s">
        <v>9</v>
      </c>
      <c r="J139" s="7" t="s">
        <v>50</v>
      </c>
      <c r="K139" s="7" t="s">
        <v>33</v>
      </c>
      <c r="L139" s="7" t="s">
        <v>32</v>
      </c>
      <c r="M139" s="7" t="s">
        <v>33</v>
      </c>
      <c r="N139" s="7" t="s">
        <v>33</v>
      </c>
      <c r="O139" s="7" t="s">
        <v>33</v>
      </c>
      <c r="P139" s="11" t="str">
        <f t="shared" si="2"/>
        <v>胜</v>
      </c>
      <c r="Q139" s="11" t="str">
        <f t="shared" si="3"/>
        <v>胜</v>
      </c>
    </row>
    <row r="140" spans="4:17" x14ac:dyDescent="0.15">
      <c r="D140" s="7" t="s">
        <v>6</v>
      </c>
      <c r="E140" s="7" t="s">
        <v>291</v>
      </c>
      <c r="F140" s="7" t="s">
        <v>291</v>
      </c>
      <c r="G140" s="7" t="s">
        <v>285</v>
      </c>
      <c r="H140" s="7" t="s">
        <v>36</v>
      </c>
      <c r="I140" s="7" t="s">
        <v>10</v>
      </c>
      <c r="J140" s="7" t="s">
        <v>10</v>
      </c>
      <c r="K140" s="7" t="s">
        <v>33</v>
      </c>
      <c r="L140" s="7" t="s">
        <v>31</v>
      </c>
      <c r="M140" s="7" t="s">
        <v>9</v>
      </c>
      <c r="N140" s="7" t="s">
        <v>39</v>
      </c>
      <c r="O140" s="7" t="s">
        <v>33</v>
      </c>
      <c r="P140" s="11" t="str">
        <f t="shared" si="2"/>
        <v>负</v>
      </c>
      <c r="Q140" s="11" t="str">
        <f t="shared" si="3"/>
        <v>负</v>
      </c>
    </row>
    <row r="141" spans="4:17" x14ac:dyDescent="0.15">
      <c r="D141" s="7" t="s">
        <v>6</v>
      </c>
      <c r="E141" s="7" t="s">
        <v>292</v>
      </c>
      <c r="F141" s="7" t="s">
        <v>292</v>
      </c>
      <c r="G141" s="7" t="s">
        <v>285</v>
      </c>
      <c r="H141" s="7" t="s">
        <v>43</v>
      </c>
      <c r="I141" s="7" t="s">
        <v>9</v>
      </c>
      <c r="J141" s="7" t="s">
        <v>50</v>
      </c>
      <c r="K141" s="7" t="s">
        <v>33</v>
      </c>
      <c r="L141" s="7" t="s">
        <v>49</v>
      </c>
      <c r="M141" s="7" t="s">
        <v>10</v>
      </c>
      <c r="N141" s="7" t="s">
        <v>10</v>
      </c>
      <c r="O141" s="7" t="s">
        <v>33</v>
      </c>
      <c r="P141" s="11" t="str">
        <f t="shared" ref="P141:P204" si="4">IF(I141=M141,"平",IF(I141&gt;M141,"胜","负"))</f>
        <v>胜</v>
      </c>
      <c r="Q141" s="11" t="str">
        <f t="shared" ref="Q141:Q204" si="5">IF(J141=N141,"平",IF(J141&gt;N141,"胜","负"))</f>
        <v>胜</v>
      </c>
    </row>
    <row r="142" spans="4:17" x14ac:dyDescent="0.15">
      <c r="D142" s="7" t="s">
        <v>6</v>
      </c>
      <c r="E142" s="7" t="s">
        <v>293</v>
      </c>
      <c r="F142" s="7" t="s">
        <v>293</v>
      </c>
      <c r="G142" s="7" t="s">
        <v>294</v>
      </c>
      <c r="H142" s="7" t="s">
        <v>49</v>
      </c>
      <c r="I142" s="7" t="s">
        <v>10</v>
      </c>
      <c r="J142" s="7" t="s">
        <v>10</v>
      </c>
      <c r="K142" s="7" t="s">
        <v>33</v>
      </c>
      <c r="L142" s="7" t="s">
        <v>36</v>
      </c>
      <c r="M142" s="7" t="s">
        <v>33</v>
      </c>
      <c r="N142" s="7" t="s">
        <v>33</v>
      </c>
      <c r="O142" s="7" t="s">
        <v>33</v>
      </c>
      <c r="P142" s="11" t="str">
        <f t="shared" si="4"/>
        <v>胜</v>
      </c>
      <c r="Q142" s="11" t="str">
        <f t="shared" si="5"/>
        <v>胜</v>
      </c>
    </row>
    <row r="143" spans="4:17" x14ac:dyDescent="0.15">
      <c r="D143" s="7" t="s">
        <v>6</v>
      </c>
      <c r="E143" s="7" t="s">
        <v>295</v>
      </c>
      <c r="F143" s="7" t="s">
        <v>295</v>
      </c>
      <c r="G143" s="7" t="s">
        <v>296</v>
      </c>
      <c r="H143" s="7" t="s">
        <v>31</v>
      </c>
      <c r="I143" s="7" t="s">
        <v>10</v>
      </c>
      <c r="J143" s="7" t="s">
        <v>10</v>
      </c>
      <c r="K143" s="7" t="s">
        <v>33</v>
      </c>
      <c r="L143" s="7" t="s">
        <v>43</v>
      </c>
      <c r="M143" s="7" t="s">
        <v>33</v>
      </c>
      <c r="N143" s="7" t="s">
        <v>9</v>
      </c>
      <c r="O143" s="7" t="s">
        <v>33</v>
      </c>
      <c r="P143" s="11" t="str">
        <f t="shared" si="4"/>
        <v>胜</v>
      </c>
      <c r="Q143" s="11" t="str">
        <f t="shared" si="5"/>
        <v>负</v>
      </c>
    </row>
    <row r="144" spans="4:17" x14ac:dyDescent="0.15">
      <c r="D144" s="7" t="s">
        <v>6</v>
      </c>
      <c r="E144" s="7" t="s">
        <v>297</v>
      </c>
      <c r="F144" s="7" t="s">
        <v>297</v>
      </c>
      <c r="G144" s="7" t="s">
        <v>294</v>
      </c>
      <c r="H144" s="7" t="s">
        <v>32</v>
      </c>
      <c r="I144" s="11" t="s">
        <v>33</v>
      </c>
      <c r="J144" s="7" t="s">
        <v>39</v>
      </c>
      <c r="K144" s="7" t="s">
        <v>33</v>
      </c>
      <c r="L144" s="7" t="s">
        <v>45</v>
      </c>
      <c r="M144" s="7" t="s">
        <v>10</v>
      </c>
      <c r="N144" s="7" t="s">
        <v>9</v>
      </c>
      <c r="O144" s="7" t="s">
        <v>33</v>
      </c>
      <c r="P144" s="11" t="str">
        <f t="shared" si="4"/>
        <v>负</v>
      </c>
      <c r="Q144" s="11" t="str">
        <f t="shared" si="5"/>
        <v>胜</v>
      </c>
    </row>
    <row r="145" spans="4:17" x14ac:dyDescent="0.15">
      <c r="D145" s="7" t="s">
        <v>6</v>
      </c>
      <c r="E145" s="7" t="s">
        <v>298</v>
      </c>
      <c r="F145" s="7" t="s">
        <v>298</v>
      </c>
      <c r="G145" s="7" t="s">
        <v>296</v>
      </c>
      <c r="H145" s="7" t="s">
        <v>35</v>
      </c>
      <c r="I145" s="7" t="s">
        <v>33</v>
      </c>
      <c r="J145" s="7" t="s">
        <v>33</v>
      </c>
      <c r="K145" s="7" t="s">
        <v>33</v>
      </c>
      <c r="L145" s="7" t="s">
        <v>42</v>
      </c>
      <c r="M145" s="7" t="s">
        <v>33</v>
      </c>
      <c r="N145" s="7" t="s">
        <v>9</v>
      </c>
      <c r="O145" s="7" t="s">
        <v>33</v>
      </c>
      <c r="P145" s="11" t="str">
        <f t="shared" si="4"/>
        <v>平</v>
      </c>
      <c r="Q145" s="11" t="str">
        <f t="shared" si="5"/>
        <v>负</v>
      </c>
    </row>
    <row r="146" spans="4:17" x14ac:dyDescent="0.15">
      <c r="D146" s="7" t="s">
        <v>6</v>
      </c>
      <c r="E146" s="7" t="s">
        <v>299</v>
      </c>
      <c r="F146" s="7" t="s">
        <v>299</v>
      </c>
      <c r="G146" s="7" t="s">
        <v>296</v>
      </c>
      <c r="H146" s="7" t="s">
        <v>41</v>
      </c>
      <c r="I146" s="7" t="s">
        <v>10</v>
      </c>
      <c r="J146" s="7" t="s">
        <v>39</v>
      </c>
      <c r="K146" s="7" t="s">
        <v>33</v>
      </c>
      <c r="L146" s="7" t="s">
        <v>44</v>
      </c>
      <c r="M146" s="7" t="s">
        <v>10</v>
      </c>
      <c r="N146" s="7" t="s">
        <v>9</v>
      </c>
      <c r="O146" s="7" t="s">
        <v>33</v>
      </c>
      <c r="P146" s="11" t="str">
        <f t="shared" si="4"/>
        <v>平</v>
      </c>
      <c r="Q146" s="11" t="str">
        <f t="shared" si="5"/>
        <v>胜</v>
      </c>
    </row>
    <row r="147" spans="4:17" x14ac:dyDescent="0.15">
      <c r="D147" s="7" t="s">
        <v>6</v>
      </c>
      <c r="E147" s="7" t="s">
        <v>300</v>
      </c>
      <c r="F147" s="7" t="s">
        <v>300</v>
      </c>
      <c r="G147" s="7" t="s">
        <v>301</v>
      </c>
      <c r="H147" s="7" t="s">
        <v>48</v>
      </c>
      <c r="I147" s="7" t="s">
        <v>10</v>
      </c>
      <c r="J147" s="7" t="s">
        <v>9</v>
      </c>
      <c r="K147" s="7" t="s">
        <v>33</v>
      </c>
      <c r="L147" s="7" t="s">
        <v>46</v>
      </c>
      <c r="M147" s="7" t="s">
        <v>9</v>
      </c>
      <c r="N147" s="7" t="s">
        <v>39</v>
      </c>
      <c r="O147" s="7" t="s">
        <v>33</v>
      </c>
      <c r="P147" s="11" t="str">
        <f t="shared" si="4"/>
        <v>负</v>
      </c>
      <c r="Q147" s="11" t="str">
        <f t="shared" si="5"/>
        <v>负</v>
      </c>
    </row>
    <row r="148" spans="4:17" x14ac:dyDescent="0.15">
      <c r="D148" s="7" t="s">
        <v>6</v>
      </c>
      <c r="E148" s="7" t="s">
        <v>302</v>
      </c>
      <c r="F148" s="7" t="s">
        <v>302</v>
      </c>
      <c r="G148" s="7" t="s">
        <v>294</v>
      </c>
      <c r="H148" s="7" t="s">
        <v>37</v>
      </c>
      <c r="I148" s="7" t="s">
        <v>10</v>
      </c>
      <c r="J148" s="7" t="s">
        <v>50</v>
      </c>
      <c r="K148" s="7" t="s">
        <v>33</v>
      </c>
      <c r="L148" s="7" t="s">
        <v>40</v>
      </c>
      <c r="M148" s="7" t="s">
        <v>10</v>
      </c>
      <c r="N148" s="7" t="s">
        <v>10</v>
      </c>
      <c r="O148" s="7" t="s">
        <v>33</v>
      </c>
      <c r="P148" s="11" t="str">
        <f t="shared" si="4"/>
        <v>平</v>
      </c>
      <c r="Q148" s="11" t="str">
        <f t="shared" si="5"/>
        <v>胜</v>
      </c>
    </row>
    <row r="149" spans="4:17" x14ac:dyDescent="0.15">
      <c r="D149" s="7" t="s">
        <v>6</v>
      </c>
      <c r="E149" s="7" t="s">
        <v>303</v>
      </c>
      <c r="F149" s="7" t="s">
        <v>303</v>
      </c>
      <c r="G149" s="7" t="s">
        <v>296</v>
      </c>
      <c r="H149" s="7" t="s">
        <v>38</v>
      </c>
      <c r="I149" s="7" t="s">
        <v>33</v>
      </c>
      <c r="J149" s="7" t="s">
        <v>9</v>
      </c>
      <c r="K149" s="7" t="s">
        <v>33</v>
      </c>
      <c r="L149" s="7" t="s">
        <v>34</v>
      </c>
      <c r="M149" s="7" t="s">
        <v>33</v>
      </c>
      <c r="N149" s="7" t="s">
        <v>33</v>
      </c>
      <c r="O149" s="7" t="s">
        <v>33</v>
      </c>
      <c r="P149" s="11" t="str">
        <f t="shared" si="4"/>
        <v>平</v>
      </c>
      <c r="Q149" s="11" t="str">
        <f t="shared" si="5"/>
        <v>胜</v>
      </c>
    </row>
    <row r="150" spans="4:17" x14ac:dyDescent="0.15">
      <c r="D150" s="7" t="s">
        <v>6</v>
      </c>
      <c r="E150" s="7" t="s">
        <v>304</v>
      </c>
      <c r="F150" s="7" t="s">
        <v>304</v>
      </c>
      <c r="G150" s="7" t="s">
        <v>305</v>
      </c>
      <c r="H150" s="7" t="s">
        <v>51</v>
      </c>
      <c r="I150" s="7" t="s">
        <v>33</v>
      </c>
      <c r="J150" s="7" t="s">
        <v>10</v>
      </c>
      <c r="K150" s="7" t="s">
        <v>33</v>
      </c>
      <c r="L150" s="7" t="s">
        <v>45</v>
      </c>
      <c r="M150" s="7" t="s">
        <v>33</v>
      </c>
      <c r="N150" s="7" t="s">
        <v>33</v>
      </c>
      <c r="O150" s="7" t="s">
        <v>33</v>
      </c>
      <c r="P150" s="11" t="str">
        <f t="shared" si="4"/>
        <v>平</v>
      </c>
      <c r="Q150" s="11" t="str">
        <f t="shared" si="5"/>
        <v>胜</v>
      </c>
    </row>
    <row r="151" spans="4:17" x14ac:dyDescent="0.15">
      <c r="D151" s="7" t="s">
        <v>6</v>
      </c>
      <c r="E151" s="7" t="s">
        <v>306</v>
      </c>
      <c r="F151" s="7" t="s">
        <v>306</v>
      </c>
      <c r="G151" s="7" t="s">
        <v>307</v>
      </c>
      <c r="H151" s="7" t="s">
        <v>42</v>
      </c>
      <c r="I151" s="7" t="s">
        <v>10</v>
      </c>
      <c r="J151" s="7" t="s">
        <v>10</v>
      </c>
      <c r="K151" s="7" t="s">
        <v>33</v>
      </c>
      <c r="L151" s="7" t="s">
        <v>48</v>
      </c>
      <c r="M151" s="7" t="s">
        <v>33</v>
      </c>
      <c r="N151" s="7" t="s">
        <v>10</v>
      </c>
      <c r="O151" s="7" t="s">
        <v>33</v>
      </c>
      <c r="P151" s="11" t="str">
        <f t="shared" si="4"/>
        <v>胜</v>
      </c>
      <c r="Q151" s="11" t="str">
        <f t="shared" si="5"/>
        <v>平</v>
      </c>
    </row>
    <row r="152" spans="4:17" x14ac:dyDescent="0.15">
      <c r="D152" s="7" t="s">
        <v>6</v>
      </c>
      <c r="E152" s="7" t="s">
        <v>308</v>
      </c>
      <c r="F152" s="7" t="s">
        <v>308</v>
      </c>
      <c r="G152" s="7" t="s">
        <v>309</v>
      </c>
      <c r="H152" s="7" t="s">
        <v>52</v>
      </c>
      <c r="I152" s="7" t="s">
        <v>10</v>
      </c>
      <c r="J152" s="7" t="s">
        <v>39</v>
      </c>
      <c r="K152" s="7" t="s">
        <v>33</v>
      </c>
      <c r="L152" s="7" t="s">
        <v>32</v>
      </c>
      <c r="M152" s="7" t="s">
        <v>10</v>
      </c>
      <c r="N152" s="7" t="s">
        <v>10</v>
      </c>
      <c r="O152" s="7" t="s">
        <v>33</v>
      </c>
      <c r="P152" s="11" t="str">
        <f t="shared" si="4"/>
        <v>平</v>
      </c>
      <c r="Q152" s="11" t="str">
        <f t="shared" si="5"/>
        <v>胜</v>
      </c>
    </row>
    <row r="153" spans="4:17" x14ac:dyDescent="0.15">
      <c r="D153" s="7" t="s">
        <v>6</v>
      </c>
      <c r="E153" s="7" t="s">
        <v>310</v>
      </c>
      <c r="F153" s="7" t="s">
        <v>310</v>
      </c>
      <c r="G153" s="7" t="s">
        <v>309</v>
      </c>
      <c r="H153" s="7" t="s">
        <v>53</v>
      </c>
      <c r="I153" s="7" t="s">
        <v>33</v>
      </c>
      <c r="J153" s="7" t="s">
        <v>33</v>
      </c>
      <c r="K153" s="7" t="s">
        <v>33</v>
      </c>
      <c r="L153" s="7" t="s">
        <v>41</v>
      </c>
      <c r="M153" s="7" t="s">
        <v>33</v>
      </c>
      <c r="N153" s="7" t="s">
        <v>10</v>
      </c>
      <c r="O153" s="7" t="s">
        <v>33</v>
      </c>
      <c r="P153" s="11" t="str">
        <f t="shared" si="4"/>
        <v>平</v>
      </c>
      <c r="Q153" s="11" t="str">
        <f t="shared" si="5"/>
        <v>负</v>
      </c>
    </row>
    <row r="154" spans="4:17" x14ac:dyDescent="0.15">
      <c r="D154" s="7" t="s">
        <v>6</v>
      </c>
      <c r="E154" s="7" t="s">
        <v>311</v>
      </c>
      <c r="F154" s="7" t="s">
        <v>311</v>
      </c>
      <c r="G154" s="7" t="s">
        <v>307</v>
      </c>
      <c r="H154" s="7" t="s">
        <v>37</v>
      </c>
      <c r="I154" s="7" t="s">
        <v>39</v>
      </c>
      <c r="J154" s="7" t="s">
        <v>47</v>
      </c>
      <c r="K154" s="7" t="s">
        <v>33</v>
      </c>
      <c r="L154" s="7" t="s">
        <v>43</v>
      </c>
      <c r="M154" s="7" t="s">
        <v>33</v>
      </c>
      <c r="N154" s="7" t="s">
        <v>33</v>
      </c>
      <c r="O154" s="7" t="s">
        <v>33</v>
      </c>
      <c r="P154" s="11" t="str">
        <f t="shared" si="4"/>
        <v>胜</v>
      </c>
      <c r="Q154" s="11" t="str">
        <f t="shared" si="5"/>
        <v>胜</v>
      </c>
    </row>
    <row r="155" spans="4:17" x14ac:dyDescent="0.15">
      <c r="D155" s="7" t="s">
        <v>6</v>
      </c>
      <c r="E155" s="7" t="s">
        <v>312</v>
      </c>
      <c r="F155" s="7" t="s">
        <v>312</v>
      </c>
      <c r="G155" s="7" t="s">
        <v>313</v>
      </c>
      <c r="H155" s="7" t="s">
        <v>49</v>
      </c>
      <c r="I155" s="7" t="s">
        <v>9</v>
      </c>
      <c r="J155" s="7" t="s">
        <v>39</v>
      </c>
      <c r="K155" s="7" t="s">
        <v>33</v>
      </c>
      <c r="L155" s="7" t="s">
        <v>40</v>
      </c>
      <c r="M155" s="7" t="s">
        <v>10</v>
      </c>
      <c r="N155" s="7" t="s">
        <v>10</v>
      </c>
      <c r="O155" s="7" t="s">
        <v>33</v>
      </c>
      <c r="P155" s="11" t="str">
        <f t="shared" si="4"/>
        <v>胜</v>
      </c>
      <c r="Q155" s="11" t="str">
        <f t="shared" si="5"/>
        <v>胜</v>
      </c>
    </row>
    <row r="156" spans="4:17" x14ac:dyDescent="0.15">
      <c r="D156" s="7" t="s">
        <v>6</v>
      </c>
      <c r="E156" s="7" t="s">
        <v>314</v>
      </c>
      <c r="F156" s="7" t="s">
        <v>314</v>
      </c>
      <c r="G156" s="7" t="s">
        <v>315</v>
      </c>
      <c r="H156" s="7" t="s">
        <v>38</v>
      </c>
      <c r="I156" s="7" t="s">
        <v>33</v>
      </c>
      <c r="J156" s="7" t="s">
        <v>10</v>
      </c>
      <c r="K156" s="7" t="s">
        <v>33</v>
      </c>
      <c r="L156" s="7" t="s">
        <v>54</v>
      </c>
      <c r="M156" s="7" t="s">
        <v>33</v>
      </c>
      <c r="N156" s="7" t="s">
        <v>9</v>
      </c>
      <c r="O156" s="7" t="s">
        <v>33</v>
      </c>
      <c r="P156" s="11" t="str">
        <f t="shared" si="4"/>
        <v>平</v>
      </c>
      <c r="Q156" s="11" t="str">
        <f t="shared" si="5"/>
        <v>负</v>
      </c>
    </row>
    <row r="157" spans="4:17" x14ac:dyDescent="0.15">
      <c r="D157" s="7" t="s">
        <v>6</v>
      </c>
      <c r="E157" s="7" t="s">
        <v>316</v>
      </c>
      <c r="F157" s="7" t="s">
        <v>316</v>
      </c>
      <c r="G157" s="7" t="s">
        <v>315</v>
      </c>
      <c r="H157" s="7" t="s">
        <v>44</v>
      </c>
      <c r="I157" s="7" t="s">
        <v>33</v>
      </c>
      <c r="J157" s="7" t="s">
        <v>10</v>
      </c>
      <c r="K157" s="7" t="s">
        <v>33</v>
      </c>
      <c r="L157" s="7" t="s">
        <v>36</v>
      </c>
      <c r="M157" s="7" t="s">
        <v>10</v>
      </c>
      <c r="N157" s="7" t="s">
        <v>10</v>
      </c>
      <c r="O157" s="7" t="s">
        <v>33</v>
      </c>
      <c r="P157" s="11" t="str">
        <f t="shared" si="4"/>
        <v>负</v>
      </c>
      <c r="Q157" s="11" t="str">
        <f t="shared" si="5"/>
        <v>平</v>
      </c>
    </row>
    <row r="158" spans="4:17" x14ac:dyDescent="0.15">
      <c r="D158" s="7" t="s">
        <v>6</v>
      </c>
      <c r="E158" s="7" t="s">
        <v>317</v>
      </c>
      <c r="F158" s="7" t="s">
        <v>317</v>
      </c>
      <c r="G158" s="7" t="s">
        <v>318</v>
      </c>
      <c r="H158" s="7" t="s">
        <v>41</v>
      </c>
      <c r="I158" s="7" t="s">
        <v>33</v>
      </c>
      <c r="J158" s="7" t="s">
        <v>10</v>
      </c>
      <c r="K158" s="7" t="s">
        <v>33</v>
      </c>
      <c r="L158" s="7" t="s">
        <v>49</v>
      </c>
      <c r="M158" s="7" t="s">
        <v>33</v>
      </c>
      <c r="N158" s="7" t="s">
        <v>10</v>
      </c>
      <c r="O158" s="7" t="s">
        <v>33</v>
      </c>
      <c r="P158" s="11" t="str">
        <f t="shared" si="4"/>
        <v>平</v>
      </c>
      <c r="Q158" s="11" t="str">
        <f t="shared" si="5"/>
        <v>平</v>
      </c>
    </row>
    <row r="159" spans="4:17" x14ac:dyDescent="0.15">
      <c r="D159" s="7" t="s">
        <v>6</v>
      </c>
      <c r="E159" s="7" t="s">
        <v>319</v>
      </c>
      <c r="F159" s="7" t="s">
        <v>319</v>
      </c>
      <c r="G159" s="7" t="s">
        <v>320</v>
      </c>
      <c r="H159" s="7" t="s">
        <v>32</v>
      </c>
      <c r="I159" s="11" t="s">
        <v>33</v>
      </c>
      <c r="J159" s="7" t="s">
        <v>10</v>
      </c>
      <c r="K159" s="7" t="s">
        <v>33</v>
      </c>
      <c r="L159" s="7" t="s">
        <v>38</v>
      </c>
      <c r="M159" s="7" t="s">
        <v>10</v>
      </c>
      <c r="N159" s="7" t="s">
        <v>39</v>
      </c>
      <c r="O159" s="7" t="s">
        <v>33</v>
      </c>
      <c r="P159" s="11" t="str">
        <f t="shared" si="4"/>
        <v>负</v>
      </c>
      <c r="Q159" s="11" t="str">
        <f t="shared" si="5"/>
        <v>负</v>
      </c>
    </row>
    <row r="160" spans="4:17" x14ac:dyDescent="0.15">
      <c r="D160" s="7" t="s">
        <v>6</v>
      </c>
      <c r="E160" s="7" t="s">
        <v>321</v>
      </c>
      <c r="F160" s="7" t="s">
        <v>321</v>
      </c>
      <c r="G160" s="7" t="s">
        <v>322</v>
      </c>
      <c r="H160" s="7" t="s">
        <v>40</v>
      </c>
      <c r="I160" s="7" t="s">
        <v>10</v>
      </c>
      <c r="J160" s="7" t="s">
        <v>10</v>
      </c>
      <c r="K160" s="7" t="s">
        <v>33</v>
      </c>
      <c r="L160" s="7" t="s">
        <v>51</v>
      </c>
      <c r="M160" s="7" t="s">
        <v>10</v>
      </c>
      <c r="N160" s="7" t="s">
        <v>10</v>
      </c>
      <c r="O160" s="7" t="s">
        <v>33</v>
      </c>
      <c r="P160" s="11" t="str">
        <f t="shared" si="4"/>
        <v>平</v>
      </c>
      <c r="Q160" s="11" t="str">
        <f t="shared" si="5"/>
        <v>平</v>
      </c>
    </row>
    <row r="161" spans="4:17" x14ac:dyDescent="0.15">
      <c r="D161" s="7" t="s">
        <v>6</v>
      </c>
      <c r="E161" s="7" t="s">
        <v>323</v>
      </c>
      <c r="F161" s="7" t="s">
        <v>323</v>
      </c>
      <c r="G161" s="7" t="s">
        <v>324</v>
      </c>
      <c r="H161" s="7" t="s">
        <v>43</v>
      </c>
      <c r="I161" s="7" t="s">
        <v>33</v>
      </c>
      <c r="J161" s="7" t="s">
        <v>10</v>
      </c>
      <c r="K161" s="7" t="s">
        <v>33</v>
      </c>
      <c r="L161" s="7" t="s">
        <v>44</v>
      </c>
      <c r="M161" s="7" t="s">
        <v>33</v>
      </c>
      <c r="N161" s="7" t="s">
        <v>10</v>
      </c>
      <c r="O161" s="7" t="s">
        <v>33</v>
      </c>
      <c r="P161" s="11" t="str">
        <f t="shared" si="4"/>
        <v>平</v>
      </c>
      <c r="Q161" s="11" t="str">
        <f t="shared" si="5"/>
        <v>平</v>
      </c>
    </row>
    <row r="162" spans="4:17" x14ac:dyDescent="0.15">
      <c r="D162" s="7" t="s">
        <v>6</v>
      </c>
      <c r="E162" s="7" t="s">
        <v>325</v>
      </c>
      <c r="F162" s="7" t="s">
        <v>325</v>
      </c>
      <c r="G162" s="7" t="s">
        <v>326</v>
      </c>
      <c r="H162" s="7" t="s">
        <v>48</v>
      </c>
      <c r="I162" s="7" t="s">
        <v>33</v>
      </c>
      <c r="J162" s="7" t="s">
        <v>33</v>
      </c>
      <c r="K162" s="7" t="s">
        <v>33</v>
      </c>
      <c r="L162" s="7" t="s">
        <v>37</v>
      </c>
      <c r="M162" s="7" t="s">
        <v>39</v>
      </c>
      <c r="N162" s="7" t="s">
        <v>55</v>
      </c>
      <c r="O162" s="7" t="s">
        <v>33</v>
      </c>
      <c r="P162" s="11" t="str">
        <f t="shared" si="4"/>
        <v>负</v>
      </c>
      <c r="Q162" s="11" t="str">
        <f t="shared" si="5"/>
        <v>负</v>
      </c>
    </row>
    <row r="163" spans="4:17" x14ac:dyDescent="0.15">
      <c r="D163" s="7" t="s">
        <v>6</v>
      </c>
      <c r="E163" s="7" t="s">
        <v>327</v>
      </c>
      <c r="F163" s="7" t="s">
        <v>327</v>
      </c>
      <c r="G163" s="7" t="s">
        <v>326</v>
      </c>
      <c r="H163" s="7" t="s">
        <v>36</v>
      </c>
      <c r="I163" s="7" t="s">
        <v>33</v>
      </c>
      <c r="J163" s="7" t="s">
        <v>9</v>
      </c>
      <c r="K163" s="7" t="s">
        <v>33</v>
      </c>
      <c r="L163" s="7" t="s">
        <v>52</v>
      </c>
      <c r="M163" s="7" t="s">
        <v>33</v>
      </c>
      <c r="N163" s="7" t="s">
        <v>10</v>
      </c>
      <c r="O163" s="7" t="s">
        <v>33</v>
      </c>
      <c r="P163" s="11" t="str">
        <f t="shared" si="4"/>
        <v>平</v>
      </c>
      <c r="Q163" s="11" t="str">
        <f t="shared" si="5"/>
        <v>胜</v>
      </c>
    </row>
    <row r="164" spans="4:17" x14ac:dyDescent="0.15">
      <c r="D164" s="7" t="s">
        <v>6</v>
      </c>
      <c r="E164" s="7" t="s">
        <v>328</v>
      </c>
      <c r="F164" s="7" t="s">
        <v>328</v>
      </c>
      <c r="G164" s="7" t="s">
        <v>329</v>
      </c>
      <c r="H164" s="7" t="s">
        <v>54</v>
      </c>
      <c r="I164" s="7" t="s">
        <v>33</v>
      </c>
      <c r="J164" s="7" t="s">
        <v>9</v>
      </c>
      <c r="K164" s="7" t="s">
        <v>33</v>
      </c>
      <c r="L164" s="7" t="s">
        <v>42</v>
      </c>
      <c r="M164" s="7" t="s">
        <v>33</v>
      </c>
      <c r="N164" s="7" t="s">
        <v>33</v>
      </c>
      <c r="O164" s="7" t="s">
        <v>33</v>
      </c>
      <c r="P164" s="11" t="str">
        <f t="shared" si="4"/>
        <v>平</v>
      </c>
      <c r="Q164" s="11" t="str">
        <f t="shared" si="5"/>
        <v>胜</v>
      </c>
    </row>
    <row r="165" spans="4:17" x14ac:dyDescent="0.15">
      <c r="D165" s="7" t="s">
        <v>6</v>
      </c>
      <c r="E165" s="7" t="s">
        <v>330</v>
      </c>
      <c r="F165" s="7" t="s">
        <v>330</v>
      </c>
      <c r="G165" s="7" t="s">
        <v>331</v>
      </c>
      <c r="H165" s="7" t="s">
        <v>45</v>
      </c>
      <c r="I165" s="7" t="s">
        <v>10</v>
      </c>
      <c r="J165" s="7" t="s">
        <v>39</v>
      </c>
      <c r="K165" s="7" t="s">
        <v>33</v>
      </c>
      <c r="L165" s="7" t="s">
        <v>53</v>
      </c>
      <c r="M165" s="7" t="s">
        <v>33</v>
      </c>
      <c r="N165" s="7" t="s">
        <v>10</v>
      </c>
      <c r="O165" s="7" t="s">
        <v>33</v>
      </c>
      <c r="P165" s="11" t="str">
        <f t="shared" si="4"/>
        <v>胜</v>
      </c>
      <c r="Q165" s="11" t="str">
        <f t="shared" si="5"/>
        <v>胜</v>
      </c>
    </row>
    <row r="166" spans="4:17" x14ac:dyDescent="0.15">
      <c r="D166" s="7" t="s">
        <v>6</v>
      </c>
      <c r="E166" s="7" t="s">
        <v>332</v>
      </c>
      <c r="F166" s="7" t="s">
        <v>332</v>
      </c>
      <c r="G166" s="7" t="s">
        <v>333</v>
      </c>
      <c r="H166" s="7" t="s">
        <v>49</v>
      </c>
      <c r="I166" s="7" t="s">
        <v>9</v>
      </c>
      <c r="J166" s="7" t="s">
        <v>9</v>
      </c>
      <c r="K166" s="7" t="s">
        <v>33</v>
      </c>
      <c r="L166" s="7" t="s">
        <v>48</v>
      </c>
      <c r="M166" s="7" t="s">
        <v>33</v>
      </c>
      <c r="N166" s="7" t="s">
        <v>33</v>
      </c>
      <c r="O166" s="7" t="s">
        <v>33</v>
      </c>
      <c r="P166" s="11" t="str">
        <f t="shared" si="4"/>
        <v>胜</v>
      </c>
      <c r="Q166" s="11" t="str">
        <f t="shared" si="5"/>
        <v>胜</v>
      </c>
    </row>
    <row r="167" spans="4:17" x14ac:dyDescent="0.15">
      <c r="D167" s="7" t="s">
        <v>6</v>
      </c>
      <c r="E167" s="7" t="s">
        <v>334</v>
      </c>
      <c r="F167" s="7" t="s">
        <v>334</v>
      </c>
      <c r="G167" s="7" t="s">
        <v>335</v>
      </c>
      <c r="H167" s="7" t="s">
        <v>51</v>
      </c>
      <c r="I167" s="7" t="s">
        <v>33</v>
      </c>
      <c r="J167" s="7" t="s">
        <v>10</v>
      </c>
      <c r="K167" s="7" t="s">
        <v>33</v>
      </c>
      <c r="L167" s="7" t="s">
        <v>36</v>
      </c>
      <c r="M167" s="7" t="s">
        <v>33</v>
      </c>
      <c r="N167" s="7" t="s">
        <v>10</v>
      </c>
      <c r="O167" s="7" t="s">
        <v>33</v>
      </c>
      <c r="P167" s="11" t="str">
        <f t="shared" si="4"/>
        <v>平</v>
      </c>
      <c r="Q167" s="11" t="str">
        <f t="shared" si="5"/>
        <v>平</v>
      </c>
    </row>
    <row r="168" spans="4:17" x14ac:dyDescent="0.15">
      <c r="D168" s="7" t="s">
        <v>6</v>
      </c>
      <c r="E168" s="7" t="s">
        <v>336</v>
      </c>
      <c r="F168" s="7" t="s">
        <v>336</v>
      </c>
      <c r="G168" s="7" t="s">
        <v>337</v>
      </c>
      <c r="H168" s="7" t="s">
        <v>37</v>
      </c>
      <c r="I168" s="7" t="s">
        <v>10</v>
      </c>
      <c r="J168" s="7" t="s">
        <v>10</v>
      </c>
      <c r="K168" s="7" t="s">
        <v>33</v>
      </c>
      <c r="L168" s="7" t="s">
        <v>40</v>
      </c>
      <c r="M168" s="7" t="s">
        <v>33</v>
      </c>
      <c r="N168" s="7" t="s">
        <v>10</v>
      </c>
      <c r="O168" s="7" t="s">
        <v>33</v>
      </c>
      <c r="P168" s="11" t="str">
        <f t="shared" si="4"/>
        <v>胜</v>
      </c>
      <c r="Q168" s="11" t="str">
        <f t="shared" si="5"/>
        <v>平</v>
      </c>
    </row>
    <row r="169" spans="4:17" x14ac:dyDescent="0.15">
      <c r="D169" s="7" t="s">
        <v>6</v>
      </c>
      <c r="E169" s="7" t="s">
        <v>338</v>
      </c>
      <c r="F169" s="7" t="s">
        <v>338</v>
      </c>
      <c r="G169" s="7" t="s">
        <v>339</v>
      </c>
      <c r="H169" s="7" t="s">
        <v>32</v>
      </c>
      <c r="I169" s="11" t="s">
        <v>9</v>
      </c>
      <c r="J169" s="7" t="s">
        <v>9</v>
      </c>
      <c r="K169" s="7" t="s">
        <v>33</v>
      </c>
      <c r="L169" s="7" t="s">
        <v>54</v>
      </c>
      <c r="M169" s="7" t="s">
        <v>9</v>
      </c>
      <c r="N169" s="7" t="s">
        <v>50</v>
      </c>
      <c r="O169" s="7" t="s">
        <v>33</v>
      </c>
      <c r="P169" s="11" t="str">
        <f t="shared" si="4"/>
        <v>平</v>
      </c>
      <c r="Q169" s="11" t="str">
        <f t="shared" si="5"/>
        <v>负</v>
      </c>
    </row>
    <row r="170" spans="4:17" x14ac:dyDescent="0.15">
      <c r="D170" s="7" t="s">
        <v>6</v>
      </c>
      <c r="E170" s="7" t="s">
        <v>340</v>
      </c>
      <c r="F170" s="7" t="s">
        <v>340</v>
      </c>
      <c r="G170" s="7" t="s">
        <v>341</v>
      </c>
      <c r="H170" s="7" t="s">
        <v>52</v>
      </c>
      <c r="I170" s="7" t="s">
        <v>33</v>
      </c>
      <c r="J170" s="7" t="s">
        <v>10</v>
      </c>
      <c r="K170" s="7" t="s">
        <v>33</v>
      </c>
      <c r="L170" s="7" t="s">
        <v>41</v>
      </c>
      <c r="M170" s="7" t="s">
        <v>33</v>
      </c>
      <c r="N170" s="7" t="s">
        <v>33</v>
      </c>
      <c r="O170" s="7" t="s">
        <v>33</v>
      </c>
      <c r="P170" s="11" t="str">
        <f t="shared" si="4"/>
        <v>平</v>
      </c>
      <c r="Q170" s="11" t="str">
        <f t="shared" si="5"/>
        <v>胜</v>
      </c>
    </row>
    <row r="171" spans="4:17" x14ac:dyDescent="0.15">
      <c r="D171" s="7" t="s">
        <v>6</v>
      </c>
      <c r="E171" s="7" t="s">
        <v>342</v>
      </c>
      <c r="F171" s="7" t="s">
        <v>342</v>
      </c>
      <c r="G171" s="7" t="s">
        <v>343</v>
      </c>
      <c r="H171" s="7" t="s">
        <v>42</v>
      </c>
      <c r="I171" s="7" t="s">
        <v>33</v>
      </c>
      <c r="J171" s="7" t="s">
        <v>10</v>
      </c>
      <c r="K171" s="7" t="s">
        <v>33</v>
      </c>
      <c r="L171" s="7" t="s">
        <v>45</v>
      </c>
      <c r="M171" s="7" t="s">
        <v>33</v>
      </c>
      <c r="N171" s="7" t="s">
        <v>33</v>
      </c>
      <c r="O171" s="7" t="s">
        <v>33</v>
      </c>
      <c r="P171" s="11" t="str">
        <f t="shared" si="4"/>
        <v>平</v>
      </c>
      <c r="Q171" s="11" t="str">
        <f t="shared" si="5"/>
        <v>胜</v>
      </c>
    </row>
    <row r="172" spans="4:17" x14ac:dyDescent="0.15">
      <c r="D172" s="7" t="s">
        <v>6</v>
      </c>
      <c r="E172" s="7" t="s">
        <v>344</v>
      </c>
      <c r="F172" s="7" t="s">
        <v>344</v>
      </c>
      <c r="G172" s="7" t="s">
        <v>343</v>
      </c>
      <c r="H172" s="7" t="s">
        <v>53</v>
      </c>
      <c r="I172" s="7" t="s">
        <v>10</v>
      </c>
      <c r="J172" s="7" t="s">
        <v>10</v>
      </c>
      <c r="K172" s="7" t="s">
        <v>33</v>
      </c>
      <c r="L172" s="7" t="s">
        <v>44</v>
      </c>
      <c r="M172" s="7" t="s">
        <v>10</v>
      </c>
      <c r="N172" s="7" t="s">
        <v>10</v>
      </c>
      <c r="O172" s="7" t="s">
        <v>33</v>
      </c>
      <c r="P172" s="11" t="str">
        <f t="shared" si="4"/>
        <v>平</v>
      </c>
      <c r="Q172" s="11" t="str">
        <f t="shared" si="5"/>
        <v>平</v>
      </c>
    </row>
    <row r="173" spans="4:17" x14ac:dyDescent="0.15">
      <c r="D173" s="7" t="s">
        <v>6</v>
      </c>
      <c r="E173" s="7" t="s">
        <v>345</v>
      </c>
      <c r="F173" s="7" t="s">
        <v>345</v>
      </c>
      <c r="G173" s="7" t="s">
        <v>343</v>
      </c>
      <c r="H173" s="7" t="s">
        <v>38</v>
      </c>
      <c r="I173" s="7" t="s">
        <v>9</v>
      </c>
      <c r="J173" s="7" t="s">
        <v>47</v>
      </c>
      <c r="K173" s="7" t="s">
        <v>33</v>
      </c>
      <c r="L173" s="7" t="s">
        <v>43</v>
      </c>
      <c r="M173" s="7" t="s">
        <v>10</v>
      </c>
      <c r="N173" s="7" t="s">
        <v>10</v>
      </c>
      <c r="O173" s="7" t="s">
        <v>33</v>
      </c>
      <c r="P173" s="11" t="str">
        <f t="shared" si="4"/>
        <v>胜</v>
      </c>
      <c r="Q173" s="11" t="str">
        <f t="shared" si="5"/>
        <v>胜</v>
      </c>
    </row>
    <row r="174" spans="4:17" x14ac:dyDescent="0.15">
      <c r="D174" s="7" t="s">
        <v>6</v>
      </c>
      <c r="E174" s="7" t="s">
        <v>346</v>
      </c>
      <c r="F174" s="7" t="s">
        <v>346</v>
      </c>
      <c r="G174" s="7" t="s">
        <v>347</v>
      </c>
      <c r="H174" s="7" t="s">
        <v>36</v>
      </c>
      <c r="I174" s="7" t="s">
        <v>10</v>
      </c>
      <c r="J174" s="7" t="s">
        <v>9</v>
      </c>
      <c r="K174" s="7" t="s">
        <v>33</v>
      </c>
      <c r="L174" s="7" t="s">
        <v>49</v>
      </c>
      <c r="M174" s="7" t="s">
        <v>10</v>
      </c>
      <c r="N174" s="7" t="s">
        <v>39</v>
      </c>
      <c r="O174" s="7" t="s">
        <v>33</v>
      </c>
      <c r="P174" s="11" t="str">
        <f t="shared" si="4"/>
        <v>平</v>
      </c>
      <c r="Q174" s="11" t="str">
        <f t="shared" si="5"/>
        <v>负</v>
      </c>
    </row>
    <row r="175" spans="4:17" x14ac:dyDescent="0.15">
      <c r="D175" s="7" t="s">
        <v>6</v>
      </c>
      <c r="E175" s="7" t="s">
        <v>348</v>
      </c>
      <c r="F175" s="7" t="s">
        <v>348</v>
      </c>
      <c r="G175" s="7" t="s">
        <v>349</v>
      </c>
      <c r="H175" s="7" t="s">
        <v>54</v>
      </c>
      <c r="I175" s="7" t="s">
        <v>9</v>
      </c>
      <c r="J175" s="7" t="s">
        <v>9</v>
      </c>
      <c r="K175" s="7" t="s">
        <v>33</v>
      </c>
      <c r="L175" s="7" t="s">
        <v>51</v>
      </c>
      <c r="M175" s="7" t="s">
        <v>33</v>
      </c>
      <c r="N175" s="7" t="s">
        <v>9</v>
      </c>
      <c r="O175" s="7" t="s">
        <v>33</v>
      </c>
      <c r="P175" s="11" t="str">
        <f t="shared" si="4"/>
        <v>胜</v>
      </c>
      <c r="Q175" s="11" t="str">
        <f t="shared" si="5"/>
        <v>平</v>
      </c>
    </row>
    <row r="176" spans="4:17" x14ac:dyDescent="0.15">
      <c r="D176" s="7" t="s">
        <v>6</v>
      </c>
      <c r="E176" s="7" t="s">
        <v>350</v>
      </c>
      <c r="F176" s="7" t="s">
        <v>350</v>
      </c>
      <c r="G176" s="7" t="s">
        <v>351</v>
      </c>
      <c r="H176" s="7" t="s">
        <v>45</v>
      </c>
      <c r="I176" s="7" t="s">
        <v>33</v>
      </c>
      <c r="J176" s="7" t="s">
        <v>10</v>
      </c>
      <c r="K176" s="7" t="s">
        <v>33</v>
      </c>
      <c r="L176" s="7" t="s">
        <v>37</v>
      </c>
      <c r="M176" s="7" t="s">
        <v>10</v>
      </c>
      <c r="N176" s="7" t="s">
        <v>50</v>
      </c>
      <c r="O176" s="7" t="s">
        <v>33</v>
      </c>
      <c r="P176" s="11" t="str">
        <f t="shared" si="4"/>
        <v>负</v>
      </c>
      <c r="Q176" s="11" t="str">
        <f t="shared" si="5"/>
        <v>负</v>
      </c>
    </row>
    <row r="177" spans="4:17" x14ac:dyDescent="0.15">
      <c r="D177" s="7" t="s">
        <v>6</v>
      </c>
      <c r="E177" s="7" t="s">
        <v>352</v>
      </c>
      <c r="F177" s="7" t="s">
        <v>352</v>
      </c>
      <c r="G177" s="7" t="s">
        <v>353</v>
      </c>
      <c r="H177" s="7" t="s">
        <v>43</v>
      </c>
      <c r="I177" s="7" t="s">
        <v>33</v>
      </c>
      <c r="J177" s="7" t="s">
        <v>33</v>
      </c>
      <c r="K177" s="7" t="s">
        <v>33</v>
      </c>
      <c r="L177" s="7" t="s">
        <v>53</v>
      </c>
      <c r="M177" s="7" t="s">
        <v>10</v>
      </c>
      <c r="N177" s="7" t="s">
        <v>9</v>
      </c>
      <c r="O177" s="7" t="s">
        <v>33</v>
      </c>
      <c r="P177" s="11" t="str">
        <f t="shared" si="4"/>
        <v>负</v>
      </c>
      <c r="Q177" s="11" t="str">
        <f t="shared" si="5"/>
        <v>负</v>
      </c>
    </row>
    <row r="178" spans="4:17" x14ac:dyDescent="0.15">
      <c r="D178" s="7" t="s">
        <v>6</v>
      </c>
      <c r="E178" s="7" t="s">
        <v>354</v>
      </c>
      <c r="F178" s="7" t="s">
        <v>354</v>
      </c>
      <c r="G178" s="7" t="s">
        <v>355</v>
      </c>
      <c r="H178" s="7" t="s">
        <v>41</v>
      </c>
      <c r="I178" s="7" t="s">
        <v>10</v>
      </c>
      <c r="J178" s="7" t="s">
        <v>9</v>
      </c>
      <c r="K178" s="7" t="s">
        <v>33</v>
      </c>
      <c r="L178" s="7" t="s">
        <v>32</v>
      </c>
      <c r="M178" s="7" t="s">
        <v>10</v>
      </c>
      <c r="N178" s="7" t="s">
        <v>9</v>
      </c>
      <c r="O178" s="7" t="s">
        <v>33</v>
      </c>
      <c r="P178" s="11" t="str">
        <f t="shared" si="4"/>
        <v>平</v>
      </c>
      <c r="Q178" s="11" t="str">
        <f t="shared" si="5"/>
        <v>平</v>
      </c>
    </row>
    <row r="179" spans="4:17" x14ac:dyDescent="0.15">
      <c r="D179" s="7" t="s">
        <v>6</v>
      </c>
      <c r="E179" s="7" t="s">
        <v>356</v>
      </c>
      <c r="F179" s="7" t="s">
        <v>356</v>
      </c>
      <c r="G179" s="7" t="s">
        <v>355</v>
      </c>
      <c r="H179" s="7" t="s">
        <v>48</v>
      </c>
      <c r="I179" s="7" t="s">
        <v>33</v>
      </c>
      <c r="J179" s="7" t="s">
        <v>33</v>
      </c>
      <c r="K179" s="7" t="s">
        <v>33</v>
      </c>
      <c r="L179" s="7" t="s">
        <v>38</v>
      </c>
      <c r="M179" s="7" t="s">
        <v>33</v>
      </c>
      <c r="N179" s="7" t="s">
        <v>33</v>
      </c>
      <c r="O179" s="7" t="s">
        <v>33</v>
      </c>
      <c r="P179" s="11" t="str">
        <f t="shared" si="4"/>
        <v>平</v>
      </c>
      <c r="Q179" s="11" t="str">
        <f t="shared" si="5"/>
        <v>平</v>
      </c>
    </row>
    <row r="180" spans="4:17" x14ac:dyDescent="0.15">
      <c r="D180" s="7" t="s">
        <v>6</v>
      </c>
      <c r="E180" s="7" t="s">
        <v>357</v>
      </c>
      <c r="F180" s="7" t="s">
        <v>357</v>
      </c>
      <c r="G180" s="7" t="s">
        <v>355</v>
      </c>
      <c r="H180" s="7" t="s">
        <v>44</v>
      </c>
      <c r="I180" s="7" t="s">
        <v>33</v>
      </c>
      <c r="J180" s="7" t="s">
        <v>33</v>
      </c>
      <c r="K180" s="7" t="s">
        <v>33</v>
      </c>
      <c r="L180" s="7" t="s">
        <v>42</v>
      </c>
      <c r="M180" s="7" t="s">
        <v>9</v>
      </c>
      <c r="N180" s="7" t="s">
        <v>9</v>
      </c>
      <c r="O180" s="7" t="s">
        <v>33</v>
      </c>
      <c r="P180" s="11" t="str">
        <f t="shared" si="4"/>
        <v>负</v>
      </c>
      <c r="Q180" s="11" t="str">
        <f t="shared" si="5"/>
        <v>负</v>
      </c>
    </row>
    <row r="181" spans="4:17" x14ac:dyDescent="0.15">
      <c r="D181" s="7" t="s">
        <v>6</v>
      </c>
      <c r="E181" s="7" t="s">
        <v>358</v>
      </c>
      <c r="F181" s="7" t="s">
        <v>358</v>
      </c>
      <c r="G181" s="7" t="s">
        <v>359</v>
      </c>
      <c r="H181" s="7" t="s">
        <v>40</v>
      </c>
      <c r="I181" s="7" t="s">
        <v>39</v>
      </c>
      <c r="J181" s="7" t="s">
        <v>39</v>
      </c>
      <c r="K181" s="7" t="s">
        <v>33</v>
      </c>
      <c r="L181" s="7" t="s">
        <v>52</v>
      </c>
      <c r="M181" s="7" t="s">
        <v>10</v>
      </c>
      <c r="N181" s="7" t="s">
        <v>9</v>
      </c>
      <c r="O181" s="7" t="s">
        <v>33</v>
      </c>
      <c r="P181" s="11" t="str">
        <f t="shared" si="4"/>
        <v>胜</v>
      </c>
      <c r="Q181" s="11" t="str">
        <f t="shared" si="5"/>
        <v>胜</v>
      </c>
    </row>
    <row r="182" spans="4:17" x14ac:dyDescent="0.15">
      <c r="D182" s="7" t="s">
        <v>6</v>
      </c>
      <c r="E182" s="7" t="s">
        <v>360</v>
      </c>
      <c r="F182" s="7" t="s">
        <v>360</v>
      </c>
      <c r="G182" s="7" t="s">
        <v>361</v>
      </c>
      <c r="H182" s="7" t="s">
        <v>41</v>
      </c>
      <c r="I182" s="7" t="s">
        <v>9</v>
      </c>
      <c r="J182" s="7" t="s">
        <v>9</v>
      </c>
      <c r="K182" s="7" t="s">
        <v>33</v>
      </c>
      <c r="L182" s="7" t="s">
        <v>54</v>
      </c>
      <c r="M182" s="7" t="s">
        <v>33</v>
      </c>
      <c r="N182" s="7" t="s">
        <v>33</v>
      </c>
      <c r="O182" s="7" t="s">
        <v>33</v>
      </c>
      <c r="P182" s="11" t="str">
        <f t="shared" si="4"/>
        <v>胜</v>
      </c>
      <c r="Q182" s="11" t="str">
        <f t="shared" si="5"/>
        <v>胜</v>
      </c>
    </row>
    <row r="183" spans="4:17" x14ac:dyDescent="0.15">
      <c r="D183" s="7" t="s">
        <v>6</v>
      </c>
      <c r="E183" s="7" t="s">
        <v>362</v>
      </c>
      <c r="F183" s="7" t="s">
        <v>362</v>
      </c>
      <c r="G183" s="7" t="s">
        <v>363</v>
      </c>
      <c r="H183" s="7" t="s">
        <v>38</v>
      </c>
      <c r="I183" s="7" t="s">
        <v>9</v>
      </c>
      <c r="J183" s="7" t="s">
        <v>39</v>
      </c>
      <c r="K183" s="7" t="s">
        <v>33</v>
      </c>
      <c r="L183" s="7" t="s">
        <v>40</v>
      </c>
      <c r="M183" s="7" t="s">
        <v>10</v>
      </c>
      <c r="N183" s="7" t="s">
        <v>10</v>
      </c>
      <c r="O183" s="7" t="s">
        <v>33</v>
      </c>
      <c r="P183" s="11" t="str">
        <f t="shared" si="4"/>
        <v>胜</v>
      </c>
      <c r="Q183" s="11" t="str">
        <f t="shared" si="5"/>
        <v>胜</v>
      </c>
    </row>
    <row r="184" spans="4:17" x14ac:dyDescent="0.15">
      <c r="D184" s="7" t="s">
        <v>6</v>
      </c>
      <c r="E184" s="7" t="s">
        <v>364</v>
      </c>
      <c r="F184" s="7" t="s">
        <v>364</v>
      </c>
      <c r="G184" s="7" t="s">
        <v>365</v>
      </c>
      <c r="H184" s="7" t="s">
        <v>32</v>
      </c>
      <c r="I184" s="11" t="s">
        <v>33</v>
      </c>
      <c r="J184" s="7" t="s">
        <v>10</v>
      </c>
      <c r="K184" s="7" t="s">
        <v>33</v>
      </c>
      <c r="L184" s="7" t="s">
        <v>48</v>
      </c>
      <c r="M184" s="7" t="s">
        <v>10</v>
      </c>
      <c r="N184" s="7" t="s">
        <v>9</v>
      </c>
      <c r="O184" s="7" t="s">
        <v>33</v>
      </c>
      <c r="P184" s="11" t="str">
        <f t="shared" si="4"/>
        <v>负</v>
      </c>
      <c r="Q184" s="11" t="str">
        <f t="shared" si="5"/>
        <v>负</v>
      </c>
    </row>
    <row r="185" spans="4:17" x14ac:dyDescent="0.15">
      <c r="D185" s="7" t="s">
        <v>6</v>
      </c>
      <c r="E185" s="7" t="s">
        <v>366</v>
      </c>
      <c r="F185" s="7" t="s">
        <v>366</v>
      </c>
      <c r="G185" s="7" t="s">
        <v>365</v>
      </c>
      <c r="H185" s="7" t="s">
        <v>53</v>
      </c>
      <c r="I185" s="7" t="s">
        <v>33</v>
      </c>
      <c r="J185" s="7" t="s">
        <v>33</v>
      </c>
      <c r="K185" s="7" t="s">
        <v>33</v>
      </c>
      <c r="L185" s="7" t="s">
        <v>42</v>
      </c>
      <c r="M185" s="7" t="s">
        <v>9</v>
      </c>
      <c r="N185" s="7" t="s">
        <v>9</v>
      </c>
      <c r="O185" s="7" t="s">
        <v>33</v>
      </c>
      <c r="P185" s="11" t="str">
        <f t="shared" si="4"/>
        <v>负</v>
      </c>
      <c r="Q185" s="11" t="str">
        <f t="shared" si="5"/>
        <v>负</v>
      </c>
    </row>
    <row r="186" spans="4:17" x14ac:dyDescent="0.15">
      <c r="D186" s="7" t="s">
        <v>6</v>
      </c>
      <c r="E186" s="7" t="s">
        <v>367</v>
      </c>
      <c r="F186" s="7" t="s">
        <v>367</v>
      </c>
      <c r="G186" s="7" t="s">
        <v>368</v>
      </c>
      <c r="H186" s="7" t="s">
        <v>52</v>
      </c>
      <c r="I186" s="7" t="s">
        <v>33</v>
      </c>
      <c r="J186" s="7" t="s">
        <v>10</v>
      </c>
      <c r="K186" s="7" t="s">
        <v>33</v>
      </c>
      <c r="L186" s="7" t="s">
        <v>45</v>
      </c>
      <c r="M186" s="7" t="s">
        <v>33</v>
      </c>
      <c r="N186" s="7" t="s">
        <v>9</v>
      </c>
      <c r="O186" s="7" t="s">
        <v>33</v>
      </c>
      <c r="P186" s="11" t="str">
        <f t="shared" si="4"/>
        <v>平</v>
      </c>
      <c r="Q186" s="11" t="str">
        <f t="shared" si="5"/>
        <v>负</v>
      </c>
    </row>
    <row r="187" spans="4:17" x14ac:dyDescent="0.15">
      <c r="D187" s="7" t="s">
        <v>6</v>
      </c>
      <c r="E187" s="7" t="s">
        <v>369</v>
      </c>
      <c r="F187" s="7" t="s">
        <v>369</v>
      </c>
      <c r="G187" s="7" t="s">
        <v>368</v>
      </c>
      <c r="H187" s="7" t="s">
        <v>49</v>
      </c>
      <c r="I187" s="7" t="s">
        <v>10</v>
      </c>
      <c r="J187" s="7" t="s">
        <v>10</v>
      </c>
      <c r="K187" s="7" t="s">
        <v>33</v>
      </c>
      <c r="L187" s="7" t="s">
        <v>43</v>
      </c>
      <c r="M187" s="7" t="s">
        <v>33</v>
      </c>
      <c r="N187" s="7" t="s">
        <v>9</v>
      </c>
      <c r="O187" s="7" t="s">
        <v>33</v>
      </c>
      <c r="P187" s="11" t="str">
        <f t="shared" si="4"/>
        <v>胜</v>
      </c>
      <c r="Q187" s="11" t="str">
        <f t="shared" si="5"/>
        <v>负</v>
      </c>
    </row>
    <row r="188" spans="4:17" x14ac:dyDescent="0.15">
      <c r="D188" s="7" t="s">
        <v>6</v>
      </c>
      <c r="E188" s="7" t="s">
        <v>370</v>
      </c>
      <c r="F188" s="7" t="s">
        <v>370</v>
      </c>
      <c r="G188" s="7" t="s">
        <v>371</v>
      </c>
      <c r="H188" s="7" t="s">
        <v>51</v>
      </c>
      <c r="I188" s="7" t="s">
        <v>10</v>
      </c>
      <c r="J188" s="7" t="s">
        <v>10</v>
      </c>
      <c r="K188" s="7" t="s">
        <v>33</v>
      </c>
      <c r="L188" s="7" t="s">
        <v>44</v>
      </c>
      <c r="M188" s="7" t="s">
        <v>10</v>
      </c>
      <c r="N188" s="7" t="s">
        <v>50</v>
      </c>
      <c r="O188" s="7" t="s">
        <v>33</v>
      </c>
      <c r="P188" s="11" t="str">
        <f t="shared" si="4"/>
        <v>平</v>
      </c>
      <c r="Q188" s="11" t="str">
        <f t="shared" si="5"/>
        <v>负</v>
      </c>
    </row>
    <row r="189" spans="4:17" x14ac:dyDescent="0.15">
      <c r="D189" s="7" t="s">
        <v>6</v>
      </c>
      <c r="E189" s="7" t="s">
        <v>372</v>
      </c>
      <c r="F189" s="7" t="s">
        <v>372</v>
      </c>
      <c r="G189" s="7" t="s">
        <v>373</v>
      </c>
      <c r="H189" s="7" t="s">
        <v>37</v>
      </c>
      <c r="I189" s="7" t="s">
        <v>33</v>
      </c>
      <c r="J189" s="7" t="s">
        <v>39</v>
      </c>
      <c r="K189" s="7" t="s">
        <v>33</v>
      </c>
      <c r="L189" s="7" t="s">
        <v>36</v>
      </c>
      <c r="M189" s="7" t="s">
        <v>10</v>
      </c>
      <c r="N189" s="7" t="s">
        <v>9</v>
      </c>
      <c r="O189" s="7" t="s">
        <v>33</v>
      </c>
      <c r="P189" s="11" t="str">
        <f t="shared" si="4"/>
        <v>负</v>
      </c>
      <c r="Q189" s="11" t="str">
        <f t="shared" si="5"/>
        <v>胜</v>
      </c>
    </row>
    <row r="190" spans="4:17" x14ac:dyDescent="0.15">
      <c r="D190" s="7" t="s">
        <v>6</v>
      </c>
      <c r="E190" s="7" t="s">
        <v>374</v>
      </c>
      <c r="F190" s="7" t="s">
        <v>374</v>
      </c>
      <c r="G190" s="7" t="s">
        <v>375</v>
      </c>
      <c r="H190" s="7" t="s">
        <v>40</v>
      </c>
      <c r="I190" s="7" t="s">
        <v>10</v>
      </c>
      <c r="J190" s="7" t="s">
        <v>10</v>
      </c>
      <c r="K190" s="7" t="s">
        <v>33</v>
      </c>
      <c r="L190" s="7" t="s">
        <v>41</v>
      </c>
      <c r="M190" s="7" t="s">
        <v>10</v>
      </c>
      <c r="N190" s="7" t="s">
        <v>10</v>
      </c>
      <c r="O190" s="7" t="s">
        <v>33</v>
      </c>
      <c r="P190" s="11" t="str">
        <f t="shared" si="4"/>
        <v>平</v>
      </c>
      <c r="Q190" s="11" t="str">
        <f t="shared" si="5"/>
        <v>平</v>
      </c>
    </row>
    <row r="191" spans="4:17" x14ac:dyDescent="0.15">
      <c r="D191" s="7" t="s">
        <v>6</v>
      </c>
      <c r="E191" s="7" t="s">
        <v>376</v>
      </c>
      <c r="F191" s="7" t="s">
        <v>376</v>
      </c>
      <c r="G191" s="7" t="s">
        <v>377</v>
      </c>
      <c r="H191" s="7" t="s">
        <v>45</v>
      </c>
      <c r="I191" s="7" t="s">
        <v>10</v>
      </c>
      <c r="J191" s="7" t="s">
        <v>9</v>
      </c>
      <c r="K191" s="7" t="s">
        <v>33</v>
      </c>
      <c r="L191" s="7" t="s">
        <v>38</v>
      </c>
      <c r="M191" s="7" t="s">
        <v>10</v>
      </c>
      <c r="N191" s="7" t="s">
        <v>10</v>
      </c>
      <c r="O191" s="7" t="s">
        <v>33</v>
      </c>
      <c r="P191" s="11" t="str">
        <f t="shared" si="4"/>
        <v>平</v>
      </c>
      <c r="Q191" s="11" t="str">
        <f t="shared" si="5"/>
        <v>胜</v>
      </c>
    </row>
    <row r="192" spans="4:17" x14ac:dyDescent="0.15">
      <c r="D192" s="7" t="s">
        <v>6</v>
      </c>
      <c r="E192" s="7" t="s">
        <v>378</v>
      </c>
      <c r="F192" s="7" t="s">
        <v>378</v>
      </c>
      <c r="G192" s="7" t="s">
        <v>379</v>
      </c>
      <c r="H192" s="7" t="s">
        <v>44</v>
      </c>
      <c r="I192" s="7" t="s">
        <v>33</v>
      </c>
      <c r="J192" s="7" t="s">
        <v>10</v>
      </c>
      <c r="K192" s="7" t="s">
        <v>33</v>
      </c>
      <c r="L192" s="7" t="s">
        <v>49</v>
      </c>
      <c r="M192" s="7" t="s">
        <v>10</v>
      </c>
      <c r="N192" s="7" t="s">
        <v>10</v>
      </c>
      <c r="O192" s="7" t="s">
        <v>33</v>
      </c>
      <c r="P192" s="11" t="str">
        <f t="shared" si="4"/>
        <v>负</v>
      </c>
      <c r="Q192" s="11" t="str">
        <f t="shared" si="5"/>
        <v>平</v>
      </c>
    </row>
    <row r="193" spans="4:17" x14ac:dyDescent="0.15">
      <c r="D193" s="7" t="s">
        <v>6</v>
      </c>
      <c r="E193" s="7" t="s">
        <v>380</v>
      </c>
      <c r="F193" s="7" t="s">
        <v>380</v>
      </c>
      <c r="G193" s="7" t="s">
        <v>381</v>
      </c>
      <c r="H193" s="7" t="s">
        <v>48</v>
      </c>
      <c r="I193" s="7" t="s">
        <v>10</v>
      </c>
      <c r="J193" s="7" t="s">
        <v>9</v>
      </c>
      <c r="K193" s="7" t="s">
        <v>33</v>
      </c>
      <c r="L193" s="7" t="s">
        <v>52</v>
      </c>
      <c r="M193" s="7" t="s">
        <v>10</v>
      </c>
      <c r="N193" s="7" t="s">
        <v>10</v>
      </c>
      <c r="O193" s="7" t="s">
        <v>33</v>
      </c>
      <c r="P193" s="11" t="str">
        <f t="shared" si="4"/>
        <v>平</v>
      </c>
      <c r="Q193" s="11" t="str">
        <f t="shared" si="5"/>
        <v>胜</v>
      </c>
    </row>
    <row r="194" spans="4:17" x14ac:dyDescent="0.15">
      <c r="D194" s="7" t="s">
        <v>6</v>
      </c>
      <c r="E194" s="7" t="s">
        <v>382</v>
      </c>
      <c r="F194" s="7" t="s">
        <v>382</v>
      </c>
      <c r="G194" s="7" t="s">
        <v>379</v>
      </c>
      <c r="H194" s="7" t="s">
        <v>42</v>
      </c>
      <c r="I194" s="7" t="s">
        <v>33</v>
      </c>
      <c r="J194" s="7" t="s">
        <v>10</v>
      </c>
      <c r="K194" s="7" t="s">
        <v>33</v>
      </c>
      <c r="L194" s="7" t="s">
        <v>51</v>
      </c>
      <c r="M194" s="7" t="s">
        <v>33</v>
      </c>
      <c r="N194" s="7" t="s">
        <v>33</v>
      </c>
      <c r="O194" s="7" t="s">
        <v>33</v>
      </c>
      <c r="P194" s="11" t="str">
        <f t="shared" si="4"/>
        <v>平</v>
      </c>
      <c r="Q194" s="11" t="str">
        <f t="shared" si="5"/>
        <v>胜</v>
      </c>
    </row>
    <row r="195" spans="4:17" x14ac:dyDescent="0.15">
      <c r="D195" s="7" t="s">
        <v>6</v>
      </c>
      <c r="E195" s="7" t="s">
        <v>383</v>
      </c>
      <c r="F195" s="7" t="s">
        <v>383</v>
      </c>
      <c r="G195" s="7" t="s">
        <v>384</v>
      </c>
      <c r="H195" s="7" t="s">
        <v>54</v>
      </c>
      <c r="I195" s="7" t="s">
        <v>10</v>
      </c>
      <c r="J195" s="7" t="s">
        <v>10</v>
      </c>
      <c r="K195" s="7" t="s">
        <v>33</v>
      </c>
      <c r="L195" s="7" t="s">
        <v>37</v>
      </c>
      <c r="M195" s="7" t="s">
        <v>10</v>
      </c>
      <c r="N195" s="7" t="s">
        <v>9</v>
      </c>
      <c r="O195" s="7" t="s">
        <v>33</v>
      </c>
      <c r="P195" s="11" t="str">
        <f t="shared" si="4"/>
        <v>平</v>
      </c>
      <c r="Q195" s="11" t="str">
        <f t="shared" si="5"/>
        <v>负</v>
      </c>
    </row>
    <row r="196" spans="4:17" x14ac:dyDescent="0.15">
      <c r="D196" s="7" t="s">
        <v>6</v>
      </c>
      <c r="E196" s="7" t="s">
        <v>385</v>
      </c>
      <c r="F196" s="7" t="s">
        <v>385</v>
      </c>
      <c r="G196" s="7" t="s">
        <v>386</v>
      </c>
      <c r="H196" s="7" t="s">
        <v>36</v>
      </c>
      <c r="I196" s="7" t="s">
        <v>9</v>
      </c>
      <c r="J196" s="7" t="s">
        <v>39</v>
      </c>
      <c r="K196" s="7" t="s">
        <v>33</v>
      </c>
      <c r="L196" s="7" t="s">
        <v>53</v>
      </c>
      <c r="M196" s="7" t="s">
        <v>10</v>
      </c>
      <c r="N196" s="7" t="s">
        <v>10</v>
      </c>
      <c r="O196" s="7" t="s">
        <v>33</v>
      </c>
      <c r="P196" s="11" t="str">
        <f t="shared" si="4"/>
        <v>胜</v>
      </c>
      <c r="Q196" s="11" t="str">
        <f t="shared" si="5"/>
        <v>胜</v>
      </c>
    </row>
    <row r="197" spans="4:17" x14ac:dyDescent="0.15">
      <c r="D197" s="7" t="s">
        <v>6</v>
      </c>
      <c r="E197" s="7" t="s">
        <v>387</v>
      </c>
      <c r="F197" s="7" t="s">
        <v>387</v>
      </c>
      <c r="G197" s="7" t="s">
        <v>388</v>
      </c>
      <c r="H197" s="7" t="s">
        <v>43</v>
      </c>
      <c r="I197" s="7" t="s">
        <v>10</v>
      </c>
      <c r="J197" s="7" t="s">
        <v>9</v>
      </c>
      <c r="K197" s="7" t="s">
        <v>33</v>
      </c>
      <c r="L197" s="7" t="s">
        <v>32</v>
      </c>
      <c r="M197" s="7" t="s">
        <v>33</v>
      </c>
      <c r="N197" s="7" t="s">
        <v>33</v>
      </c>
      <c r="O197" s="7" t="s">
        <v>33</v>
      </c>
      <c r="P197" s="11" t="str">
        <f t="shared" si="4"/>
        <v>胜</v>
      </c>
      <c r="Q197" s="11" t="str">
        <f t="shared" si="5"/>
        <v>胜</v>
      </c>
    </row>
    <row r="198" spans="4:17" x14ac:dyDescent="0.15">
      <c r="D198" s="7" t="s">
        <v>6</v>
      </c>
      <c r="E198" s="7" t="s">
        <v>389</v>
      </c>
      <c r="F198" s="7" t="s">
        <v>389</v>
      </c>
      <c r="G198" s="7" t="s">
        <v>390</v>
      </c>
      <c r="H198" s="7" t="s">
        <v>52</v>
      </c>
      <c r="I198" s="7" t="s">
        <v>33</v>
      </c>
      <c r="J198" s="7" t="s">
        <v>10</v>
      </c>
      <c r="K198" s="7" t="s">
        <v>33</v>
      </c>
      <c r="L198" s="7" t="s">
        <v>43</v>
      </c>
      <c r="M198" s="7" t="s">
        <v>33</v>
      </c>
      <c r="N198" s="7" t="s">
        <v>39</v>
      </c>
      <c r="O198" s="7" t="s">
        <v>33</v>
      </c>
      <c r="P198" s="11" t="str">
        <f t="shared" si="4"/>
        <v>平</v>
      </c>
      <c r="Q198" s="11" t="str">
        <f t="shared" si="5"/>
        <v>负</v>
      </c>
    </row>
    <row r="199" spans="4:17" x14ac:dyDescent="0.15">
      <c r="D199" s="7" t="s">
        <v>6</v>
      </c>
      <c r="E199" s="7" t="s">
        <v>391</v>
      </c>
      <c r="F199" s="7" t="s">
        <v>391</v>
      </c>
      <c r="G199" s="7" t="s">
        <v>392</v>
      </c>
      <c r="H199" s="7" t="s">
        <v>41</v>
      </c>
      <c r="I199" s="7" t="s">
        <v>10</v>
      </c>
      <c r="J199" s="7" t="s">
        <v>39</v>
      </c>
      <c r="K199" s="7" t="s">
        <v>33</v>
      </c>
      <c r="L199" s="7" t="s">
        <v>48</v>
      </c>
      <c r="M199" s="7" t="s">
        <v>33</v>
      </c>
      <c r="N199" s="7" t="s">
        <v>33</v>
      </c>
      <c r="O199" s="7" t="s">
        <v>33</v>
      </c>
      <c r="P199" s="11" t="str">
        <f t="shared" si="4"/>
        <v>胜</v>
      </c>
      <c r="Q199" s="11" t="str">
        <f t="shared" si="5"/>
        <v>胜</v>
      </c>
    </row>
    <row r="200" spans="4:17" x14ac:dyDescent="0.15">
      <c r="D200" s="7" t="s">
        <v>6</v>
      </c>
      <c r="E200" s="7" t="s">
        <v>393</v>
      </c>
      <c r="F200" s="7" t="s">
        <v>393</v>
      </c>
      <c r="G200" s="7" t="s">
        <v>394</v>
      </c>
      <c r="H200" s="7" t="s">
        <v>32</v>
      </c>
      <c r="I200" s="11" t="s">
        <v>9</v>
      </c>
      <c r="J200" s="7" t="s">
        <v>39</v>
      </c>
      <c r="K200" s="7" t="s">
        <v>33</v>
      </c>
      <c r="L200" s="7" t="s">
        <v>40</v>
      </c>
      <c r="M200" s="7" t="s">
        <v>50</v>
      </c>
      <c r="N200" s="7" t="s">
        <v>47</v>
      </c>
      <c r="O200" s="7" t="s">
        <v>33</v>
      </c>
      <c r="P200" s="11" t="str">
        <f t="shared" si="4"/>
        <v>负</v>
      </c>
      <c r="Q200" s="11" t="str">
        <f t="shared" si="5"/>
        <v>负</v>
      </c>
    </row>
    <row r="201" spans="4:17" x14ac:dyDescent="0.15">
      <c r="D201" s="7" t="s">
        <v>6</v>
      </c>
      <c r="E201" s="7" t="s">
        <v>395</v>
      </c>
      <c r="F201" s="7" t="s">
        <v>395</v>
      </c>
      <c r="G201" s="7" t="s">
        <v>396</v>
      </c>
      <c r="H201" s="7" t="s">
        <v>45</v>
      </c>
      <c r="I201" s="7" t="s">
        <v>33</v>
      </c>
      <c r="J201" s="7" t="s">
        <v>10</v>
      </c>
      <c r="K201" s="7" t="s">
        <v>33</v>
      </c>
      <c r="L201" s="7" t="s">
        <v>54</v>
      </c>
      <c r="M201" s="7" t="s">
        <v>10</v>
      </c>
      <c r="N201" s="7" t="s">
        <v>10</v>
      </c>
      <c r="O201" s="7" t="s">
        <v>33</v>
      </c>
      <c r="P201" s="11" t="str">
        <f t="shared" si="4"/>
        <v>负</v>
      </c>
      <c r="Q201" s="11" t="str">
        <f t="shared" si="5"/>
        <v>平</v>
      </c>
    </row>
    <row r="202" spans="4:17" x14ac:dyDescent="0.15">
      <c r="D202" s="7" t="s">
        <v>6</v>
      </c>
      <c r="E202" s="7" t="s">
        <v>397</v>
      </c>
      <c r="F202" s="7" t="s">
        <v>397</v>
      </c>
      <c r="G202" s="7" t="s">
        <v>398</v>
      </c>
      <c r="H202" s="7" t="s">
        <v>38</v>
      </c>
      <c r="I202" s="7" t="s">
        <v>9</v>
      </c>
      <c r="J202" s="7" t="s">
        <v>50</v>
      </c>
      <c r="K202" s="7" t="s">
        <v>33</v>
      </c>
      <c r="L202" s="7" t="s">
        <v>36</v>
      </c>
      <c r="M202" s="7" t="s">
        <v>33</v>
      </c>
      <c r="N202" s="7" t="s">
        <v>33</v>
      </c>
      <c r="O202" s="7" t="s">
        <v>33</v>
      </c>
      <c r="P202" s="11" t="str">
        <f t="shared" si="4"/>
        <v>胜</v>
      </c>
      <c r="Q202" s="11" t="str">
        <f t="shared" si="5"/>
        <v>胜</v>
      </c>
    </row>
    <row r="203" spans="4:17" x14ac:dyDescent="0.15">
      <c r="D203" s="7" t="s">
        <v>6</v>
      </c>
      <c r="E203" s="7" t="s">
        <v>399</v>
      </c>
      <c r="F203" s="7" t="s">
        <v>399</v>
      </c>
      <c r="G203" s="7" t="s">
        <v>400</v>
      </c>
      <c r="H203" s="7" t="s">
        <v>51</v>
      </c>
      <c r="I203" s="7" t="s">
        <v>10</v>
      </c>
      <c r="J203" s="7" t="s">
        <v>50</v>
      </c>
      <c r="K203" s="7" t="s">
        <v>33</v>
      </c>
      <c r="L203" s="7" t="s">
        <v>53</v>
      </c>
      <c r="M203" s="7" t="s">
        <v>9</v>
      </c>
      <c r="N203" s="7" t="s">
        <v>39</v>
      </c>
      <c r="O203" s="7" t="s">
        <v>33</v>
      </c>
      <c r="P203" s="11" t="str">
        <f t="shared" si="4"/>
        <v>负</v>
      </c>
      <c r="Q203" s="11" t="str">
        <f t="shared" si="5"/>
        <v>胜</v>
      </c>
    </row>
    <row r="204" spans="4:17" x14ac:dyDescent="0.15">
      <c r="D204" s="7" t="s">
        <v>6</v>
      </c>
      <c r="E204" s="7" t="s">
        <v>401</v>
      </c>
      <c r="F204" s="7" t="s">
        <v>401</v>
      </c>
      <c r="G204" s="7" t="s">
        <v>402</v>
      </c>
      <c r="H204" s="7" t="s">
        <v>37</v>
      </c>
      <c r="I204" s="7" t="s">
        <v>39</v>
      </c>
      <c r="J204" s="7" t="s">
        <v>39</v>
      </c>
      <c r="K204" s="7" t="s">
        <v>33</v>
      </c>
      <c r="L204" s="7" t="s">
        <v>44</v>
      </c>
      <c r="M204" s="7" t="s">
        <v>33</v>
      </c>
      <c r="N204" s="7" t="s">
        <v>33</v>
      </c>
      <c r="O204" s="7" t="s">
        <v>33</v>
      </c>
      <c r="P204" s="11" t="str">
        <f t="shared" si="4"/>
        <v>胜</v>
      </c>
      <c r="Q204" s="11" t="str">
        <f t="shared" si="5"/>
        <v>胜</v>
      </c>
    </row>
    <row r="205" spans="4:17" x14ac:dyDescent="0.15">
      <c r="D205" s="7" t="s">
        <v>6</v>
      </c>
      <c r="E205" s="7" t="s">
        <v>403</v>
      </c>
      <c r="F205" s="7" t="s">
        <v>403</v>
      </c>
      <c r="G205" s="7" t="s">
        <v>404</v>
      </c>
      <c r="H205" s="7" t="s">
        <v>49</v>
      </c>
      <c r="I205" s="7" t="s">
        <v>33</v>
      </c>
      <c r="J205" s="7" t="s">
        <v>33</v>
      </c>
      <c r="K205" s="7" t="s">
        <v>33</v>
      </c>
      <c r="L205" s="7" t="s">
        <v>42</v>
      </c>
      <c r="M205" s="7" t="s">
        <v>10</v>
      </c>
      <c r="N205" s="7" t="s">
        <v>9</v>
      </c>
      <c r="O205" s="7" t="s">
        <v>33</v>
      </c>
      <c r="P205" s="11" t="str">
        <f t="shared" ref="P205:P268" si="6">IF(I205=M205,"平",IF(I205&gt;M205,"胜","负"))</f>
        <v>负</v>
      </c>
      <c r="Q205" s="11" t="str">
        <f t="shared" ref="Q205:Q268" si="7">IF(J205=N205,"平",IF(J205&gt;N205,"胜","负"))</f>
        <v>负</v>
      </c>
    </row>
    <row r="206" spans="4:17" x14ac:dyDescent="0.15">
      <c r="D206" s="7" t="s">
        <v>6</v>
      </c>
      <c r="E206" s="7" t="s">
        <v>405</v>
      </c>
      <c r="F206" s="7" t="s">
        <v>405</v>
      </c>
      <c r="G206" s="7" t="s">
        <v>406</v>
      </c>
      <c r="H206" s="7" t="s">
        <v>53</v>
      </c>
      <c r="I206" s="7" t="s">
        <v>9</v>
      </c>
      <c r="J206" s="7" t="s">
        <v>50</v>
      </c>
      <c r="K206" s="7" t="s">
        <v>33</v>
      </c>
      <c r="L206" s="7" t="s">
        <v>49</v>
      </c>
      <c r="M206" s="7" t="s">
        <v>9</v>
      </c>
      <c r="N206" s="7" t="s">
        <v>47</v>
      </c>
      <c r="O206" s="7" t="s">
        <v>33</v>
      </c>
      <c r="P206" s="11" t="str">
        <f t="shared" si="6"/>
        <v>平</v>
      </c>
      <c r="Q206" s="11" t="str">
        <f t="shared" si="7"/>
        <v>负</v>
      </c>
    </row>
    <row r="207" spans="4:17" x14ac:dyDescent="0.15">
      <c r="D207" s="7" t="s">
        <v>6</v>
      </c>
      <c r="E207" s="7" t="s">
        <v>407</v>
      </c>
      <c r="F207" s="7" t="s">
        <v>407</v>
      </c>
      <c r="G207" s="7" t="s">
        <v>406</v>
      </c>
      <c r="H207" s="7" t="s">
        <v>51</v>
      </c>
      <c r="I207" s="7" t="s">
        <v>9</v>
      </c>
      <c r="J207" s="7" t="s">
        <v>39</v>
      </c>
      <c r="K207" s="7" t="s">
        <v>33</v>
      </c>
      <c r="L207" s="7" t="s">
        <v>37</v>
      </c>
      <c r="M207" s="7" t="s">
        <v>9</v>
      </c>
      <c r="N207" s="7" t="s">
        <v>9</v>
      </c>
      <c r="O207" s="7" t="s">
        <v>33</v>
      </c>
      <c r="P207" s="11" t="str">
        <f t="shared" si="6"/>
        <v>平</v>
      </c>
      <c r="Q207" s="11" t="str">
        <f t="shared" si="7"/>
        <v>胜</v>
      </c>
    </row>
    <row r="208" spans="4:17" x14ac:dyDescent="0.15">
      <c r="D208" s="7" t="s">
        <v>6</v>
      </c>
      <c r="E208" s="7" t="s">
        <v>408</v>
      </c>
      <c r="F208" s="7" t="s">
        <v>408</v>
      </c>
      <c r="G208" s="7" t="s">
        <v>409</v>
      </c>
      <c r="H208" s="7" t="s">
        <v>54</v>
      </c>
      <c r="I208" s="7" t="s">
        <v>10</v>
      </c>
      <c r="J208" s="7" t="s">
        <v>9</v>
      </c>
      <c r="K208" s="7" t="s">
        <v>33</v>
      </c>
      <c r="L208" s="7" t="s">
        <v>40</v>
      </c>
      <c r="M208" s="7" t="s">
        <v>33</v>
      </c>
      <c r="N208" s="7" t="s">
        <v>33</v>
      </c>
      <c r="O208" s="7" t="s">
        <v>33</v>
      </c>
      <c r="P208" s="11" t="str">
        <f t="shared" si="6"/>
        <v>胜</v>
      </c>
      <c r="Q208" s="11" t="str">
        <f t="shared" si="7"/>
        <v>胜</v>
      </c>
    </row>
    <row r="209" spans="4:17" x14ac:dyDescent="0.15">
      <c r="D209" s="7" t="s">
        <v>6</v>
      </c>
      <c r="E209" s="7" t="s">
        <v>410</v>
      </c>
      <c r="F209" s="7" t="s">
        <v>410</v>
      </c>
      <c r="G209" s="7" t="s">
        <v>409</v>
      </c>
      <c r="H209" s="7" t="s">
        <v>48</v>
      </c>
      <c r="I209" s="7" t="s">
        <v>33</v>
      </c>
      <c r="J209" s="7" t="s">
        <v>33</v>
      </c>
      <c r="K209" s="7" t="s">
        <v>33</v>
      </c>
      <c r="L209" s="7" t="s">
        <v>45</v>
      </c>
      <c r="M209" s="7" t="s">
        <v>10</v>
      </c>
      <c r="N209" s="7" t="s">
        <v>9</v>
      </c>
      <c r="O209" s="7" t="s">
        <v>33</v>
      </c>
      <c r="P209" s="11" t="str">
        <f t="shared" si="6"/>
        <v>负</v>
      </c>
      <c r="Q209" s="11" t="str">
        <f t="shared" si="7"/>
        <v>负</v>
      </c>
    </row>
    <row r="210" spans="4:17" x14ac:dyDescent="0.15">
      <c r="D210" s="7" t="s">
        <v>6</v>
      </c>
      <c r="E210" s="7" t="s">
        <v>411</v>
      </c>
      <c r="F210" s="7" t="s">
        <v>411</v>
      </c>
      <c r="G210" s="7" t="s">
        <v>409</v>
      </c>
      <c r="H210" s="7" t="s">
        <v>44</v>
      </c>
      <c r="I210" s="7" t="s">
        <v>33</v>
      </c>
      <c r="J210" s="7" t="s">
        <v>9</v>
      </c>
      <c r="K210" s="7" t="s">
        <v>33</v>
      </c>
      <c r="L210" s="7" t="s">
        <v>38</v>
      </c>
      <c r="M210" s="7" t="s">
        <v>10</v>
      </c>
      <c r="N210" s="7" t="s">
        <v>10</v>
      </c>
      <c r="O210" s="7" t="s">
        <v>33</v>
      </c>
      <c r="P210" s="11" t="str">
        <f t="shared" si="6"/>
        <v>负</v>
      </c>
      <c r="Q210" s="11" t="str">
        <f t="shared" si="7"/>
        <v>胜</v>
      </c>
    </row>
    <row r="211" spans="4:17" x14ac:dyDescent="0.15">
      <c r="D211" s="7" t="s">
        <v>6</v>
      </c>
      <c r="E211" s="7" t="s">
        <v>412</v>
      </c>
      <c r="F211" s="7" t="s">
        <v>412</v>
      </c>
      <c r="G211" s="7" t="s">
        <v>413</v>
      </c>
      <c r="H211" s="7" t="s">
        <v>36</v>
      </c>
      <c r="I211" s="7" t="s">
        <v>10</v>
      </c>
      <c r="J211" s="7" t="s">
        <v>10</v>
      </c>
      <c r="K211" s="7" t="s">
        <v>33</v>
      </c>
      <c r="L211" s="7" t="s">
        <v>32</v>
      </c>
      <c r="M211" s="7" t="s">
        <v>10</v>
      </c>
      <c r="N211" s="7" t="s">
        <v>10</v>
      </c>
      <c r="O211" s="7" t="s">
        <v>33</v>
      </c>
      <c r="P211" s="11" t="str">
        <f t="shared" si="6"/>
        <v>平</v>
      </c>
      <c r="Q211" s="11" t="str">
        <f t="shared" si="7"/>
        <v>平</v>
      </c>
    </row>
    <row r="212" spans="4:17" x14ac:dyDescent="0.15">
      <c r="D212" s="7" t="s">
        <v>6</v>
      </c>
      <c r="E212" s="7" t="s">
        <v>414</v>
      </c>
      <c r="F212" s="7" t="s">
        <v>414</v>
      </c>
      <c r="G212" s="7" t="s">
        <v>409</v>
      </c>
      <c r="H212" s="7" t="s">
        <v>42</v>
      </c>
      <c r="I212" s="7" t="s">
        <v>10</v>
      </c>
      <c r="J212" s="7" t="s">
        <v>50</v>
      </c>
      <c r="K212" s="7" t="s">
        <v>33</v>
      </c>
      <c r="L212" s="7" t="s">
        <v>52</v>
      </c>
      <c r="M212" s="7" t="s">
        <v>33</v>
      </c>
      <c r="N212" s="7" t="s">
        <v>33</v>
      </c>
      <c r="O212" s="7" t="s">
        <v>33</v>
      </c>
      <c r="P212" s="11" t="str">
        <f t="shared" si="6"/>
        <v>胜</v>
      </c>
      <c r="Q212" s="11" t="str">
        <f t="shared" si="7"/>
        <v>胜</v>
      </c>
    </row>
    <row r="213" spans="4:17" x14ac:dyDescent="0.15">
      <c r="D213" s="7" t="s">
        <v>6</v>
      </c>
      <c r="E213" s="7" t="s">
        <v>415</v>
      </c>
      <c r="F213" s="7" t="s">
        <v>415</v>
      </c>
      <c r="G213" s="7" t="s">
        <v>409</v>
      </c>
      <c r="H213" s="7" t="s">
        <v>43</v>
      </c>
      <c r="I213" s="7" t="s">
        <v>33</v>
      </c>
      <c r="J213" s="7" t="s">
        <v>9</v>
      </c>
      <c r="K213" s="7" t="s">
        <v>33</v>
      </c>
      <c r="L213" s="7" t="s">
        <v>41</v>
      </c>
      <c r="M213" s="7" t="s">
        <v>10</v>
      </c>
      <c r="N213" s="7" t="s">
        <v>9</v>
      </c>
      <c r="O213" s="7" t="s">
        <v>33</v>
      </c>
      <c r="P213" s="11" t="str">
        <f t="shared" si="6"/>
        <v>负</v>
      </c>
      <c r="Q213" s="11" t="str">
        <f t="shared" si="7"/>
        <v>平</v>
      </c>
    </row>
    <row r="214" spans="4:17" x14ac:dyDescent="0.15">
      <c r="D214" s="7" t="s">
        <v>6</v>
      </c>
      <c r="E214" s="7" t="s">
        <v>416</v>
      </c>
      <c r="F214" s="7" t="s">
        <v>416</v>
      </c>
      <c r="G214" s="7" t="s">
        <v>417</v>
      </c>
      <c r="H214" s="7" t="s">
        <v>49</v>
      </c>
      <c r="I214" s="7" t="s">
        <v>9</v>
      </c>
      <c r="J214" s="7" t="s">
        <v>50</v>
      </c>
      <c r="K214" s="7" t="s">
        <v>33</v>
      </c>
      <c r="L214" s="7" t="s">
        <v>51</v>
      </c>
      <c r="M214" s="7" t="s">
        <v>10</v>
      </c>
      <c r="N214" s="7" t="s">
        <v>9</v>
      </c>
      <c r="O214" s="7" t="s">
        <v>33</v>
      </c>
      <c r="P214" s="11" t="str">
        <f t="shared" si="6"/>
        <v>胜</v>
      </c>
      <c r="Q214" s="11" t="str">
        <f t="shared" si="7"/>
        <v>胜</v>
      </c>
    </row>
    <row r="215" spans="4:17" x14ac:dyDescent="0.15">
      <c r="D215" s="7" t="s">
        <v>6</v>
      </c>
      <c r="E215" s="7" t="s">
        <v>418</v>
      </c>
      <c r="F215" s="7" t="s">
        <v>418</v>
      </c>
      <c r="G215" s="7" t="s">
        <v>417</v>
      </c>
      <c r="H215" s="7" t="s">
        <v>32</v>
      </c>
      <c r="I215" s="11" t="s">
        <v>33</v>
      </c>
      <c r="J215" s="7" t="s">
        <v>10</v>
      </c>
      <c r="K215" s="7" t="s">
        <v>33</v>
      </c>
      <c r="L215" s="7" t="s">
        <v>53</v>
      </c>
      <c r="M215" s="7" t="s">
        <v>33</v>
      </c>
      <c r="N215" s="7" t="s">
        <v>33</v>
      </c>
      <c r="O215" s="7" t="s">
        <v>33</v>
      </c>
      <c r="P215" s="11" t="str">
        <f t="shared" si="6"/>
        <v>平</v>
      </c>
      <c r="Q215" s="11" t="str">
        <f t="shared" si="7"/>
        <v>胜</v>
      </c>
    </row>
    <row r="216" spans="4:17" x14ac:dyDescent="0.15">
      <c r="D216" s="7" t="s">
        <v>6</v>
      </c>
      <c r="E216" s="7" t="s">
        <v>419</v>
      </c>
      <c r="F216" s="7" t="s">
        <v>419</v>
      </c>
      <c r="G216" s="7" t="s">
        <v>420</v>
      </c>
      <c r="H216" s="7" t="s">
        <v>37</v>
      </c>
      <c r="I216" s="7" t="s">
        <v>9</v>
      </c>
      <c r="J216" s="7" t="s">
        <v>47</v>
      </c>
      <c r="K216" s="7" t="s">
        <v>33</v>
      </c>
      <c r="L216" s="7" t="s">
        <v>52</v>
      </c>
      <c r="M216" s="7" t="s">
        <v>10</v>
      </c>
      <c r="N216" s="7" t="s">
        <v>10</v>
      </c>
      <c r="O216" s="7" t="s">
        <v>33</v>
      </c>
      <c r="P216" s="11" t="str">
        <f t="shared" si="6"/>
        <v>胜</v>
      </c>
      <c r="Q216" s="11" t="str">
        <f t="shared" si="7"/>
        <v>胜</v>
      </c>
    </row>
    <row r="217" spans="4:17" x14ac:dyDescent="0.15">
      <c r="D217" s="7" t="s">
        <v>6</v>
      </c>
      <c r="E217" s="7" t="s">
        <v>421</v>
      </c>
      <c r="F217" s="7" t="s">
        <v>421</v>
      </c>
      <c r="G217" s="7" t="s">
        <v>422</v>
      </c>
      <c r="H217" s="7" t="s">
        <v>38</v>
      </c>
      <c r="I217" s="7" t="s">
        <v>9</v>
      </c>
      <c r="J217" s="7" t="s">
        <v>39</v>
      </c>
      <c r="K217" s="7" t="s">
        <v>33</v>
      </c>
      <c r="L217" s="7" t="s">
        <v>42</v>
      </c>
      <c r="M217" s="7" t="s">
        <v>10</v>
      </c>
      <c r="N217" s="7" t="s">
        <v>39</v>
      </c>
      <c r="O217" s="7" t="s">
        <v>33</v>
      </c>
      <c r="P217" s="11" t="str">
        <f t="shared" si="6"/>
        <v>胜</v>
      </c>
      <c r="Q217" s="11" t="str">
        <f t="shared" si="7"/>
        <v>平</v>
      </c>
    </row>
    <row r="218" spans="4:17" x14ac:dyDescent="0.15">
      <c r="D218" s="7" t="s">
        <v>6</v>
      </c>
      <c r="E218" s="7" t="s">
        <v>423</v>
      </c>
      <c r="F218" s="7" t="s">
        <v>423</v>
      </c>
      <c r="G218" s="7" t="s">
        <v>424</v>
      </c>
      <c r="H218" s="7" t="s">
        <v>54</v>
      </c>
      <c r="I218" s="7" t="s">
        <v>33</v>
      </c>
      <c r="J218" s="7" t="s">
        <v>33</v>
      </c>
      <c r="K218" s="7" t="s">
        <v>33</v>
      </c>
      <c r="L218" s="7" t="s">
        <v>48</v>
      </c>
      <c r="M218" s="7" t="s">
        <v>33</v>
      </c>
      <c r="N218" s="7" t="s">
        <v>33</v>
      </c>
      <c r="O218" s="7" t="s">
        <v>33</v>
      </c>
      <c r="P218" s="11" t="str">
        <f t="shared" si="6"/>
        <v>平</v>
      </c>
      <c r="Q218" s="11" t="str">
        <f t="shared" si="7"/>
        <v>平</v>
      </c>
    </row>
    <row r="219" spans="4:17" x14ac:dyDescent="0.15">
      <c r="D219" s="7" t="s">
        <v>6</v>
      </c>
      <c r="E219" s="7" t="s">
        <v>425</v>
      </c>
      <c r="F219" s="7" t="s">
        <v>425</v>
      </c>
      <c r="G219" s="7" t="s">
        <v>424</v>
      </c>
      <c r="H219" s="7" t="s">
        <v>40</v>
      </c>
      <c r="I219" s="7" t="s">
        <v>9</v>
      </c>
      <c r="J219" s="7" t="s">
        <v>39</v>
      </c>
      <c r="K219" s="7" t="s">
        <v>33</v>
      </c>
      <c r="L219" s="7" t="s">
        <v>43</v>
      </c>
      <c r="M219" s="7" t="s">
        <v>33</v>
      </c>
      <c r="N219" s="7" t="s">
        <v>10</v>
      </c>
      <c r="O219" s="7" t="s">
        <v>33</v>
      </c>
      <c r="P219" s="11" t="str">
        <f t="shared" si="6"/>
        <v>胜</v>
      </c>
      <c r="Q219" s="11" t="str">
        <f t="shared" si="7"/>
        <v>胜</v>
      </c>
    </row>
    <row r="220" spans="4:17" x14ac:dyDescent="0.15">
      <c r="D220" s="7" t="s">
        <v>6</v>
      </c>
      <c r="E220" s="7" t="s">
        <v>426</v>
      </c>
      <c r="F220" s="7" t="s">
        <v>426</v>
      </c>
      <c r="G220" s="7" t="s">
        <v>422</v>
      </c>
      <c r="H220" s="7" t="s">
        <v>41</v>
      </c>
      <c r="I220" s="7" t="s">
        <v>33</v>
      </c>
      <c r="J220" s="7" t="s">
        <v>10</v>
      </c>
      <c r="K220" s="7" t="s">
        <v>33</v>
      </c>
      <c r="L220" s="7" t="s">
        <v>44</v>
      </c>
      <c r="M220" s="7" t="s">
        <v>10</v>
      </c>
      <c r="N220" s="7" t="s">
        <v>39</v>
      </c>
      <c r="O220" s="7" t="s">
        <v>33</v>
      </c>
      <c r="P220" s="11" t="str">
        <f t="shared" si="6"/>
        <v>负</v>
      </c>
      <c r="Q220" s="11" t="str">
        <f t="shared" si="7"/>
        <v>负</v>
      </c>
    </row>
    <row r="221" spans="4:17" x14ac:dyDescent="0.15">
      <c r="D221" s="7" t="s">
        <v>6</v>
      </c>
      <c r="E221" s="7" t="s">
        <v>427</v>
      </c>
      <c r="F221" s="7" t="s">
        <v>427</v>
      </c>
      <c r="G221" s="7" t="s">
        <v>428</v>
      </c>
      <c r="H221" s="7" t="s">
        <v>45</v>
      </c>
      <c r="I221" s="7" t="s">
        <v>33</v>
      </c>
      <c r="J221" s="7" t="s">
        <v>10</v>
      </c>
      <c r="K221" s="7" t="s">
        <v>33</v>
      </c>
      <c r="L221" s="7" t="s">
        <v>36</v>
      </c>
      <c r="M221" s="7" t="s">
        <v>33</v>
      </c>
      <c r="N221" s="7" t="s">
        <v>33</v>
      </c>
      <c r="O221" s="7" t="s">
        <v>33</v>
      </c>
      <c r="P221" s="11" t="str">
        <f t="shared" si="6"/>
        <v>平</v>
      </c>
      <c r="Q221" s="11" t="str">
        <f t="shared" si="7"/>
        <v>胜</v>
      </c>
    </row>
    <row r="222" spans="4:17" x14ac:dyDescent="0.15">
      <c r="D222" s="7" t="s">
        <v>6</v>
      </c>
      <c r="E222" s="7" t="s">
        <v>429</v>
      </c>
      <c r="F222" s="7" t="s">
        <v>429</v>
      </c>
      <c r="G222" s="7" t="s">
        <v>430</v>
      </c>
      <c r="H222" s="7" t="s">
        <v>51</v>
      </c>
      <c r="I222" s="7" t="s">
        <v>33</v>
      </c>
      <c r="J222" s="7" t="s">
        <v>33</v>
      </c>
      <c r="K222" s="7" t="s">
        <v>33</v>
      </c>
      <c r="L222" s="7" t="s">
        <v>38</v>
      </c>
      <c r="M222" s="7" t="s">
        <v>10</v>
      </c>
      <c r="N222" s="7" t="s">
        <v>39</v>
      </c>
      <c r="O222" s="7" t="s">
        <v>33</v>
      </c>
      <c r="P222" s="11" t="str">
        <f t="shared" si="6"/>
        <v>负</v>
      </c>
      <c r="Q222" s="11" t="str">
        <f t="shared" si="7"/>
        <v>负</v>
      </c>
    </row>
    <row r="223" spans="4:17" x14ac:dyDescent="0.15">
      <c r="D223" s="7" t="s">
        <v>6</v>
      </c>
      <c r="E223" s="7" t="s">
        <v>431</v>
      </c>
      <c r="F223" s="7" t="s">
        <v>431</v>
      </c>
      <c r="G223" s="7" t="s">
        <v>432</v>
      </c>
      <c r="H223" s="7" t="s">
        <v>48</v>
      </c>
      <c r="I223" s="7" t="s">
        <v>9</v>
      </c>
      <c r="J223" s="7" t="s">
        <v>50</v>
      </c>
      <c r="K223" s="7" t="s">
        <v>33</v>
      </c>
      <c r="L223" s="7" t="s">
        <v>40</v>
      </c>
      <c r="M223" s="7" t="s">
        <v>33</v>
      </c>
      <c r="N223" s="7" t="s">
        <v>33</v>
      </c>
      <c r="O223" s="7" t="s">
        <v>33</v>
      </c>
      <c r="P223" s="11" t="str">
        <f t="shared" si="6"/>
        <v>胜</v>
      </c>
      <c r="Q223" s="11" t="str">
        <f t="shared" si="7"/>
        <v>胜</v>
      </c>
    </row>
    <row r="224" spans="4:17" x14ac:dyDescent="0.15">
      <c r="D224" s="7" t="s">
        <v>6</v>
      </c>
      <c r="E224" s="7" t="s">
        <v>433</v>
      </c>
      <c r="F224" s="7" t="s">
        <v>433</v>
      </c>
      <c r="G224" s="7" t="s">
        <v>434</v>
      </c>
      <c r="H224" s="7" t="s">
        <v>44</v>
      </c>
      <c r="I224" s="7" t="s">
        <v>9</v>
      </c>
      <c r="J224" s="7" t="s">
        <v>39</v>
      </c>
      <c r="K224" s="7" t="s">
        <v>33</v>
      </c>
      <c r="L224" s="7" t="s">
        <v>32</v>
      </c>
      <c r="M224" s="7" t="s">
        <v>33</v>
      </c>
      <c r="N224" s="7" t="s">
        <v>33</v>
      </c>
      <c r="O224" s="7" t="s">
        <v>33</v>
      </c>
      <c r="P224" s="11" t="str">
        <f t="shared" si="6"/>
        <v>胜</v>
      </c>
      <c r="Q224" s="11" t="str">
        <f t="shared" si="7"/>
        <v>胜</v>
      </c>
    </row>
    <row r="225" spans="4:17" x14ac:dyDescent="0.15">
      <c r="D225" s="7" t="s">
        <v>6</v>
      </c>
      <c r="E225" s="7" t="s">
        <v>435</v>
      </c>
      <c r="F225" s="7" t="s">
        <v>435</v>
      </c>
      <c r="G225" s="7" t="s">
        <v>436</v>
      </c>
      <c r="H225" s="7" t="s">
        <v>53</v>
      </c>
      <c r="I225" s="7" t="s">
        <v>9</v>
      </c>
      <c r="J225" s="7" t="s">
        <v>9</v>
      </c>
      <c r="K225" s="7" t="s">
        <v>33</v>
      </c>
      <c r="L225" s="7" t="s">
        <v>54</v>
      </c>
      <c r="M225" s="7" t="s">
        <v>10</v>
      </c>
      <c r="N225" s="7" t="s">
        <v>9</v>
      </c>
      <c r="O225" s="7" t="s">
        <v>33</v>
      </c>
      <c r="P225" s="11" t="str">
        <f t="shared" si="6"/>
        <v>胜</v>
      </c>
      <c r="Q225" s="11" t="str">
        <f t="shared" si="7"/>
        <v>平</v>
      </c>
    </row>
    <row r="226" spans="4:17" x14ac:dyDescent="0.15">
      <c r="D226" s="7" t="s">
        <v>6</v>
      </c>
      <c r="E226" s="7" t="s">
        <v>437</v>
      </c>
      <c r="F226" s="7" t="s">
        <v>437</v>
      </c>
      <c r="G226" s="7" t="s">
        <v>438</v>
      </c>
      <c r="H226" s="7" t="s">
        <v>43</v>
      </c>
      <c r="I226" s="7" t="s">
        <v>33</v>
      </c>
      <c r="J226" s="7" t="s">
        <v>33</v>
      </c>
      <c r="K226" s="7" t="s">
        <v>33</v>
      </c>
      <c r="L226" s="7" t="s">
        <v>45</v>
      </c>
      <c r="M226" s="7" t="s">
        <v>10</v>
      </c>
      <c r="N226" s="7" t="s">
        <v>50</v>
      </c>
      <c r="O226" s="7" t="s">
        <v>33</v>
      </c>
      <c r="P226" s="11" t="str">
        <f t="shared" si="6"/>
        <v>负</v>
      </c>
      <c r="Q226" s="11" t="str">
        <f t="shared" si="7"/>
        <v>负</v>
      </c>
    </row>
    <row r="227" spans="4:17" x14ac:dyDescent="0.15">
      <c r="D227" s="7" t="s">
        <v>6</v>
      </c>
      <c r="E227" s="7" t="s">
        <v>439</v>
      </c>
      <c r="F227" s="7" t="s">
        <v>439</v>
      </c>
      <c r="G227" s="7" t="s">
        <v>440</v>
      </c>
      <c r="H227" s="7" t="s">
        <v>42</v>
      </c>
      <c r="I227" s="7" t="s">
        <v>9</v>
      </c>
      <c r="J227" s="7" t="s">
        <v>9</v>
      </c>
      <c r="K227" s="7" t="s">
        <v>33</v>
      </c>
      <c r="L227" s="7" t="s">
        <v>37</v>
      </c>
      <c r="M227" s="7" t="s">
        <v>9</v>
      </c>
      <c r="N227" s="7" t="s">
        <v>39</v>
      </c>
      <c r="O227" s="7" t="s">
        <v>33</v>
      </c>
      <c r="P227" s="11" t="str">
        <f t="shared" si="6"/>
        <v>平</v>
      </c>
      <c r="Q227" s="11" t="str">
        <f t="shared" si="7"/>
        <v>负</v>
      </c>
    </row>
    <row r="228" spans="4:17" x14ac:dyDescent="0.15">
      <c r="D228" s="7" t="s">
        <v>6</v>
      </c>
      <c r="E228" s="7" t="s">
        <v>441</v>
      </c>
      <c r="F228" s="7" t="s">
        <v>441</v>
      </c>
      <c r="G228" s="7" t="s">
        <v>442</v>
      </c>
      <c r="H228" s="7" t="s">
        <v>32</v>
      </c>
      <c r="I228" s="11" t="s">
        <v>9</v>
      </c>
      <c r="J228" s="7" t="s">
        <v>47</v>
      </c>
      <c r="K228" s="7" t="s">
        <v>33</v>
      </c>
      <c r="L228" s="7" t="s">
        <v>51</v>
      </c>
      <c r="M228" s="7" t="s">
        <v>10</v>
      </c>
      <c r="N228" s="7" t="s">
        <v>10</v>
      </c>
      <c r="O228" s="7" t="s">
        <v>33</v>
      </c>
      <c r="P228" s="11" t="str">
        <f t="shared" si="6"/>
        <v>胜</v>
      </c>
      <c r="Q228" s="11" t="str">
        <f t="shared" si="7"/>
        <v>胜</v>
      </c>
    </row>
    <row r="229" spans="4:17" x14ac:dyDescent="0.15">
      <c r="D229" s="7" t="s">
        <v>6</v>
      </c>
      <c r="E229" s="7" t="s">
        <v>443</v>
      </c>
      <c r="F229" s="7" t="s">
        <v>443</v>
      </c>
      <c r="G229" s="7" t="s">
        <v>444</v>
      </c>
      <c r="H229" s="7" t="s">
        <v>41</v>
      </c>
      <c r="I229" s="7" t="s">
        <v>33</v>
      </c>
      <c r="J229" s="7" t="s">
        <v>33</v>
      </c>
      <c r="K229" s="7" t="s">
        <v>33</v>
      </c>
      <c r="L229" s="7" t="s">
        <v>42</v>
      </c>
      <c r="M229" s="7" t="s">
        <v>33</v>
      </c>
      <c r="N229" s="7" t="s">
        <v>10</v>
      </c>
      <c r="O229" s="7" t="s">
        <v>33</v>
      </c>
      <c r="P229" s="11" t="str">
        <f t="shared" si="6"/>
        <v>平</v>
      </c>
      <c r="Q229" s="11" t="str">
        <f t="shared" si="7"/>
        <v>负</v>
      </c>
    </row>
    <row r="230" spans="4:17" x14ac:dyDescent="0.15">
      <c r="D230" s="7" t="s">
        <v>6</v>
      </c>
      <c r="E230" s="7" t="s">
        <v>445</v>
      </c>
      <c r="F230" s="7" t="s">
        <v>445</v>
      </c>
      <c r="G230" s="7" t="s">
        <v>446</v>
      </c>
      <c r="H230" s="7" t="s">
        <v>45</v>
      </c>
      <c r="I230" s="7" t="s">
        <v>10</v>
      </c>
      <c r="J230" s="7" t="s">
        <v>39</v>
      </c>
      <c r="K230" s="7" t="s">
        <v>33</v>
      </c>
      <c r="L230" s="7" t="s">
        <v>49</v>
      </c>
      <c r="M230" s="7" t="s">
        <v>39</v>
      </c>
      <c r="N230" s="7" t="s">
        <v>50</v>
      </c>
      <c r="O230" s="7" t="s">
        <v>33</v>
      </c>
      <c r="P230" s="11" t="str">
        <f t="shared" si="6"/>
        <v>负</v>
      </c>
      <c r="Q230" s="11" t="str">
        <f t="shared" si="7"/>
        <v>负</v>
      </c>
    </row>
    <row r="231" spans="4:17" x14ac:dyDescent="0.15">
      <c r="D231" s="7" t="s">
        <v>6</v>
      </c>
      <c r="E231" s="7" t="s">
        <v>447</v>
      </c>
      <c r="F231" s="7" t="s">
        <v>447</v>
      </c>
      <c r="G231" s="7" t="s">
        <v>448</v>
      </c>
      <c r="H231" s="7" t="s">
        <v>37</v>
      </c>
      <c r="I231" s="7" t="s">
        <v>33</v>
      </c>
      <c r="J231" s="7" t="s">
        <v>10</v>
      </c>
      <c r="K231" s="7" t="s">
        <v>33</v>
      </c>
      <c r="L231" s="7" t="s">
        <v>53</v>
      </c>
      <c r="M231" s="7" t="s">
        <v>33</v>
      </c>
      <c r="N231" s="7" t="s">
        <v>10</v>
      </c>
      <c r="O231" s="7" t="s">
        <v>33</v>
      </c>
      <c r="P231" s="11" t="str">
        <f t="shared" si="6"/>
        <v>平</v>
      </c>
      <c r="Q231" s="11" t="str">
        <f t="shared" si="7"/>
        <v>平</v>
      </c>
    </row>
    <row r="232" spans="4:17" x14ac:dyDescent="0.15">
      <c r="D232" s="7" t="s">
        <v>6</v>
      </c>
      <c r="E232" s="7" t="s">
        <v>449</v>
      </c>
      <c r="F232" s="7" t="s">
        <v>449</v>
      </c>
      <c r="G232" s="7" t="s">
        <v>450</v>
      </c>
      <c r="H232" s="7" t="s">
        <v>40</v>
      </c>
      <c r="I232" s="7" t="s">
        <v>33</v>
      </c>
      <c r="J232" s="7" t="s">
        <v>9</v>
      </c>
      <c r="K232" s="7" t="s">
        <v>33</v>
      </c>
      <c r="L232" s="7" t="s">
        <v>44</v>
      </c>
      <c r="M232" s="7" t="s">
        <v>33</v>
      </c>
      <c r="N232" s="7" t="s">
        <v>33</v>
      </c>
      <c r="O232" s="7" t="s">
        <v>33</v>
      </c>
      <c r="P232" s="11" t="str">
        <f t="shared" si="6"/>
        <v>平</v>
      </c>
      <c r="Q232" s="11" t="str">
        <f t="shared" si="7"/>
        <v>胜</v>
      </c>
    </row>
    <row r="233" spans="4:17" x14ac:dyDescent="0.15">
      <c r="D233" s="7" t="s">
        <v>6</v>
      </c>
      <c r="E233" s="7" t="s">
        <v>451</v>
      </c>
      <c r="F233" s="7" t="s">
        <v>451</v>
      </c>
      <c r="G233" s="7" t="s">
        <v>452</v>
      </c>
      <c r="H233" s="7" t="s">
        <v>54</v>
      </c>
      <c r="I233" s="7" t="s">
        <v>10</v>
      </c>
      <c r="J233" s="7" t="s">
        <v>10</v>
      </c>
      <c r="K233" s="7" t="s">
        <v>33</v>
      </c>
      <c r="L233" s="7" t="s">
        <v>43</v>
      </c>
      <c r="M233" s="7" t="s">
        <v>33</v>
      </c>
      <c r="N233" s="7" t="s">
        <v>10</v>
      </c>
      <c r="O233" s="7" t="s">
        <v>33</v>
      </c>
      <c r="P233" s="11" t="str">
        <f t="shared" si="6"/>
        <v>胜</v>
      </c>
      <c r="Q233" s="11" t="str">
        <f t="shared" si="7"/>
        <v>平</v>
      </c>
    </row>
    <row r="234" spans="4:17" x14ac:dyDescent="0.15">
      <c r="D234" s="7" t="s">
        <v>6</v>
      </c>
      <c r="E234" s="7" t="s">
        <v>453</v>
      </c>
      <c r="F234" s="7" t="s">
        <v>453</v>
      </c>
      <c r="G234" s="7" t="s">
        <v>454</v>
      </c>
      <c r="H234" s="7" t="s">
        <v>48</v>
      </c>
      <c r="I234" s="7" t="s">
        <v>33</v>
      </c>
      <c r="J234" s="7" t="s">
        <v>33</v>
      </c>
      <c r="K234" s="7" t="s">
        <v>33</v>
      </c>
      <c r="L234" s="7" t="s">
        <v>36</v>
      </c>
      <c r="M234" s="7" t="s">
        <v>33</v>
      </c>
      <c r="N234" s="7" t="s">
        <v>9</v>
      </c>
      <c r="O234" s="7" t="s">
        <v>33</v>
      </c>
      <c r="P234" s="11" t="str">
        <f t="shared" si="6"/>
        <v>平</v>
      </c>
      <c r="Q234" s="11" t="str">
        <f t="shared" si="7"/>
        <v>负</v>
      </c>
    </row>
    <row r="235" spans="4:17" x14ac:dyDescent="0.15">
      <c r="D235" s="7" t="s">
        <v>6</v>
      </c>
      <c r="E235" s="7" t="s">
        <v>455</v>
      </c>
      <c r="F235" s="7" t="s">
        <v>455</v>
      </c>
      <c r="G235" s="7" t="s">
        <v>456</v>
      </c>
      <c r="H235" s="7" t="s">
        <v>38</v>
      </c>
      <c r="I235" s="7" t="s">
        <v>39</v>
      </c>
      <c r="J235" s="7" t="s">
        <v>55</v>
      </c>
      <c r="K235" s="7" t="s">
        <v>33</v>
      </c>
      <c r="L235" s="7" t="s">
        <v>52</v>
      </c>
      <c r="M235" s="7" t="s">
        <v>10</v>
      </c>
      <c r="N235" s="7" t="s">
        <v>10</v>
      </c>
      <c r="O235" s="7" t="s">
        <v>33</v>
      </c>
      <c r="P235" s="11" t="str">
        <f t="shared" si="6"/>
        <v>胜</v>
      </c>
      <c r="Q235" s="11" t="str">
        <f t="shared" si="7"/>
        <v>胜</v>
      </c>
    </row>
    <row r="236" spans="4:17" x14ac:dyDescent="0.15">
      <c r="D236" s="7" t="s">
        <v>6</v>
      </c>
      <c r="E236" s="7" t="s">
        <v>457</v>
      </c>
      <c r="F236" s="7" t="s">
        <v>457</v>
      </c>
      <c r="G236" s="7" t="s">
        <v>458</v>
      </c>
      <c r="H236" s="7" t="s">
        <v>36</v>
      </c>
      <c r="I236" s="7" t="s">
        <v>33</v>
      </c>
      <c r="J236" s="7" t="s">
        <v>33</v>
      </c>
      <c r="K236" s="7" t="s">
        <v>33</v>
      </c>
      <c r="L236" s="7" t="s">
        <v>40</v>
      </c>
      <c r="M236" s="7" t="s">
        <v>33</v>
      </c>
      <c r="N236" s="7" t="s">
        <v>10</v>
      </c>
      <c r="O236" s="7" t="s">
        <v>33</v>
      </c>
      <c r="P236" s="11" t="str">
        <f t="shared" si="6"/>
        <v>平</v>
      </c>
      <c r="Q236" s="11" t="str">
        <f t="shared" si="7"/>
        <v>负</v>
      </c>
    </row>
    <row r="237" spans="4:17" x14ac:dyDescent="0.15">
      <c r="D237" s="7" t="s">
        <v>6</v>
      </c>
      <c r="E237" s="7" t="s">
        <v>459</v>
      </c>
      <c r="F237" s="7" t="s">
        <v>459</v>
      </c>
      <c r="G237" s="7" t="s">
        <v>458</v>
      </c>
      <c r="H237" s="7" t="s">
        <v>43</v>
      </c>
      <c r="I237" s="7" t="s">
        <v>10</v>
      </c>
      <c r="J237" s="7" t="s">
        <v>9</v>
      </c>
      <c r="K237" s="7" t="s">
        <v>33</v>
      </c>
      <c r="L237" s="7" t="s">
        <v>48</v>
      </c>
      <c r="M237" s="7" t="s">
        <v>33</v>
      </c>
      <c r="N237" s="7" t="s">
        <v>10</v>
      </c>
      <c r="O237" s="7" t="s">
        <v>33</v>
      </c>
      <c r="P237" s="11" t="str">
        <f t="shared" si="6"/>
        <v>胜</v>
      </c>
      <c r="Q237" s="11" t="str">
        <f t="shared" si="7"/>
        <v>胜</v>
      </c>
    </row>
    <row r="238" spans="4:17" x14ac:dyDescent="0.15">
      <c r="D238" s="7" t="s">
        <v>6</v>
      </c>
      <c r="E238" s="7" t="s">
        <v>460</v>
      </c>
      <c r="F238" s="7" t="s">
        <v>460</v>
      </c>
      <c r="G238" s="7" t="s">
        <v>461</v>
      </c>
      <c r="H238" s="7" t="s">
        <v>42</v>
      </c>
      <c r="I238" s="7" t="s">
        <v>10</v>
      </c>
      <c r="J238" s="7" t="s">
        <v>39</v>
      </c>
      <c r="K238" s="7" t="s">
        <v>33</v>
      </c>
      <c r="L238" s="7" t="s">
        <v>32</v>
      </c>
      <c r="M238" s="7" t="s">
        <v>10</v>
      </c>
      <c r="N238" s="7" t="s">
        <v>9</v>
      </c>
      <c r="O238" s="7" t="s">
        <v>33</v>
      </c>
      <c r="P238" s="11" t="str">
        <f t="shared" si="6"/>
        <v>平</v>
      </c>
      <c r="Q238" s="11" t="str">
        <f t="shared" si="7"/>
        <v>胜</v>
      </c>
    </row>
    <row r="239" spans="4:17" x14ac:dyDescent="0.15">
      <c r="D239" s="7" t="s">
        <v>6</v>
      </c>
      <c r="E239" s="7" t="s">
        <v>462</v>
      </c>
      <c r="F239" s="7" t="s">
        <v>462</v>
      </c>
      <c r="G239" s="7" t="s">
        <v>461</v>
      </c>
      <c r="H239" s="7" t="s">
        <v>51</v>
      </c>
      <c r="I239" s="7" t="s">
        <v>10</v>
      </c>
      <c r="J239" s="7" t="s">
        <v>10</v>
      </c>
      <c r="K239" s="7" t="s">
        <v>33</v>
      </c>
      <c r="L239" s="7" t="s">
        <v>41</v>
      </c>
      <c r="M239" s="7" t="s">
        <v>33</v>
      </c>
      <c r="N239" s="7" t="s">
        <v>10</v>
      </c>
      <c r="O239" s="7" t="s">
        <v>33</v>
      </c>
      <c r="P239" s="11" t="str">
        <f t="shared" si="6"/>
        <v>胜</v>
      </c>
      <c r="Q239" s="11" t="str">
        <f t="shared" si="7"/>
        <v>平</v>
      </c>
    </row>
    <row r="240" spans="4:17" x14ac:dyDescent="0.15">
      <c r="D240" s="7" t="s">
        <v>6</v>
      </c>
      <c r="E240" s="7" t="s">
        <v>463</v>
      </c>
      <c r="F240" s="7" t="s">
        <v>463</v>
      </c>
      <c r="G240" s="7" t="s">
        <v>464</v>
      </c>
      <c r="H240" s="7" t="s">
        <v>44</v>
      </c>
      <c r="I240" s="7" t="s">
        <v>9</v>
      </c>
      <c r="J240" s="7" t="s">
        <v>9</v>
      </c>
      <c r="K240" s="7" t="s">
        <v>33</v>
      </c>
      <c r="L240" s="7" t="s">
        <v>45</v>
      </c>
      <c r="M240" s="7" t="s">
        <v>33</v>
      </c>
      <c r="N240" s="7" t="s">
        <v>10</v>
      </c>
      <c r="O240" s="7" t="s">
        <v>33</v>
      </c>
      <c r="P240" s="11" t="str">
        <f t="shared" si="6"/>
        <v>胜</v>
      </c>
      <c r="Q240" s="11" t="str">
        <f t="shared" si="7"/>
        <v>胜</v>
      </c>
    </row>
    <row r="241" spans="4:17" x14ac:dyDescent="0.15">
      <c r="D241" s="7" t="s">
        <v>6</v>
      </c>
      <c r="E241" s="7" t="s">
        <v>465</v>
      </c>
      <c r="F241" s="7" t="s">
        <v>465</v>
      </c>
      <c r="G241" s="7" t="s">
        <v>466</v>
      </c>
      <c r="H241" s="7" t="s">
        <v>53</v>
      </c>
      <c r="I241" s="7" t="s">
        <v>9</v>
      </c>
      <c r="J241" s="7" t="s">
        <v>9</v>
      </c>
      <c r="K241" s="7" t="s">
        <v>33</v>
      </c>
      <c r="L241" s="7" t="s">
        <v>38</v>
      </c>
      <c r="M241" s="7" t="s">
        <v>33</v>
      </c>
      <c r="N241" s="7" t="s">
        <v>33</v>
      </c>
      <c r="O241" s="7" t="s">
        <v>33</v>
      </c>
      <c r="P241" s="11" t="str">
        <f t="shared" si="6"/>
        <v>胜</v>
      </c>
      <c r="Q241" s="11" t="str">
        <f t="shared" si="7"/>
        <v>胜</v>
      </c>
    </row>
    <row r="242" spans="4:17" x14ac:dyDescent="0.15">
      <c r="D242" s="7" t="s">
        <v>6</v>
      </c>
      <c r="E242" s="7" t="s">
        <v>467</v>
      </c>
      <c r="F242" s="7" t="s">
        <v>467</v>
      </c>
      <c r="G242" s="7" t="s">
        <v>468</v>
      </c>
      <c r="H242" s="7" t="s">
        <v>49</v>
      </c>
      <c r="I242" s="7" t="s">
        <v>33</v>
      </c>
      <c r="J242" s="7" t="s">
        <v>10</v>
      </c>
      <c r="K242" s="7" t="s">
        <v>33</v>
      </c>
      <c r="L242" s="7" t="s">
        <v>37</v>
      </c>
      <c r="M242" s="7" t="s">
        <v>33</v>
      </c>
      <c r="N242" s="7" t="s">
        <v>9</v>
      </c>
      <c r="O242" s="7" t="s">
        <v>33</v>
      </c>
      <c r="P242" s="11" t="str">
        <f t="shared" si="6"/>
        <v>平</v>
      </c>
      <c r="Q242" s="11" t="str">
        <f t="shared" si="7"/>
        <v>负</v>
      </c>
    </row>
    <row r="243" spans="4:17" x14ac:dyDescent="0.15">
      <c r="D243" s="7" t="s">
        <v>6</v>
      </c>
      <c r="E243" s="7" t="s">
        <v>469</v>
      </c>
      <c r="F243" s="7" t="s">
        <v>469</v>
      </c>
      <c r="G243" s="7" t="s">
        <v>470</v>
      </c>
      <c r="H243" s="7" t="s">
        <v>52</v>
      </c>
      <c r="I243" s="7" t="s">
        <v>33</v>
      </c>
      <c r="J243" s="7" t="s">
        <v>33</v>
      </c>
      <c r="K243" s="7" t="s">
        <v>33</v>
      </c>
      <c r="L243" s="7" t="s">
        <v>54</v>
      </c>
      <c r="M243" s="7" t="s">
        <v>33</v>
      </c>
      <c r="N243" s="7" t="s">
        <v>10</v>
      </c>
      <c r="O243" s="7" t="s">
        <v>33</v>
      </c>
      <c r="P243" s="11" t="str">
        <f t="shared" si="6"/>
        <v>平</v>
      </c>
      <c r="Q243" s="11" t="str">
        <f t="shared" si="7"/>
        <v>负</v>
      </c>
    </row>
    <row r="244" spans="4:17" x14ac:dyDescent="0.15">
      <c r="D244" s="7" t="s">
        <v>6</v>
      </c>
      <c r="E244" s="7" t="s">
        <v>471</v>
      </c>
      <c r="F244" s="7" t="s">
        <v>471</v>
      </c>
      <c r="G244" s="7" t="s">
        <v>472</v>
      </c>
      <c r="H244" s="7" t="s">
        <v>54</v>
      </c>
      <c r="I244" s="7" t="s">
        <v>39</v>
      </c>
      <c r="J244" s="7" t="s">
        <v>39</v>
      </c>
      <c r="K244" s="7" t="s">
        <v>33</v>
      </c>
      <c r="L244" s="7" t="s">
        <v>36</v>
      </c>
      <c r="M244" s="7" t="s">
        <v>10</v>
      </c>
      <c r="N244" s="7" t="s">
        <v>39</v>
      </c>
      <c r="O244" s="7" t="s">
        <v>33</v>
      </c>
      <c r="P244" s="11" t="str">
        <f t="shared" si="6"/>
        <v>胜</v>
      </c>
      <c r="Q244" s="11" t="str">
        <f t="shared" si="7"/>
        <v>平</v>
      </c>
    </row>
    <row r="245" spans="4:17" x14ac:dyDescent="0.15">
      <c r="D245" s="7" t="s">
        <v>6</v>
      </c>
      <c r="E245" s="7" t="s">
        <v>473</v>
      </c>
      <c r="F245" s="7" t="s">
        <v>473</v>
      </c>
      <c r="G245" s="7" t="s">
        <v>474</v>
      </c>
      <c r="H245" s="7" t="s">
        <v>52</v>
      </c>
      <c r="I245" s="7" t="s">
        <v>33</v>
      </c>
      <c r="J245" s="7" t="s">
        <v>33</v>
      </c>
      <c r="K245" s="7" t="s">
        <v>33</v>
      </c>
      <c r="L245" s="7" t="s">
        <v>44</v>
      </c>
      <c r="M245" s="7" t="s">
        <v>33</v>
      </c>
      <c r="N245" s="7" t="s">
        <v>33</v>
      </c>
      <c r="O245" s="7" t="s">
        <v>33</v>
      </c>
      <c r="P245" s="11" t="str">
        <f t="shared" si="6"/>
        <v>平</v>
      </c>
      <c r="Q245" s="11" t="str">
        <f t="shared" si="7"/>
        <v>平</v>
      </c>
    </row>
    <row r="246" spans="4:17" x14ac:dyDescent="0.15">
      <c r="D246" s="7" t="s">
        <v>6</v>
      </c>
      <c r="E246" s="7" t="s">
        <v>475</v>
      </c>
      <c r="F246" s="7" t="s">
        <v>475</v>
      </c>
      <c r="G246" s="7" t="s">
        <v>476</v>
      </c>
      <c r="H246" s="7" t="s">
        <v>38</v>
      </c>
      <c r="I246" s="7" t="s">
        <v>33</v>
      </c>
      <c r="J246" s="7" t="s">
        <v>33</v>
      </c>
      <c r="K246" s="7" t="s">
        <v>33</v>
      </c>
      <c r="L246" s="7" t="s">
        <v>49</v>
      </c>
      <c r="M246" s="7" t="s">
        <v>33</v>
      </c>
      <c r="N246" s="7" t="s">
        <v>33</v>
      </c>
      <c r="O246" s="7" t="s">
        <v>33</v>
      </c>
      <c r="P246" s="11" t="str">
        <f t="shared" si="6"/>
        <v>平</v>
      </c>
      <c r="Q246" s="11" t="str">
        <f t="shared" si="7"/>
        <v>平</v>
      </c>
    </row>
    <row r="247" spans="4:17" x14ac:dyDescent="0.15">
      <c r="D247" s="7" t="s">
        <v>6</v>
      </c>
      <c r="E247" s="7" t="s">
        <v>477</v>
      </c>
      <c r="F247" s="7" t="s">
        <v>477</v>
      </c>
      <c r="G247" s="7" t="s">
        <v>478</v>
      </c>
      <c r="H247" s="7" t="s">
        <v>32</v>
      </c>
      <c r="I247" s="11" t="s">
        <v>33</v>
      </c>
      <c r="J247" s="7" t="s">
        <v>33</v>
      </c>
      <c r="K247" s="7" t="s">
        <v>33</v>
      </c>
      <c r="L247" s="7" t="s">
        <v>45</v>
      </c>
      <c r="M247" s="7" t="s">
        <v>39</v>
      </c>
      <c r="N247" s="7" t="s">
        <v>39</v>
      </c>
      <c r="O247" s="7" t="s">
        <v>33</v>
      </c>
      <c r="P247" s="11" t="str">
        <f t="shared" si="6"/>
        <v>负</v>
      </c>
      <c r="Q247" s="11" t="str">
        <f t="shared" si="7"/>
        <v>负</v>
      </c>
    </row>
    <row r="248" spans="4:17" x14ac:dyDescent="0.15">
      <c r="D248" s="7" t="s">
        <v>6</v>
      </c>
      <c r="E248" s="7" t="s">
        <v>479</v>
      </c>
      <c r="F248" s="7" t="s">
        <v>479</v>
      </c>
      <c r="G248" s="7" t="s">
        <v>480</v>
      </c>
      <c r="H248" s="7" t="s">
        <v>40</v>
      </c>
      <c r="I248" s="7" t="s">
        <v>10</v>
      </c>
      <c r="J248" s="7" t="s">
        <v>9</v>
      </c>
      <c r="K248" s="7" t="s">
        <v>33</v>
      </c>
      <c r="L248" s="7" t="s">
        <v>53</v>
      </c>
      <c r="M248" s="7" t="s">
        <v>33</v>
      </c>
      <c r="N248" s="7" t="s">
        <v>10</v>
      </c>
      <c r="O248" s="7" t="s">
        <v>33</v>
      </c>
      <c r="P248" s="11" t="str">
        <f t="shared" si="6"/>
        <v>胜</v>
      </c>
      <c r="Q248" s="11" t="str">
        <f t="shared" si="7"/>
        <v>胜</v>
      </c>
    </row>
    <row r="249" spans="4:17" x14ac:dyDescent="0.15">
      <c r="D249" s="7" t="s">
        <v>6</v>
      </c>
      <c r="E249" s="7" t="s">
        <v>481</v>
      </c>
      <c r="F249" s="7" t="s">
        <v>481</v>
      </c>
      <c r="G249" s="7" t="s">
        <v>482</v>
      </c>
      <c r="H249" s="7" t="s">
        <v>48</v>
      </c>
      <c r="I249" s="7" t="s">
        <v>10</v>
      </c>
      <c r="J249" s="7" t="s">
        <v>10</v>
      </c>
      <c r="K249" s="7" t="s">
        <v>33</v>
      </c>
      <c r="L249" s="7" t="s">
        <v>51</v>
      </c>
      <c r="M249" s="7" t="s">
        <v>33</v>
      </c>
      <c r="N249" s="7" t="s">
        <v>10</v>
      </c>
      <c r="O249" s="7" t="s">
        <v>33</v>
      </c>
      <c r="P249" s="11" t="str">
        <f t="shared" si="6"/>
        <v>胜</v>
      </c>
      <c r="Q249" s="11" t="str">
        <f t="shared" si="7"/>
        <v>平</v>
      </c>
    </row>
    <row r="250" spans="4:17" x14ac:dyDescent="0.15">
      <c r="D250" s="7" t="s">
        <v>6</v>
      </c>
      <c r="E250" s="7" t="s">
        <v>483</v>
      </c>
      <c r="F250" s="7" t="s">
        <v>483</v>
      </c>
      <c r="G250" s="7" t="s">
        <v>480</v>
      </c>
      <c r="H250" s="7" t="s">
        <v>43</v>
      </c>
      <c r="I250" s="7" t="s">
        <v>10</v>
      </c>
      <c r="J250" s="7" t="s">
        <v>10</v>
      </c>
      <c r="K250" s="7" t="s">
        <v>33</v>
      </c>
      <c r="L250" s="7" t="s">
        <v>42</v>
      </c>
      <c r="M250" s="7" t="s">
        <v>10</v>
      </c>
      <c r="N250" s="7" t="s">
        <v>10</v>
      </c>
      <c r="O250" s="7" t="s">
        <v>33</v>
      </c>
      <c r="P250" s="11" t="str">
        <f t="shared" si="6"/>
        <v>平</v>
      </c>
      <c r="Q250" s="11" t="str">
        <f t="shared" si="7"/>
        <v>平</v>
      </c>
    </row>
    <row r="251" spans="4:17" x14ac:dyDescent="0.15">
      <c r="D251" s="7" t="s">
        <v>6</v>
      </c>
      <c r="E251" s="7" t="s">
        <v>484</v>
      </c>
      <c r="F251" s="7" t="s">
        <v>484</v>
      </c>
      <c r="G251" s="7" t="s">
        <v>485</v>
      </c>
      <c r="H251" s="7" t="s">
        <v>41</v>
      </c>
      <c r="I251" s="7" t="s">
        <v>33</v>
      </c>
      <c r="J251" s="7" t="s">
        <v>33</v>
      </c>
      <c r="K251" s="7" t="s">
        <v>33</v>
      </c>
      <c r="L251" s="7" t="s">
        <v>37</v>
      </c>
      <c r="M251" s="7" t="s">
        <v>10</v>
      </c>
      <c r="N251" s="7" t="s">
        <v>9</v>
      </c>
      <c r="O251" s="7" t="s">
        <v>33</v>
      </c>
      <c r="P251" s="11" t="str">
        <f t="shared" si="6"/>
        <v>负</v>
      </c>
      <c r="Q251" s="11" t="str">
        <f t="shared" si="7"/>
        <v>负</v>
      </c>
    </row>
    <row r="252" spans="4:17" x14ac:dyDescent="0.15">
      <c r="D252" s="7" t="s">
        <v>6</v>
      </c>
      <c r="E252" s="7" t="s">
        <v>486</v>
      </c>
      <c r="F252" s="7" t="s">
        <v>486</v>
      </c>
      <c r="G252" s="7" t="s">
        <v>487</v>
      </c>
      <c r="H252" s="7" t="s">
        <v>36</v>
      </c>
      <c r="I252" s="7" t="s">
        <v>9</v>
      </c>
      <c r="J252" s="7" t="s">
        <v>39</v>
      </c>
      <c r="K252" s="7" t="s">
        <v>33</v>
      </c>
      <c r="L252" s="7" t="s">
        <v>43</v>
      </c>
      <c r="M252" s="7" t="s">
        <v>10</v>
      </c>
      <c r="N252" s="7" t="s">
        <v>10</v>
      </c>
      <c r="O252" s="7" t="s">
        <v>33</v>
      </c>
      <c r="P252" s="11" t="str">
        <f t="shared" si="6"/>
        <v>胜</v>
      </c>
      <c r="Q252" s="11" t="str">
        <f t="shared" si="7"/>
        <v>胜</v>
      </c>
    </row>
    <row r="253" spans="4:17" x14ac:dyDescent="0.15">
      <c r="D253" s="7" t="s">
        <v>6</v>
      </c>
      <c r="E253" s="7" t="s">
        <v>488</v>
      </c>
      <c r="F253" s="7" t="s">
        <v>488</v>
      </c>
      <c r="G253" s="7" t="s">
        <v>489</v>
      </c>
      <c r="H253" s="7" t="s">
        <v>37</v>
      </c>
      <c r="I253" s="7" t="s">
        <v>10</v>
      </c>
      <c r="J253" s="7" t="s">
        <v>10</v>
      </c>
      <c r="K253" s="7" t="s">
        <v>33</v>
      </c>
      <c r="L253" s="7" t="s">
        <v>38</v>
      </c>
      <c r="M253" s="7" t="s">
        <v>10</v>
      </c>
      <c r="N253" s="7" t="s">
        <v>10</v>
      </c>
      <c r="O253" s="7" t="s">
        <v>33</v>
      </c>
      <c r="P253" s="11" t="str">
        <f t="shared" si="6"/>
        <v>平</v>
      </c>
      <c r="Q253" s="11" t="str">
        <f t="shared" si="7"/>
        <v>平</v>
      </c>
    </row>
    <row r="254" spans="4:17" x14ac:dyDescent="0.15">
      <c r="D254" s="7" t="s">
        <v>6</v>
      </c>
      <c r="E254" s="7" t="s">
        <v>490</v>
      </c>
      <c r="F254" s="7" t="s">
        <v>490</v>
      </c>
      <c r="G254" s="7" t="s">
        <v>491</v>
      </c>
      <c r="H254" s="7" t="s">
        <v>42</v>
      </c>
      <c r="I254" s="7" t="s">
        <v>9</v>
      </c>
      <c r="J254" s="7" t="s">
        <v>39</v>
      </c>
      <c r="K254" s="7" t="s">
        <v>33</v>
      </c>
      <c r="L254" s="7" t="s">
        <v>40</v>
      </c>
      <c r="M254" s="7" t="s">
        <v>33</v>
      </c>
      <c r="N254" s="7" t="s">
        <v>9</v>
      </c>
      <c r="O254" s="7" t="s">
        <v>33</v>
      </c>
      <c r="P254" s="11" t="str">
        <f t="shared" si="6"/>
        <v>胜</v>
      </c>
      <c r="Q254" s="11" t="str">
        <f t="shared" si="7"/>
        <v>胜</v>
      </c>
    </row>
    <row r="255" spans="4:17" x14ac:dyDescent="0.15">
      <c r="D255" s="7" t="s">
        <v>6</v>
      </c>
      <c r="E255" s="7" t="s">
        <v>492</v>
      </c>
      <c r="F255" s="7" t="s">
        <v>492</v>
      </c>
      <c r="G255" s="7" t="s">
        <v>493</v>
      </c>
      <c r="H255" s="7" t="s">
        <v>45</v>
      </c>
      <c r="I255" s="7" t="s">
        <v>10</v>
      </c>
      <c r="J255" s="7" t="s">
        <v>39</v>
      </c>
      <c r="K255" s="7" t="s">
        <v>33</v>
      </c>
      <c r="L255" s="7" t="s">
        <v>41</v>
      </c>
      <c r="M255" s="7" t="s">
        <v>10</v>
      </c>
      <c r="N255" s="7" t="s">
        <v>10</v>
      </c>
      <c r="O255" s="7" t="s">
        <v>33</v>
      </c>
      <c r="P255" s="11" t="str">
        <f t="shared" si="6"/>
        <v>平</v>
      </c>
      <c r="Q255" s="11" t="str">
        <f t="shared" si="7"/>
        <v>胜</v>
      </c>
    </row>
    <row r="256" spans="4:17" x14ac:dyDescent="0.15">
      <c r="D256" s="7" t="s">
        <v>6</v>
      </c>
      <c r="E256" s="7" t="s">
        <v>494</v>
      </c>
      <c r="F256" s="7" t="s">
        <v>494</v>
      </c>
      <c r="G256" s="7" t="s">
        <v>495</v>
      </c>
      <c r="H256" s="7" t="s">
        <v>51</v>
      </c>
      <c r="I256" s="7" t="s">
        <v>33</v>
      </c>
      <c r="J256" s="7" t="s">
        <v>9</v>
      </c>
      <c r="K256" s="7" t="s">
        <v>33</v>
      </c>
      <c r="L256" s="7" t="s">
        <v>52</v>
      </c>
      <c r="M256" s="7" t="s">
        <v>9</v>
      </c>
      <c r="N256" s="7" t="s">
        <v>9</v>
      </c>
      <c r="O256" s="7" t="s">
        <v>33</v>
      </c>
      <c r="P256" s="11" t="str">
        <f t="shared" si="6"/>
        <v>负</v>
      </c>
      <c r="Q256" s="11" t="str">
        <f t="shared" si="7"/>
        <v>平</v>
      </c>
    </row>
    <row r="257" spans="4:17" x14ac:dyDescent="0.15">
      <c r="D257" s="7" t="s">
        <v>6</v>
      </c>
      <c r="E257" s="7" t="s">
        <v>496</v>
      </c>
      <c r="F257" s="7" t="s">
        <v>496</v>
      </c>
      <c r="G257" s="7" t="s">
        <v>495</v>
      </c>
      <c r="H257" s="7" t="s">
        <v>53</v>
      </c>
      <c r="I257" s="7" t="s">
        <v>33</v>
      </c>
      <c r="J257" s="7" t="s">
        <v>9</v>
      </c>
      <c r="K257" s="7" t="s">
        <v>33</v>
      </c>
      <c r="L257" s="7" t="s">
        <v>48</v>
      </c>
      <c r="M257" s="7" t="s">
        <v>33</v>
      </c>
      <c r="N257" s="7" t="s">
        <v>33</v>
      </c>
      <c r="O257" s="7" t="s">
        <v>33</v>
      </c>
      <c r="P257" s="11" t="str">
        <f t="shared" si="6"/>
        <v>平</v>
      </c>
      <c r="Q257" s="11" t="str">
        <f t="shared" si="7"/>
        <v>胜</v>
      </c>
    </row>
    <row r="258" spans="4:17" x14ac:dyDescent="0.15">
      <c r="D258" s="7" t="s">
        <v>6</v>
      </c>
      <c r="E258" s="7" t="s">
        <v>497</v>
      </c>
      <c r="F258" s="7" t="s">
        <v>497</v>
      </c>
      <c r="G258" s="7" t="s">
        <v>498</v>
      </c>
      <c r="H258" s="7" t="s">
        <v>49</v>
      </c>
      <c r="I258" s="7" t="s">
        <v>33</v>
      </c>
      <c r="J258" s="7" t="s">
        <v>10</v>
      </c>
      <c r="K258" s="7" t="s">
        <v>33</v>
      </c>
      <c r="L258" s="7" t="s">
        <v>32</v>
      </c>
      <c r="M258" s="7" t="s">
        <v>33</v>
      </c>
      <c r="N258" s="7" t="s">
        <v>9</v>
      </c>
      <c r="O258" s="7" t="s">
        <v>33</v>
      </c>
      <c r="P258" s="11" t="str">
        <f t="shared" si="6"/>
        <v>平</v>
      </c>
      <c r="Q258" s="11" t="str">
        <f t="shared" si="7"/>
        <v>负</v>
      </c>
    </row>
    <row r="259" spans="4:17" x14ac:dyDescent="0.15">
      <c r="D259" s="7" t="s">
        <v>6</v>
      </c>
      <c r="E259" s="7" t="s">
        <v>499</v>
      </c>
      <c r="F259" s="7" t="s">
        <v>499</v>
      </c>
      <c r="G259" s="7" t="s">
        <v>500</v>
      </c>
      <c r="H259" s="7" t="s">
        <v>44</v>
      </c>
      <c r="I259" s="7" t="s">
        <v>33</v>
      </c>
      <c r="J259" s="7" t="s">
        <v>10</v>
      </c>
      <c r="K259" s="7" t="s">
        <v>33</v>
      </c>
      <c r="L259" s="7" t="s">
        <v>54</v>
      </c>
      <c r="M259" s="7" t="s">
        <v>10</v>
      </c>
      <c r="N259" s="7" t="s">
        <v>10</v>
      </c>
      <c r="O259" s="7" t="s">
        <v>33</v>
      </c>
      <c r="P259" s="11" t="str">
        <f t="shared" si="6"/>
        <v>负</v>
      </c>
      <c r="Q259" s="11" t="str">
        <f t="shared" si="7"/>
        <v>平</v>
      </c>
    </row>
    <row r="260" spans="4:17" x14ac:dyDescent="0.15">
      <c r="D260" s="7" t="s">
        <v>6</v>
      </c>
      <c r="E260" s="7" t="s">
        <v>501</v>
      </c>
      <c r="F260" s="7" t="s">
        <v>501</v>
      </c>
      <c r="G260" s="7" t="s">
        <v>502</v>
      </c>
      <c r="H260" s="7" t="s">
        <v>40</v>
      </c>
      <c r="I260" s="7" t="s">
        <v>9</v>
      </c>
      <c r="J260" s="7" t="s">
        <v>50</v>
      </c>
      <c r="K260" s="7" t="s">
        <v>33</v>
      </c>
      <c r="L260" s="7" t="s">
        <v>45</v>
      </c>
      <c r="M260" s="7" t="s">
        <v>10</v>
      </c>
      <c r="N260" s="7" t="s">
        <v>10</v>
      </c>
      <c r="O260" s="7" t="s">
        <v>33</v>
      </c>
      <c r="P260" s="11" t="str">
        <f t="shared" si="6"/>
        <v>胜</v>
      </c>
      <c r="Q260" s="11" t="str">
        <f t="shared" si="7"/>
        <v>胜</v>
      </c>
    </row>
    <row r="261" spans="4:17" x14ac:dyDescent="0.15">
      <c r="D261" s="7" t="s">
        <v>6</v>
      </c>
      <c r="E261" s="7" t="s">
        <v>503</v>
      </c>
      <c r="F261" s="7" t="s">
        <v>503</v>
      </c>
      <c r="G261" s="7" t="s">
        <v>504</v>
      </c>
      <c r="H261" s="7" t="s">
        <v>52</v>
      </c>
      <c r="I261" s="7" t="s">
        <v>33</v>
      </c>
      <c r="J261" s="7" t="s">
        <v>10</v>
      </c>
      <c r="K261" s="7" t="s">
        <v>33</v>
      </c>
      <c r="L261" s="7" t="s">
        <v>53</v>
      </c>
      <c r="M261" s="7" t="s">
        <v>33</v>
      </c>
      <c r="N261" s="7" t="s">
        <v>10</v>
      </c>
      <c r="O261" s="7" t="s">
        <v>33</v>
      </c>
      <c r="P261" s="11" t="str">
        <f t="shared" si="6"/>
        <v>平</v>
      </c>
      <c r="Q261" s="11" t="str">
        <f t="shared" si="7"/>
        <v>平</v>
      </c>
    </row>
    <row r="262" spans="4:17" x14ac:dyDescent="0.15">
      <c r="D262" s="7" t="s">
        <v>6</v>
      </c>
      <c r="E262" s="7" t="s">
        <v>505</v>
      </c>
      <c r="F262" s="7" t="s">
        <v>505</v>
      </c>
      <c r="G262" s="7" t="s">
        <v>504</v>
      </c>
      <c r="H262" s="7" t="s">
        <v>43</v>
      </c>
      <c r="I262" s="7" t="s">
        <v>33</v>
      </c>
      <c r="J262" s="7" t="s">
        <v>50</v>
      </c>
      <c r="K262" s="7" t="s">
        <v>33</v>
      </c>
      <c r="L262" s="7" t="s">
        <v>51</v>
      </c>
      <c r="M262" s="7" t="s">
        <v>9</v>
      </c>
      <c r="N262" s="7" t="s">
        <v>9</v>
      </c>
      <c r="O262" s="7" t="s">
        <v>33</v>
      </c>
      <c r="P262" s="11" t="str">
        <f t="shared" si="6"/>
        <v>负</v>
      </c>
      <c r="Q262" s="11" t="str">
        <f t="shared" si="7"/>
        <v>胜</v>
      </c>
    </row>
    <row r="263" spans="4:17" x14ac:dyDescent="0.15">
      <c r="D263" s="7" t="s">
        <v>6</v>
      </c>
      <c r="E263" s="7" t="s">
        <v>506</v>
      </c>
      <c r="F263" s="7" t="s">
        <v>506</v>
      </c>
      <c r="G263" s="7" t="s">
        <v>507</v>
      </c>
      <c r="H263" s="7" t="s">
        <v>54</v>
      </c>
      <c r="I263" s="7" t="s">
        <v>33</v>
      </c>
      <c r="J263" s="7" t="s">
        <v>10</v>
      </c>
      <c r="K263" s="7" t="s">
        <v>33</v>
      </c>
      <c r="L263" s="7" t="s">
        <v>49</v>
      </c>
      <c r="M263" s="7" t="s">
        <v>10</v>
      </c>
      <c r="N263" s="7" t="s">
        <v>9</v>
      </c>
      <c r="O263" s="7" t="s">
        <v>33</v>
      </c>
      <c r="P263" s="11" t="str">
        <f t="shared" si="6"/>
        <v>负</v>
      </c>
      <c r="Q263" s="11" t="str">
        <f t="shared" si="7"/>
        <v>负</v>
      </c>
    </row>
    <row r="264" spans="4:17" x14ac:dyDescent="0.15">
      <c r="D264" s="7" t="s">
        <v>6</v>
      </c>
      <c r="E264" s="7" t="s">
        <v>508</v>
      </c>
      <c r="F264" s="7" t="s">
        <v>508</v>
      </c>
      <c r="G264" s="7" t="s">
        <v>509</v>
      </c>
      <c r="H264" s="7" t="s">
        <v>32</v>
      </c>
      <c r="I264" s="11" t="s">
        <v>10</v>
      </c>
      <c r="J264" s="7" t="s">
        <v>10</v>
      </c>
      <c r="K264" s="7" t="s">
        <v>33</v>
      </c>
      <c r="L264" s="7" t="s">
        <v>37</v>
      </c>
      <c r="M264" s="7" t="s">
        <v>33</v>
      </c>
      <c r="N264" s="7" t="s">
        <v>33</v>
      </c>
      <c r="O264" s="7" t="s">
        <v>33</v>
      </c>
      <c r="P264" s="11" t="str">
        <f t="shared" si="6"/>
        <v>胜</v>
      </c>
      <c r="Q264" s="11" t="str">
        <f t="shared" si="7"/>
        <v>胜</v>
      </c>
    </row>
    <row r="265" spans="4:17" x14ac:dyDescent="0.15">
      <c r="D265" s="7" t="s">
        <v>6</v>
      </c>
      <c r="E265" s="7" t="s">
        <v>510</v>
      </c>
      <c r="F265" s="7" t="s">
        <v>510</v>
      </c>
      <c r="G265" s="7" t="s">
        <v>511</v>
      </c>
      <c r="H265" s="7" t="s">
        <v>41</v>
      </c>
      <c r="I265" s="7" t="s">
        <v>33</v>
      </c>
      <c r="J265" s="7" t="s">
        <v>10</v>
      </c>
      <c r="K265" s="7" t="s">
        <v>33</v>
      </c>
      <c r="L265" s="7" t="s">
        <v>38</v>
      </c>
      <c r="M265" s="7" t="s">
        <v>9</v>
      </c>
      <c r="N265" s="7" t="s">
        <v>50</v>
      </c>
      <c r="O265" s="7" t="s">
        <v>33</v>
      </c>
      <c r="P265" s="11" t="str">
        <f t="shared" si="6"/>
        <v>负</v>
      </c>
      <c r="Q265" s="11" t="str">
        <f t="shared" si="7"/>
        <v>负</v>
      </c>
    </row>
    <row r="266" spans="4:17" x14ac:dyDescent="0.15">
      <c r="D266" s="7" t="s">
        <v>6</v>
      </c>
      <c r="E266" s="7" t="s">
        <v>512</v>
      </c>
      <c r="F266" s="7" t="s">
        <v>512</v>
      </c>
      <c r="G266" s="7" t="s">
        <v>513</v>
      </c>
      <c r="H266" s="7" t="s">
        <v>48</v>
      </c>
      <c r="I266" s="7" t="s">
        <v>9</v>
      </c>
      <c r="J266" s="7" t="s">
        <v>39</v>
      </c>
      <c r="K266" s="7" t="s">
        <v>33</v>
      </c>
      <c r="L266" s="7" t="s">
        <v>44</v>
      </c>
      <c r="M266" s="7" t="s">
        <v>10</v>
      </c>
      <c r="N266" s="7" t="s">
        <v>39</v>
      </c>
      <c r="O266" s="7" t="s">
        <v>33</v>
      </c>
      <c r="P266" s="11" t="str">
        <f t="shared" si="6"/>
        <v>胜</v>
      </c>
      <c r="Q266" s="11" t="str">
        <f t="shared" si="7"/>
        <v>平</v>
      </c>
    </row>
    <row r="267" spans="4:17" x14ac:dyDescent="0.15">
      <c r="D267" s="7" t="s">
        <v>6</v>
      </c>
      <c r="E267" s="7" t="s">
        <v>514</v>
      </c>
      <c r="F267" s="7" t="s">
        <v>514</v>
      </c>
      <c r="G267" s="7" t="s">
        <v>515</v>
      </c>
      <c r="H267" s="7" t="s">
        <v>36</v>
      </c>
      <c r="I267" s="7" t="s">
        <v>9</v>
      </c>
      <c r="J267" s="7" t="s">
        <v>50</v>
      </c>
      <c r="K267" s="7" t="s">
        <v>33</v>
      </c>
      <c r="L267" s="7" t="s">
        <v>42</v>
      </c>
      <c r="M267" s="7" t="s">
        <v>33</v>
      </c>
      <c r="N267" s="7" t="s">
        <v>10</v>
      </c>
      <c r="O267" s="7" t="s">
        <v>33</v>
      </c>
      <c r="P267" s="11" t="str">
        <f t="shared" si="6"/>
        <v>胜</v>
      </c>
      <c r="Q267" s="11" t="str">
        <f t="shared" si="7"/>
        <v>胜</v>
      </c>
    </row>
    <row r="268" spans="4:17" x14ac:dyDescent="0.15">
      <c r="D268" s="7" t="s">
        <v>6</v>
      </c>
      <c r="E268" s="7" t="s">
        <v>516</v>
      </c>
      <c r="F268" s="7" t="s">
        <v>516</v>
      </c>
      <c r="G268" s="7" t="s">
        <v>517</v>
      </c>
      <c r="H268" s="7" t="s">
        <v>51</v>
      </c>
      <c r="I268" s="7" t="s">
        <v>33</v>
      </c>
      <c r="J268" s="7" t="s">
        <v>10</v>
      </c>
      <c r="K268" s="7" t="s">
        <v>33</v>
      </c>
      <c r="L268" s="7" t="s">
        <v>32</v>
      </c>
      <c r="M268" s="7" t="s">
        <v>10</v>
      </c>
      <c r="N268" s="7" t="s">
        <v>9</v>
      </c>
      <c r="O268" s="7" t="s">
        <v>33</v>
      </c>
      <c r="P268" s="11" t="str">
        <f t="shared" si="6"/>
        <v>负</v>
      </c>
      <c r="Q268" s="11" t="str">
        <f t="shared" si="7"/>
        <v>负</v>
      </c>
    </row>
    <row r="269" spans="4:17" x14ac:dyDescent="0.15">
      <c r="D269" s="7" t="s">
        <v>6</v>
      </c>
      <c r="E269" s="7" t="s">
        <v>518</v>
      </c>
      <c r="F269" s="7" t="s">
        <v>518</v>
      </c>
      <c r="G269" s="7" t="s">
        <v>519</v>
      </c>
      <c r="H269" s="7" t="s">
        <v>37</v>
      </c>
      <c r="I269" s="7" t="s">
        <v>10</v>
      </c>
      <c r="J269" s="7" t="s">
        <v>39</v>
      </c>
      <c r="K269" s="7" t="s">
        <v>33</v>
      </c>
      <c r="L269" s="7" t="s">
        <v>54</v>
      </c>
      <c r="M269" s="7" t="s">
        <v>33</v>
      </c>
      <c r="N269" s="7" t="s">
        <v>33</v>
      </c>
      <c r="O269" s="7" t="s">
        <v>33</v>
      </c>
      <c r="P269" s="11" t="str">
        <f t="shared" ref="P269:P332" si="8">IF(I269=M269,"平",IF(I269&gt;M269,"胜","负"))</f>
        <v>胜</v>
      </c>
      <c r="Q269" s="11" t="str">
        <f t="shared" ref="Q269:Q332" si="9">IF(J269=N269,"平",IF(J269&gt;N269,"胜","负"))</f>
        <v>胜</v>
      </c>
    </row>
    <row r="270" spans="4:17" x14ac:dyDescent="0.15">
      <c r="D270" s="7" t="s">
        <v>6</v>
      </c>
      <c r="E270" s="7" t="s">
        <v>520</v>
      </c>
      <c r="F270" s="7" t="s">
        <v>520</v>
      </c>
      <c r="G270" s="7" t="s">
        <v>519</v>
      </c>
      <c r="H270" s="7" t="s">
        <v>53</v>
      </c>
      <c r="I270" s="7" t="s">
        <v>10</v>
      </c>
      <c r="J270" s="7" t="s">
        <v>9</v>
      </c>
      <c r="K270" s="7" t="s">
        <v>33</v>
      </c>
      <c r="L270" s="7" t="s">
        <v>36</v>
      </c>
      <c r="M270" s="7" t="s">
        <v>10</v>
      </c>
      <c r="N270" s="7" t="s">
        <v>10</v>
      </c>
      <c r="O270" s="7" t="s">
        <v>33</v>
      </c>
      <c r="P270" s="11" t="str">
        <f t="shared" si="8"/>
        <v>平</v>
      </c>
      <c r="Q270" s="11" t="str">
        <f t="shared" si="9"/>
        <v>胜</v>
      </c>
    </row>
    <row r="271" spans="4:17" x14ac:dyDescent="0.15">
      <c r="D271" s="7" t="s">
        <v>6</v>
      </c>
      <c r="E271" s="7" t="s">
        <v>521</v>
      </c>
      <c r="F271" s="7" t="s">
        <v>521</v>
      </c>
      <c r="G271" s="7" t="s">
        <v>522</v>
      </c>
      <c r="H271" s="7" t="s">
        <v>44</v>
      </c>
      <c r="I271" s="7" t="s">
        <v>33</v>
      </c>
      <c r="J271" s="7" t="s">
        <v>10</v>
      </c>
      <c r="K271" s="7" t="s">
        <v>33</v>
      </c>
      <c r="L271" s="7" t="s">
        <v>40</v>
      </c>
      <c r="M271" s="7" t="s">
        <v>33</v>
      </c>
      <c r="N271" s="7" t="s">
        <v>9</v>
      </c>
      <c r="O271" s="7" t="s">
        <v>33</v>
      </c>
      <c r="P271" s="11" t="str">
        <f t="shared" si="8"/>
        <v>平</v>
      </c>
      <c r="Q271" s="11" t="str">
        <f t="shared" si="9"/>
        <v>负</v>
      </c>
    </row>
    <row r="272" spans="4:17" x14ac:dyDescent="0.15">
      <c r="D272" s="7" t="s">
        <v>6</v>
      </c>
      <c r="E272" s="7" t="s">
        <v>523</v>
      </c>
      <c r="F272" s="7" t="s">
        <v>523</v>
      </c>
      <c r="G272" s="7" t="s">
        <v>524</v>
      </c>
      <c r="H272" s="7" t="s">
        <v>38</v>
      </c>
      <c r="I272" s="7" t="s">
        <v>33</v>
      </c>
      <c r="J272" s="7" t="s">
        <v>33</v>
      </c>
      <c r="K272" s="7" t="s">
        <v>33</v>
      </c>
      <c r="L272" s="7" t="s">
        <v>48</v>
      </c>
      <c r="M272" s="7" t="s">
        <v>10</v>
      </c>
      <c r="N272" s="7" t="s">
        <v>10</v>
      </c>
      <c r="O272" s="7" t="s">
        <v>33</v>
      </c>
      <c r="P272" s="11" t="str">
        <f t="shared" si="8"/>
        <v>负</v>
      </c>
      <c r="Q272" s="11" t="str">
        <f t="shared" si="9"/>
        <v>负</v>
      </c>
    </row>
    <row r="273" spans="4:17" x14ac:dyDescent="0.15">
      <c r="D273" s="7" t="s">
        <v>6</v>
      </c>
      <c r="E273" s="7" t="s">
        <v>525</v>
      </c>
      <c r="F273" s="7" t="s">
        <v>525</v>
      </c>
      <c r="G273" s="7" t="s">
        <v>526</v>
      </c>
      <c r="H273" s="7" t="s">
        <v>42</v>
      </c>
      <c r="I273" s="7" t="s">
        <v>33</v>
      </c>
      <c r="J273" s="7" t="s">
        <v>33</v>
      </c>
      <c r="K273" s="7" t="s">
        <v>33</v>
      </c>
      <c r="L273" s="7" t="s">
        <v>41</v>
      </c>
      <c r="M273" s="7" t="s">
        <v>33</v>
      </c>
      <c r="N273" s="7" t="s">
        <v>33</v>
      </c>
      <c r="O273" s="7" t="s">
        <v>33</v>
      </c>
      <c r="P273" s="11" t="str">
        <f t="shared" si="8"/>
        <v>平</v>
      </c>
      <c r="Q273" s="11" t="str">
        <f t="shared" si="9"/>
        <v>平</v>
      </c>
    </row>
    <row r="274" spans="4:17" x14ac:dyDescent="0.15">
      <c r="D274" s="7" t="s">
        <v>6</v>
      </c>
      <c r="E274" s="7" t="s">
        <v>527</v>
      </c>
      <c r="F274" s="7" t="s">
        <v>527</v>
      </c>
      <c r="G274" s="7" t="s">
        <v>528</v>
      </c>
      <c r="H274" s="7" t="s">
        <v>49</v>
      </c>
      <c r="I274" s="7" t="s">
        <v>9</v>
      </c>
      <c r="J274" s="7" t="s">
        <v>9</v>
      </c>
      <c r="K274" s="7" t="s">
        <v>33</v>
      </c>
      <c r="L274" s="7" t="s">
        <v>52</v>
      </c>
      <c r="M274" s="7" t="s">
        <v>33</v>
      </c>
      <c r="N274" s="7" t="s">
        <v>33</v>
      </c>
      <c r="O274" s="7" t="s">
        <v>33</v>
      </c>
      <c r="P274" s="11" t="str">
        <f t="shared" si="8"/>
        <v>胜</v>
      </c>
      <c r="Q274" s="11" t="str">
        <f t="shared" si="9"/>
        <v>胜</v>
      </c>
    </row>
    <row r="275" spans="4:17" x14ac:dyDescent="0.15">
      <c r="D275" s="7" t="s">
        <v>6</v>
      </c>
      <c r="E275" s="7" t="s">
        <v>529</v>
      </c>
      <c r="F275" s="7" t="s">
        <v>529</v>
      </c>
      <c r="G275" s="7" t="s">
        <v>530</v>
      </c>
      <c r="H275" s="7" t="s">
        <v>45</v>
      </c>
      <c r="I275" s="7" t="s">
        <v>39</v>
      </c>
      <c r="J275" s="7" t="s">
        <v>50</v>
      </c>
      <c r="K275" s="7" t="s">
        <v>33</v>
      </c>
      <c r="L275" s="7" t="s">
        <v>43</v>
      </c>
      <c r="M275" s="7" t="s">
        <v>33</v>
      </c>
      <c r="N275" s="7" t="s">
        <v>10</v>
      </c>
      <c r="O275" s="7" t="s">
        <v>33</v>
      </c>
      <c r="P275" s="11" t="str">
        <f t="shared" si="8"/>
        <v>胜</v>
      </c>
      <c r="Q275" s="11" t="str">
        <f t="shared" si="9"/>
        <v>胜</v>
      </c>
    </row>
    <row r="276" spans="4:17" x14ac:dyDescent="0.15">
      <c r="D276" s="7" t="s">
        <v>6</v>
      </c>
      <c r="E276" s="7" t="s">
        <v>531</v>
      </c>
      <c r="F276" s="7" t="s">
        <v>531</v>
      </c>
      <c r="G276" s="7" t="s">
        <v>532</v>
      </c>
      <c r="H276" s="7" t="s">
        <v>38</v>
      </c>
      <c r="I276" s="7" t="s">
        <v>10</v>
      </c>
      <c r="J276" s="7" t="s">
        <v>10</v>
      </c>
      <c r="K276" s="7" t="s">
        <v>33</v>
      </c>
      <c r="L276" s="7" t="s">
        <v>32</v>
      </c>
      <c r="M276" s="7" t="s">
        <v>9</v>
      </c>
      <c r="N276" s="7" t="s">
        <v>9</v>
      </c>
      <c r="O276" s="7" t="s">
        <v>33</v>
      </c>
      <c r="P276" s="11" t="str">
        <f t="shared" si="8"/>
        <v>负</v>
      </c>
      <c r="Q276" s="11" t="str">
        <f t="shared" si="9"/>
        <v>负</v>
      </c>
    </row>
    <row r="277" spans="4:17" x14ac:dyDescent="0.15">
      <c r="D277" s="7" t="s">
        <v>6</v>
      </c>
      <c r="E277" s="7" t="s">
        <v>533</v>
      </c>
      <c r="F277" s="7" t="s">
        <v>533</v>
      </c>
      <c r="G277" s="7" t="s">
        <v>534</v>
      </c>
      <c r="H277" s="7" t="s">
        <v>36</v>
      </c>
      <c r="I277" s="7" t="s">
        <v>33</v>
      </c>
      <c r="J277" s="7" t="s">
        <v>33</v>
      </c>
      <c r="K277" s="7" t="s">
        <v>33</v>
      </c>
      <c r="L277" s="7" t="s">
        <v>45</v>
      </c>
      <c r="M277" s="7" t="s">
        <v>39</v>
      </c>
      <c r="N277" s="7" t="s">
        <v>39</v>
      </c>
      <c r="O277" s="7" t="s">
        <v>33</v>
      </c>
      <c r="P277" s="11" t="str">
        <f t="shared" si="8"/>
        <v>负</v>
      </c>
      <c r="Q277" s="11" t="str">
        <f t="shared" si="9"/>
        <v>负</v>
      </c>
    </row>
    <row r="278" spans="4:17" x14ac:dyDescent="0.15">
      <c r="D278" s="7" t="s">
        <v>6</v>
      </c>
      <c r="E278" s="7" t="s">
        <v>535</v>
      </c>
      <c r="F278" s="7" t="s">
        <v>535</v>
      </c>
      <c r="G278" s="7" t="s">
        <v>536</v>
      </c>
      <c r="H278" s="7" t="s">
        <v>32</v>
      </c>
      <c r="I278" s="11" t="s">
        <v>33</v>
      </c>
      <c r="J278" s="7" t="s">
        <v>10</v>
      </c>
      <c r="K278" s="7" t="s">
        <v>33</v>
      </c>
      <c r="L278" s="7" t="s">
        <v>43</v>
      </c>
      <c r="M278" s="7" t="s">
        <v>33</v>
      </c>
      <c r="N278" s="7" t="s">
        <v>33</v>
      </c>
      <c r="O278" s="7" t="s">
        <v>33</v>
      </c>
      <c r="P278" s="11" t="str">
        <f t="shared" si="8"/>
        <v>平</v>
      </c>
      <c r="Q278" s="11" t="str">
        <f t="shared" si="9"/>
        <v>胜</v>
      </c>
    </row>
    <row r="279" spans="4:17" x14ac:dyDescent="0.15">
      <c r="D279" s="7" t="s">
        <v>6</v>
      </c>
      <c r="E279" s="7" t="s">
        <v>537</v>
      </c>
      <c r="F279" s="7" t="s">
        <v>537</v>
      </c>
      <c r="G279" s="7" t="s">
        <v>538</v>
      </c>
      <c r="H279" s="7" t="s">
        <v>41</v>
      </c>
      <c r="I279" s="7" t="s">
        <v>10</v>
      </c>
      <c r="J279" s="7" t="s">
        <v>9</v>
      </c>
      <c r="K279" s="7" t="s">
        <v>33</v>
      </c>
      <c r="L279" s="7" t="s">
        <v>51</v>
      </c>
      <c r="M279" s="7" t="s">
        <v>33</v>
      </c>
      <c r="N279" s="7" t="s">
        <v>9</v>
      </c>
      <c r="O279" s="7" t="s">
        <v>33</v>
      </c>
      <c r="P279" s="11" t="str">
        <f t="shared" si="8"/>
        <v>胜</v>
      </c>
      <c r="Q279" s="11" t="str">
        <f t="shared" si="9"/>
        <v>平</v>
      </c>
    </row>
    <row r="280" spans="4:17" x14ac:dyDescent="0.15">
      <c r="D280" s="7" t="s">
        <v>6</v>
      </c>
      <c r="E280" s="7" t="s">
        <v>539</v>
      </c>
      <c r="F280" s="7" t="s">
        <v>539</v>
      </c>
      <c r="G280" s="7" t="s">
        <v>540</v>
      </c>
      <c r="H280" s="7" t="s">
        <v>54</v>
      </c>
      <c r="I280" s="7" t="s">
        <v>9</v>
      </c>
      <c r="J280" s="7" t="s">
        <v>39</v>
      </c>
      <c r="K280" s="7" t="s">
        <v>33</v>
      </c>
      <c r="L280" s="7" t="s">
        <v>53</v>
      </c>
      <c r="M280" s="7" t="s">
        <v>10</v>
      </c>
      <c r="N280" s="7" t="s">
        <v>9</v>
      </c>
      <c r="O280" s="7" t="s">
        <v>33</v>
      </c>
      <c r="P280" s="11" t="str">
        <f t="shared" si="8"/>
        <v>胜</v>
      </c>
      <c r="Q280" s="11" t="str">
        <f t="shared" si="9"/>
        <v>胜</v>
      </c>
    </row>
    <row r="281" spans="4:17" x14ac:dyDescent="0.15">
      <c r="D281" s="7" t="s">
        <v>6</v>
      </c>
      <c r="E281" s="7" t="s">
        <v>541</v>
      </c>
      <c r="F281" s="7" t="s">
        <v>541</v>
      </c>
      <c r="G281" s="7" t="s">
        <v>542</v>
      </c>
      <c r="H281" s="7" t="s">
        <v>52</v>
      </c>
      <c r="I281" s="7" t="s">
        <v>33</v>
      </c>
      <c r="J281" s="7" t="s">
        <v>10</v>
      </c>
      <c r="K281" s="7" t="s">
        <v>33</v>
      </c>
      <c r="L281" s="7" t="s">
        <v>37</v>
      </c>
      <c r="M281" s="7" t="s">
        <v>9</v>
      </c>
      <c r="N281" s="7" t="s">
        <v>9</v>
      </c>
      <c r="O281" s="7" t="s">
        <v>33</v>
      </c>
      <c r="P281" s="11" t="str">
        <f t="shared" si="8"/>
        <v>负</v>
      </c>
      <c r="Q281" s="11" t="str">
        <f t="shared" si="9"/>
        <v>负</v>
      </c>
    </row>
    <row r="282" spans="4:17" x14ac:dyDescent="0.15">
      <c r="D282" s="7" t="s">
        <v>6</v>
      </c>
      <c r="E282" s="7" t="s">
        <v>543</v>
      </c>
      <c r="F282" s="7" t="s">
        <v>543</v>
      </c>
      <c r="G282" s="7" t="s">
        <v>544</v>
      </c>
      <c r="H282" s="7" t="s">
        <v>49</v>
      </c>
      <c r="I282" s="7" t="s">
        <v>33</v>
      </c>
      <c r="J282" s="7" t="s">
        <v>9</v>
      </c>
      <c r="K282" s="7" t="s">
        <v>33</v>
      </c>
      <c r="L282" s="7" t="s">
        <v>44</v>
      </c>
      <c r="M282" s="7" t="s">
        <v>33</v>
      </c>
      <c r="N282" s="7" t="s">
        <v>33</v>
      </c>
      <c r="O282" s="7" t="s">
        <v>33</v>
      </c>
      <c r="P282" s="11" t="str">
        <f t="shared" si="8"/>
        <v>平</v>
      </c>
      <c r="Q282" s="11" t="str">
        <f t="shared" si="9"/>
        <v>胜</v>
      </c>
    </row>
    <row r="283" spans="4:17" x14ac:dyDescent="0.15">
      <c r="D283" s="7" t="s">
        <v>6</v>
      </c>
      <c r="E283" s="7" t="s">
        <v>545</v>
      </c>
      <c r="F283" s="7" t="s">
        <v>545</v>
      </c>
      <c r="G283" s="7" t="s">
        <v>546</v>
      </c>
      <c r="H283" s="7" t="s">
        <v>45</v>
      </c>
      <c r="I283" s="7" t="s">
        <v>33</v>
      </c>
      <c r="J283" s="7" t="s">
        <v>33</v>
      </c>
      <c r="K283" s="7" t="s">
        <v>33</v>
      </c>
      <c r="L283" s="7" t="s">
        <v>48</v>
      </c>
      <c r="M283" s="7" t="s">
        <v>33</v>
      </c>
      <c r="N283" s="7" t="s">
        <v>10</v>
      </c>
      <c r="O283" s="7" t="s">
        <v>33</v>
      </c>
      <c r="P283" s="11" t="str">
        <f t="shared" si="8"/>
        <v>平</v>
      </c>
      <c r="Q283" s="11" t="str">
        <f t="shared" si="9"/>
        <v>负</v>
      </c>
    </row>
    <row r="284" spans="4:17" x14ac:dyDescent="0.15">
      <c r="D284" s="7" t="s">
        <v>6</v>
      </c>
      <c r="E284" s="7" t="s">
        <v>547</v>
      </c>
      <c r="F284" s="7" t="s">
        <v>547</v>
      </c>
      <c r="G284" s="7" t="s">
        <v>548</v>
      </c>
      <c r="H284" s="7" t="s">
        <v>42</v>
      </c>
      <c r="I284" s="7" t="s">
        <v>10</v>
      </c>
      <c r="J284" s="7" t="s">
        <v>9</v>
      </c>
      <c r="K284" s="7" t="s">
        <v>33</v>
      </c>
      <c r="L284" s="7" t="s">
        <v>49</v>
      </c>
      <c r="M284" s="7" t="s">
        <v>33</v>
      </c>
      <c r="N284" s="7" t="s">
        <v>33</v>
      </c>
      <c r="O284" s="7" t="s">
        <v>33</v>
      </c>
      <c r="P284" s="11" t="str">
        <f t="shared" si="8"/>
        <v>胜</v>
      </c>
      <c r="Q284" s="11" t="str">
        <f t="shared" si="9"/>
        <v>胜</v>
      </c>
    </row>
    <row r="285" spans="4:17" x14ac:dyDescent="0.15">
      <c r="D285" s="7" t="s">
        <v>6</v>
      </c>
      <c r="E285" s="7" t="s">
        <v>549</v>
      </c>
      <c r="F285" s="7" t="s">
        <v>549</v>
      </c>
      <c r="G285" s="7" t="s">
        <v>550</v>
      </c>
      <c r="H285" s="7" t="s">
        <v>53</v>
      </c>
      <c r="I285" s="7" t="s">
        <v>33</v>
      </c>
      <c r="J285" s="7" t="s">
        <v>33</v>
      </c>
      <c r="K285" s="7" t="s">
        <v>33</v>
      </c>
      <c r="L285" s="7" t="s">
        <v>40</v>
      </c>
      <c r="M285" s="7" t="s">
        <v>9</v>
      </c>
      <c r="N285" s="7" t="s">
        <v>55</v>
      </c>
      <c r="O285" s="7" t="s">
        <v>33</v>
      </c>
      <c r="P285" s="11" t="str">
        <f t="shared" si="8"/>
        <v>负</v>
      </c>
      <c r="Q285" s="11" t="str">
        <f t="shared" si="9"/>
        <v>负</v>
      </c>
    </row>
    <row r="286" spans="4:17" x14ac:dyDescent="0.15">
      <c r="D286" s="7" t="s">
        <v>6</v>
      </c>
      <c r="E286" s="7" t="s">
        <v>551</v>
      </c>
      <c r="F286" s="7" t="s">
        <v>551</v>
      </c>
      <c r="G286" s="7" t="s">
        <v>552</v>
      </c>
      <c r="H286" s="7" t="s">
        <v>43</v>
      </c>
      <c r="I286" s="7" t="s">
        <v>33</v>
      </c>
      <c r="J286" s="7" t="s">
        <v>9</v>
      </c>
      <c r="K286" s="7" t="s">
        <v>33</v>
      </c>
      <c r="L286" s="7" t="s">
        <v>36</v>
      </c>
      <c r="M286" s="7" t="s">
        <v>33</v>
      </c>
      <c r="N286" s="7" t="s">
        <v>33</v>
      </c>
      <c r="O286" s="7" t="s">
        <v>33</v>
      </c>
      <c r="P286" s="11" t="str">
        <f t="shared" si="8"/>
        <v>平</v>
      </c>
      <c r="Q286" s="11" t="str">
        <f t="shared" si="9"/>
        <v>胜</v>
      </c>
    </row>
    <row r="287" spans="4:17" x14ac:dyDescent="0.15">
      <c r="D287" s="7" t="s">
        <v>6</v>
      </c>
      <c r="E287" s="7" t="s">
        <v>553</v>
      </c>
      <c r="F287" s="7" t="s">
        <v>553</v>
      </c>
      <c r="G287" s="7" t="s">
        <v>550</v>
      </c>
      <c r="H287" s="7" t="s">
        <v>44</v>
      </c>
      <c r="I287" s="7" t="s">
        <v>39</v>
      </c>
      <c r="J287" s="7" t="s">
        <v>39</v>
      </c>
      <c r="K287" s="7" t="s">
        <v>33</v>
      </c>
      <c r="L287" s="7" t="s">
        <v>52</v>
      </c>
      <c r="M287" s="7" t="s">
        <v>10</v>
      </c>
      <c r="N287" s="7" t="s">
        <v>9</v>
      </c>
      <c r="O287" s="7" t="s">
        <v>33</v>
      </c>
      <c r="P287" s="11" t="str">
        <f t="shared" si="8"/>
        <v>胜</v>
      </c>
      <c r="Q287" s="11" t="str">
        <f t="shared" si="9"/>
        <v>胜</v>
      </c>
    </row>
    <row r="288" spans="4:17" x14ac:dyDescent="0.15">
      <c r="D288" s="7" t="s">
        <v>6</v>
      </c>
      <c r="E288" s="7" t="s">
        <v>554</v>
      </c>
      <c r="F288" s="7" t="s">
        <v>554</v>
      </c>
      <c r="G288" s="7" t="s">
        <v>555</v>
      </c>
      <c r="H288" s="7" t="s">
        <v>37</v>
      </c>
      <c r="I288" s="7" t="s">
        <v>33</v>
      </c>
      <c r="J288" s="7" t="s">
        <v>39</v>
      </c>
      <c r="K288" s="7" t="s">
        <v>33</v>
      </c>
      <c r="L288" s="7" t="s">
        <v>41</v>
      </c>
      <c r="M288" s="7" t="s">
        <v>10</v>
      </c>
      <c r="N288" s="7" t="s">
        <v>9</v>
      </c>
      <c r="O288" s="7" t="s">
        <v>33</v>
      </c>
      <c r="P288" s="11" t="str">
        <f t="shared" si="8"/>
        <v>负</v>
      </c>
      <c r="Q288" s="11" t="str">
        <f t="shared" si="9"/>
        <v>胜</v>
      </c>
    </row>
    <row r="289" spans="4:17" x14ac:dyDescent="0.15">
      <c r="D289" s="7" t="s">
        <v>6</v>
      </c>
      <c r="E289" s="7" t="s">
        <v>556</v>
      </c>
      <c r="F289" s="7" t="s">
        <v>556</v>
      </c>
      <c r="G289" s="7" t="s">
        <v>557</v>
      </c>
      <c r="H289" s="7" t="s">
        <v>51</v>
      </c>
      <c r="I289" s="7" t="s">
        <v>10</v>
      </c>
      <c r="J289" s="7" t="s">
        <v>39</v>
      </c>
      <c r="K289" s="7" t="s">
        <v>33</v>
      </c>
      <c r="L289" s="7" t="s">
        <v>54</v>
      </c>
      <c r="M289" s="7" t="s">
        <v>39</v>
      </c>
      <c r="N289" s="7" t="s">
        <v>55</v>
      </c>
      <c r="O289" s="7" t="s">
        <v>33</v>
      </c>
      <c r="P289" s="11" t="str">
        <f t="shared" si="8"/>
        <v>负</v>
      </c>
      <c r="Q289" s="11" t="str">
        <f t="shared" si="9"/>
        <v>负</v>
      </c>
    </row>
    <row r="290" spans="4:17" x14ac:dyDescent="0.15">
      <c r="D290" s="7" t="s">
        <v>6</v>
      </c>
      <c r="E290" s="7" t="s">
        <v>558</v>
      </c>
      <c r="F290" s="7" t="s">
        <v>558</v>
      </c>
      <c r="G290" s="7" t="s">
        <v>559</v>
      </c>
      <c r="H290" s="7" t="s">
        <v>41</v>
      </c>
      <c r="I290" s="7" t="s">
        <v>33</v>
      </c>
      <c r="J290" s="7" t="s">
        <v>33</v>
      </c>
      <c r="K290" s="7" t="s">
        <v>33</v>
      </c>
      <c r="L290" s="7" t="s">
        <v>45</v>
      </c>
      <c r="M290" s="7" t="s">
        <v>10</v>
      </c>
      <c r="N290" s="7" t="s">
        <v>9</v>
      </c>
      <c r="O290" s="7" t="s">
        <v>33</v>
      </c>
      <c r="P290" s="11" t="str">
        <f t="shared" si="8"/>
        <v>负</v>
      </c>
      <c r="Q290" s="11" t="str">
        <f t="shared" si="9"/>
        <v>负</v>
      </c>
    </row>
    <row r="291" spans="4:17" x14ac:dyDescent="0.15">
      <c r="D291" s="7" t="s">
        <v>6</v>
      </c>
      <c r="E291" s="7" t="s">
        <v>560</v>
      </c>
      <c r="F291" s="7" t="s">
        <v>560</v>
      </c>
      <c r="G291" s="7" t="s">
        <v>561</v>
      </c>
      <c r="H291" s="7" t="s">
        <v>32</v>
      </c>
      <c r="I291" s="11" t="s">
        <v>9</v>
      </c>
      <c r="J291" s="7" t="s">
        <v>47</v>
      </c>
      <c r="K291" s="7" t="s">
        <v>33</v>
      </c>
      <c r="L291" s="7" t="s">
        <v>36</v>
      </c>
      <c r="M291" s="7" t="s">
        <v>10</v>
      </c>
      <c r="N291" s="7" t="s">
        <v>10</v>
      </c>
      <c r="O291" s="7" t="s">
        <v>33</v>
      </c>
      <c r="P291" s="11" t="str">
        <f t="shared" si="8"/>
        <v>胜</v>
      </c>
      <c r="Q291" s="11" t="str">
        <f t="shared" si="9"/>
        <v>胜</v>
      </c>
    </row>
    <row r="292" spans="4:17" x14ac:dyDescent="0.15">
      <c r="D292" s="7" t="s">
        <v>6</v>
      </c>
      <c r="E292" s="7" t="s">
        <v>562</v>
      </c>
      <c r="F292" s="7" t="s">
        <v>562</v>
      </c>
      <c r="G292" s="7" t="s">
        <v>563</v>
      </c>
      <c r="H292" s="7" t="s">
        <v>48</v>
      </c>
      <c r="I292" s="7" t="s">
        <v>9</v>
      </c>
      <c r="J292" s="7" t="s">
        <v>39</v>
      </c>
      <c r="K292" s="7" t="s">
        <v>33</v>
      </c>
      <c r="L292" s="7" t="s">
        <v>43</v>
      </c>
      <c r="M292" s="7" t="s">
        <v>33</v>
      </c>
      <c r="N292" s="7" t="s">
        <v>10</v>
      </c>
      <c r="O292" s="7" t="s">
        <v>33</v>
      </c>
      <c r="P292" s="11" t="str">
        <f t="shared" si="8"/>
        <v>胜</v>
      </c>
      <c r="Q292" s="11" t="str">
        <f t="shared" si="9"/>
        <v>胜</v>
      </c>
    </row>
    <row r="293" spans="4:17" x14ac:dyDescent="0.15">
      <c r="D293" s="7" t="s">
        <v>6</v>
      </c>
      <c r="E293" s="7" t="s">
        <v>564</v>
      </c>
      <c r="F293" s="7" t="s">
        <v>564</v>
      </c>
      <c r="G293" s="7" t="s">
        <v>565</v>
      </c>
      <c r="H293" s="7" t="s">
        <v>40</v>
      </c>
      <c r="I293" s="7" t="s">
        <v>33</v>
      </c>
      <c r="J293" s="7" t="s">
        <v>33</v>
      </c>
      <c r="K293" s="7" t="s">
        <v>33</v>
      </c>
      <c r="L293" s="7" t="s">
        <v>42</v>
      </c>
      <c r="M293" s="7" t="s">
        <v>33</v>
      </c>
      <c r="N293" s="7" t="s">
        <v>9</v>
      </c>
      <c r="O293" s="7" t="s">
        <v>33</v>
      </c>
      <c r="P293" s="11" t="str">
        <f t="shared" si="8"/>
        <v>平</v>
      </c>
      <c r="Q293" s="11" t="str">
        <f t="shared" si="9"/>
        <v>负</v>
      </c>
    </row>
    <row r="294" spans="4:17" x14ac:dyDescent="0.15">
      <c r="D294" s="7" t="s">
        <v>6</v>
      </c>
      <c r="E294" s="7" t="s">
        <v>566</v>
      </c>
      <c r="F294" s="7" t="s">
        <v>566</v>
      </c>
      <c r="G294" s="7" t="s">
        <v>567</v>
      </c>
      <c r="H294" s="7" t="s">
        <v>54</v>
      </c>
      <c r="I294" s="7" t="s">
        <v>33</v>
      </c>
      <c r="J294" s="7" t="s">
        <v>9</v>
      </c>
      <c r="K294" s="7" t="s">
        <v>33</v>
      </c>
      <c r="L294" s="7" t="s">
        <v>38</v>
      </c>
      <c r="M294" s="7" t="s">
        <v>9</v>
      </c>
      <c r="N294" s="7" t="s">
        <v>9</v>
      </c>
      <c r="O294" s="7" t="s">
        <v>33</v>
      </c>
      <c r="P294" s="11" t="str">
        <f t="shared" si="8"/>
        <v>负</v>
      </c>
      <c r="Q294" s="11" t="str">
        <f t="shared" si="9"/>
        <v>平</v>
      </c>
    </row>
    <row r="295" spans="4:17" x14ac:dyDescent="0.15">
      <c r="D295" s="7" t="s">
        <v>6</v>
      </c>
      <c r="E295" s="7" t="s">
        <v>568</v>
      </c>
      <c r="F295" s="7" t="s">
        <v>568</v>
      </c>
      <c r="G295" s="7" t="s">
        <v>561</v>
      </c>
      <c r="H295" s="7" t="s">
        <v>44</v>
      </c>
      <c r="I295" s="7" t="s">
        <v>33</v>
      </c>
      <c r="J295" s="7" t="s">
        <v>33</v>
      </c>
      <c r="K295" s="7" t="s">
        <v>33</v>
      </c>
      <c r="L295" s="7" t="s">
        <v>37</v>
      </c>
      <c r="M295" s="7" t="s">
        <v>9</v>
      </c>
      <c r="N295" s="7" t="s">
        <v>47</v>
      </c>
      <c r="O295" s="7" t="s">
        <v>33</v>
      </c>
      <c r="P295" s="11" t="str">
        <f t="shared" si="8"/>
        <v>负</v>
      </c>
      <c r="Q295" s="11" t="str">
        <f t="shared" si="9"/>
        <v>负</v>
      </c>
    </row>
    <row r="296" spans="4:17" x14ac:dyDescent="0.15">
      <c r="D296" s="7" t="s">
        <v>6</v>
      </c>
      <c r="E296" s="7" t="s">
        <v>569</v>
      </c>
      <c r="F296" s="7" t="s">
        <v>569</v>
      </c>
      <c r="G296" s="7" t="s">
        <v>570</v>
      </c>
      <c r="H296" s="7" t="s">
        <v>52</v>
      </c>
      <c r="I296" s="7" t="s">
        <v>10</v>
      </c>
      <c r="J296" s="7" t="s">
        <v>9</v>
      </c>
      <c r="K296" s="7" t="s">
        <v>33</v>
      </c>
      <c r="L296" s="7" t="s">
        <v>51</v>
      </c>
      <c r="M296" s="7" t="s">
        <v>10</v>
      </c>
      <c r="N296" s="7" t="s">
        <v>10</v>
      </c>
      <c r="O296" s="7" t="s">
        <v>33</v>
      </c>
      <c r="P296" s="11" t="str">
        <f t="shared" si="8"/>
        <v>平</v>
      </c>
      <c r="Q296" s="11" t="str">
        <f t="shared" si="9"/>
        <v>胜</v>
      </c>
    </row>
    <row r="297" spans="4:17" x14ac:dyDescent="0.15">
      <c r="D297" s="7" t="s">
        <v>6</v>
      </c>
      <c r="E297" s="7" t="s">
        <v>571</v>
      </c>
      <c r="F297" s="7" t="s">
        <v>571</v>
      </c>
      <c r="G297" s="7" t="s">
        <v>572</v>
      </c>
      <c r="H297" s="7" t="s">
        <v>49</v>
      </c>
      <c r="I297" s="7" t="s">
        <v>10</v>
      </c>
      <c r="J297" s="7" t="s">
        <v>10</v>
      </c>
      <c r="K297" s="7" t="s">
        <v>33</v>
      </c>
      <c r="L297" s="7" t="s">
        <v>53</v>
      </c>
      <c r="M297" s="7" t="s">
        <v>33</v>
      </c>
      <c r="N297" s="7" t="s">
        <v>33</v>
      </c>
      <c r="O297" s="7" t="s">
        <v>33</v>
      </c>
      <c r="P297" s="11" t="str">
        <f t="shared" si="8"/>
        <v>胜</v>
      </c>
      <c r="Q297" s="11" t="str">
        <f t="shared" si="9"/>
        <v>胜</v>
      </c>
    </row>
    <row r="298" spans="4:17" x14ac:dyDescent="0.15">
      <c r="D298" s="7" t="s">
        <v>6</v>
      </c>
      <c r="E298" s="7" t="s">
        <v>573</v>
      </c>
      <c r="F298" s="7" t="s">
        <v>573</v>
      </c>
      <c r="G298" s="7" t="s">
        <v>574</v>
      </c>
      <c r="H298" s="7" t="s">
        <v>53</v>
      </c>
      <c r="I298" s="7" t="s">
        <v>33</v>
      </c>
      <c r="J298" s="7" t="s">
        <v>10</v>
      </c>
      <c r="K298" s="7" t="s">
        <v>33</v>
      </c>
      <c r="L298" s="7" t="s">
        <v>52</v>
      </c>
      <c r="M298" s="7" t="s">
        <v>10</v>
      </c>
      <c r="N298" s="7" t="s">
        <v>10</v>
      </c>
      <c r="O298" s="7" t="s">
        <v>33</v>
      </c>
      <c r="P298" s="11" t="str">
        <f t="shared" si="8"/>
        <v>负</v>
      </c>
      <c r="Q298" s="11" t="str">
        <f t="shared" si="9"/>
        <v>平</v>
      </c>
    </row>
    <row r="299" spans="4:17" x14ac:dyDescent="0.15">
      <c r="D299" s="7" t="s">
        <v>6</v>
      </c>
      <c r="E299" s="7" t="s">
        <v>575</v>
      </c>
      <c r="F299" s="7" t="s">
        <v>575</v>
      </c>
      <c r="G299" s="7" t="s">
        <v>576</v>
      </c>
      <c r="H299" s="7" t="s">
        <v>38</v>
      </c>
      <c r="I299" s="7" t="s">
        <v>33</v>
      </c>
      <c r="J299" s="7" t="s">
        <v>33</v>
      </c>
      <c r="K299" s="7" t="s">
        <v>33</v>
      </c>
      <c r="L299" s="7" t="s">
        <v>41</v>
      </c>
      <c r="M299" s="7" t="s">
        <v>33</v>
      </c>
      <c r="N299" s="7" t="s">
        <v>33</v>
      </c>
      <c r="O299" s="7" t="s">
        <v>33</v>
      </c>
      <c r="P299" s="11" t="str">
        <f t="shared" si="8"/>
        <v>平</v>
      </c>
      <c r="Q299" s="11" t="str">
        <f t="shared" si="9"/>
        <v>平</v>
      </c>
    </row>
    <row r="300" spans="4:17" x14ac:dyDescent="0.15">
      <c r="D300" s="7" t="s">
        <v>6</v>
      </c>
      <c r="E300" s="7" t="s">
        <v>577</v>
      </c>
      <c r="F300" s="7" t="s">
        <v>577</v>
      </c>
      <c r="G300" s="7" t="s">
        <v>578</v>
      </c>
      <c r="H300" s="7" t="s">
        <v>36</v>
      </c>
      <c r="I300" s="7" t="s">
        <v>33</v>
      </c>
      <c r="J300" s="7" t="s">
        <v>33</v>
      </c>
      <c r="K300" s="7" t="s">
        <v>33</v>
      </c>
      <c r="L300" s="7" t="s">
        <v>54</v>
      </c>
      <c r="M300" s="7" t="s">
        <v>39</v>
      </c>
      <c r="N300" s="7" t="s">
        <v>50</v>
      </c>
      <c r="O300" s="7" t="s">
        <v>33</v>
      </c>
      <c r="P300" s="11" t="str">
        <f t="shared" si="8"/>
        <v>负</v>
      </c>
      <c r="Q300" s="11" t="str">
        <f t="shared" si="9"/>
        <v>负</v>
      </c>
    </row>
    <row r="301" spans="4:17" x14ac:dyDescent="0.15">
      <c r="D301" s="7" t="s">
        <v>6</v>
      </c>
      <c r="E301" s="7" t="s">
        <v>579</v>
      </c>
      <c r="F301" s="7" t="s">
        <v>579</v>
      </c>
      <c r="G301" s="7" t="s">
        <v>574</v>
      </c>
      <c r="H301" s="7" t="s">
        <v>51</v>
      </c>
      <c r="I301" s="7" t="s">
        <v>33</v>
      </c>
      <c r="J301" s="7" t="s">
        <v>9</v>
      </c>
      <c r="K301" s="7" t="s">
        <v>33</v>
      </c>
      <c r="L301" s="7" t="s">
        <v>48</v>
      </c>
      <c r="M301" s="7" t="s">
        <v>10</v>
      </c>
      <c r="N301" s="7" t="s">
        <v>10</v>
      </c>
      <c r="O301" s="7" t="s">
        <v>33</v>
      </c>
      <c r="P301" s="11" t="str">
        <f t="shared" si="8"/>
        <v>负</v>
      </c>
      <c r="Q301" s="11" t="str">
        <f t="shared" si="9"/>
        <v>胜</v>
      </c>
    </row>
    <row r="302" spans="4:17" x14ac:dyDescent="0.15">
      <c r="D302" s="7" t="s">
        <v>6</v>
      </c>
      <c r="E302" s="7" t="s">
        <v>580</v>
      </c>
      <c r="F302" s="7" t="s">
        <v>580</v>
      </c>
      <c r="G302" s="7" t="s">
        <v>581</v>
      </c>
      <c r="H302" s="7" t="s">
        <v>45</v>
      </c>
      <c r="I302" s="7" t="s">
        <v>33</v>
      </c>
      <c r="J302" s="7" t="s">
        <v>9</v>
      </c>
      <c r="K302" s="7" t="s">
        <v>33</v>
      </c>
      <c r="L302" s="7" t="s">
        <v>32</v>
      </c>
      <c r="M302" s="7" t="s">
        <v>33</v>
      </c>
      <c r="N302" s="7" t="s">
        <v>10</v>
      </c>
      <c r="O302" s="7" t="s">
        <v>33</v>
      </c>
      <c r="P302" s="11" t="str">
        <f t="shared" si="8"/>
        <v>平</v>
      </c>
      <c r="Q302" s="11" t="str">
        <f t="shared" si="9"/>
        <v>胜</v>
      </c>
    </row>
    <row r="303" spans="4:17" x14ac:dyDescent="0.15">
      <c r="D303" s="7" t="s">
        <v>6</v>
      </c>
      <c r="E303" s="7" t="s">
        <v>582</v>
      </c>
      <c r="F303" s="7" t="s">
        <v>582</v>
      </c>
      <c r="G303" s="7" t="s">
        <v>583</v>
      </c>
      <c r="H303" s="7" t="s">
        <v>43</v>
      </c>
      <c r="I303" s="7" t="s">
        <v>10</v>
      </c>
      <c r="J303" s="7" t="s">
        <v>9</v>
      </c>
      <c r="K303" s="7" t="s">
        <v>33</v>
      </c>
      <c r="L303" s="7" t="s">
        <v>40</v>
      </c>
      <c r="M303" s="7" t="s">
        <v>33</v>
      </c>
      <c r="N303" s="7" t="s">
        <v>10</v>
      </c>
      <c r="O303" s="7" t="s">
        <v>33</v>
      </c>
      <c r="P303" s="11" t="str">
        <f t="shared" si="8"/>
        <v>胜</v>
      </c>
      <c r="Q303" s="11" t="str">
        <f t="shared" si="9"/>
        <v>胜</v>
      </c>
    </row>
    <row r="304" spans="4:17" x14ac:dyDescent="0.15">
      <c r="D304" s="7" t="s">
        <v>6</v>
      </c>
      <c r="E304" s="7" t="s">
        <v>584</v>
      </c>
      <c r="F304" s="7" t="s">
        <v>584</v>
      </c>
      <c r="G304" s="7" t="s">
        <v>574</v>
      </c>
      <c r="H304" s="7" t="s">
        <v>37</v>
      </c>
      <c r="I304" s="7" t="s">
        <v>33</v>
      </c>
      <c r="J304" s="7" t="s">
        <v>9</v>
      </c>
      <c r="K304" s="7" t="s">
        <v>33</v>
      </c>
      <c r="L304" s="7" t="s">
        <v>49</v>
      </c>
      <c r="M304" s="7" t="s">
        <v>33</v>
      </c>
      <c r="N304" s="7" t="s">
        <v>33</v>
      </c>
      <c r="O304" s="7" t="s">
        <v>33</v>
      </c>
      <c r="P304" s="11" t="str">
        <f t="shared" si="8"/>
        <v>平</v>
      </c>
      <c r="Q304" s="11" t="str">
        <f t="shared" si="9"/>
        <v>胜</v>
      </c>
    </row>
    <row r="305" spans="4:17" x14ac:dyDescent="0.15">
      <c r="D305" s="7" t="s">
        <v>6</v>
      </c>
      <c r="E305" s="7" t="s">
        <v>585</v>
      </c>
      <c r="F305" s="7" t="s">
        <v>585</v>
      </c>
      <c r="G305" s="7" t="s">
        <v>586</v>
      </c>
      <c r="H305" s="7" t="s">
        <v>42</v>
      </c>
      <c r="I305" s="7" t="s">
        <v>33</v>
      </c>
      <c r="J305" s="7" t="s">
        <v>39</v>
      </c>
      <c r="K305" s="7" t="s">
        <v>33</v>
      </c>
      <c r="L305" s="7" t="s">
        <v>44</v>
      </c>
      <c r="M305" s="7" t="s">
        <v>9</v>
      </c>
      <c r="N305" s="7" t="s">
        <v>9</v>
      </c>
      <c r="O305" s="7" t="s">
        <v>33</v>
      </c>
      <c r="P305" s="11" t="str">
        <f t="shared" si="8"/>
        <v>负</v>
      </c>
      <c r="Q305" s="11" t="str">
        <f t="shared" si="9"/>
        <v>胜</v>
      </c>
    </row>
    <row r="306" spans="4:17" x14ac:dyDescent="0.15">
      <c r="D306" s="7" t="s">
        <v>6</v>
      </c>
      <c r="E306" s="7" t="s">
        <v>587</v>
      </c>
      <c r="F306" s="7" t="s">
        <v>587</v>
      </c>
      <c r="G306" s="7" t="s">
        <v>588</v>
      </c>
      <c r="H306" s="7" t="s">
        <v>54</v>
      </c>
      <c r="I306" s="7" t="s">
        <v>10</v>
      </c>
      <c r="J306" s="7" t="s">
        <v>10</v>
      </c>
      <c r="K306" s="7" t="s">
        <v>33</v>
      </c>
      <c r="L306" s="7" t="s">
        <v>45</v>
      </c>
      <c r="M306" s="7" t="s">
        <v>33</v>
      </c>
      <c r="N306" s="7" t="s">
        <v>33</v>
      </c>
      <c r="O306" s="7" t="s">
        <v>33</v>
      </c>
      <c r="P306" s="11" t="str">
        <f t="shared" si="8"/>
        <v>胜</v>
      </c>
      <c r="Q306" s="11" t="str">
        <f t="shared" si="9"/>
        <v>胜</v>
      </c>
    </row>
    <row r="307" spans="4:17" x14ac:dyDescent="0.15">
      <c r="D307" s="7" t="s">
        <v>6</v>
      </c>
      <c r="E307" s="7" t="s">
        <v>589</v>
      </c>
      <c r="F307" s="7" t="s">
        <v>589</v>
      </c>
      <c r="G307" s="7" t="s">
        <v>590</v>
      </c>
      <c r="H307" s="7" t="s">
        <v>40</v>
      </c>
      <c r="I307" s="7" t="s">
        <v>10</v>
      </c>
      <c r="J307" s="7" t="s">
        <v>9</v>
      </c>
      <c r="K307" s="7" t="s">
        <v>33</v>
      </c>
      <c r="L307" s="7" t="s">
        <v>36</v>
      </c>
      <c r="M307" s="7" t="s">
        <v>10</v>
      </c>
      <c r="N307" s="7" t="s">
        <v>10</v>
      </c>
      <c r="O307" s="7" t="s">
        <v>33</v>
      </c>
      <c r="P307" s="11" t="str">
        <f t="shared" si="8"/>
        <v>平</v>
      </c>
      <c r="Q307" s="11" t="str">
        <f t="shared" si="9"/>
        <v>胜</v>
      </c>
    </row>
    <row r="308" spans="4:17" x14ac:dyDescent="0.15">
      <c r="D308" s="7" t="s">
        <v>6</v>
      </c>
      <c r="E308" s="7" t="s">
        <v>591</v>
      </c>
      <c r="F308" s="7" t="s">
        <v>591</v>
      </c>
      <c r="G308" s="7" t="s">
        <v>592</v>
      </c>
      <c r="H308" s="7" t="s">
        <v>48</v>
      </c>
      <c r="I308" s="7" t="s">
        <v>10</v>
      </c>
      <c r="J308" s="7" t="s">
        <v>9</v>
      </c>
      <c r="K308" s="7" t="s">
        <v>33</v>
      </c>
      <c r="L308" s="7" t="s">
        <v>32</v>
      </c>
      <c r="M308" s="7" t="s">
        <v>9</v>
      </c>
      <c r="N308" s="7" t="s">
        <v>50</v>
      </c>
      <c r="O308" s="7" t="s">
        <v>33</v>
      </c>
      <c r="P308" s="11" t="str">
        <f t="shared" si="8"/>
        <v>负</v>
      </c>
      <c r="Q308" s="11" t="str">
        <f t="shared" si="9"/>
        <v>负</v>
      </c>
    </row>
    <row r="309" spans="4:17" x14ac:dyDescent="0.15">
      <c r="D309" s="7" t="s">
        <v>6</v>
      </c>
      <c r="E309" s="7" t="s">
        <v>593</v>
      </c>
      <c r="F309" s="7" t="s">
        <v>593</v>
      </c>
      <c r="G309" s="7" t="s">
        <v>590</v>
      </c>
      <c r="H309" s="7" t="s">
        <v>41</v>
      </c>
      <c r="I309" s="7" t="s">
        <v>9</v>
      </c>
      <c r="J309" s="7" t="s">
        <v>39</v>
      </c>
      <c r="K309" s="7" t="s">
        <v>33</v>
      </c>
      <c r="L309" s="7" t="s">
        <v>43</v>
      </c>
      <c r="M309" s="7" t="s">
        <v>33</v>
      </c>
      <c r="N309" s="7" t="s">
        <v>10</v>
      </c>
      <c r="O309" s="7" t="s">
        <v>33</v>
      </c>
      <c r="P309" s="11" t="str">
        <f t="shared" si="8"/>
        <v>胜</v>
      </c>
      <c r="Q309" s="11" t="str">
        <f t="shared" si="9"/>
        <v>胜</v>
      </c>
    </row>
    <row r="310" spans="4:17" x14ac:dyDescent="0.15">
      <c r="D310" s="7" t="s">
        <v>6</v>
      </c>
      <c r="E310" s="7" t="s">
        <v>594</v>
      </c>
      <c r="F310" s="7" t="s">
        <v>594</v>
      </c>
      <c r="G310" s="7" t="s">
        <v>595</v>
      </c>
      <c r="H310" s="7" t="s">
        <v>37</v>
      </c>
      <c r="I310" s="7" t="s">
        <v>33</v>
      </c>
      <c r="J310" s="7" t="s">
        <v>10</v>
      </c>
      <c r="K310" s="7" t="s">
        <v>33</v>
      </c>
      <c r="L310" s="7" t="s">
        <v>51</v>
      </c>
      <c r="M310" s="7" t="s">
        <v>33</v>
      </c>
      <c r="N310" s="7" t="s">
        <v>33</v>
      </c>
      <c r="O310" s="7" t="s">
        <v>33</v>
      </c>
      <c r="P310" s="11" t="str">
        <f t="shared" si="8"/>
        <v>平</v>
      </c>
      <c r="Q310" s="11" t="str">
        <f t="shared" si="9"/>
        <v>胜</v>
      </c>
    </row>
    <row r="311" spans="4:17" x14ac:dyDescent="0.15">
      <c r="D311" s="7" t="s">
        <v>6</v>
      </c>
      <c r="E311" s="7" t="s">
        <v>596</v>
      </c>
      <c r="F311" s="7" t="s">
        <v>596</v>
      </c>
      <c r="G311" s="7" t="s">
        <v>597</v>
      </c>
      <c r="H311" s="7" t="s">
        <v>44</v>
      </c>
      <c r="I311" s="7" t="s">
        <v>33</v>
      </c>
      <c r="J311" s="7" t="s">
        <v>10</v>
      </c>
      <c r="K311" s="7" t="s">
        <v>33</v>
      </c>
      <c r="L311" s="7" t="s">
        <v>53</v>
      </c>
      <c r="M311" s="7" t="s">
        <v>33</v>
      </c>
      <c r="N311" s="7" t="s">
        <v>33</v>
      </c>
      <c r="O311" s="7" t="s">
        <v>33</v>
      </c>
      <c r="P311" s="11" t="str">
        <f t="shared" si="8"/>
        <v>平</v>
      </c>
      <c r="Q311" s="11" t="str">
        <f t="shared" si="9"/>
        <v>胜</v>
      </c>
    </row>
    <row r="312" spans="4:17" x14ac:dyDescent="0.15">
      <c r="D312" s="7" t="s">
        <v>6</v>
      </c>
      <c r="E312" s="7" t="s">
        <v>598</v>
      </c>
      <c r="F312" s="7" t="s">
        <v>598</v>
      </c>
      <c r="G312" s="7" t="s">
        <v>599</v>
      </c>
      <c r="H312" s="7" t="s">
        <v>52</v>
      </c>
      <c r="I312" s="7" t="s">
        <v>10</v>
      </c>
      <c r="J312" s="7" t="s">
        <v>9</v>
      </c>
      <c r="K312" s="7" t="s">
        <v>33</v>
      </c>
      <c r="L312" s="7" t="s">
        <v>42</v>
      </c>
      <c r="M312" s="7" t="s">
        <v>9</v>
      </c>
      <c r="N312" s="7" t="s">
        <v>50</v>
      </c>
      <c r="O312" s="7" t="s">
        <v>33</v>
      </c>
      <c r="P312" s="11" t="str">
        <f t="shared" si="8"/>
        <v>负</v>
      </c>
      <c r="Q312" s="11" t="str">
        <f t="shared" si="9"/>
        <v>负</v>
      </c>
    </row>
    <row r="313" spans="4:17" x14ac:dyDescent="0.15">
      <c r="D313" s="7" t="s">
        <v>6</v>
      </c>
      <c r="E313" s="7" t="s">
        <v>600</v>
      </c>
      <c r="F313" s="7" t="s">
        <v>600</v>
      </c>
      <c r="G313" s="7" t="s">
        <v>588</v>
      </c>
      <c r="H313" s="7" t="s">
        <v>49</v>
      </c>
      <c r="I313" s="7" t="s">
        <v>33</v>
      </c>
      <c r="J313" s="7" t="s">
        <v>33</v>
      </c>
      <c r="K313" s="7" t="s">
        <v>33</v>
      </c>
      <c r="L313" s="7" t="s">
        <v>38</v>
      </c>
      <c r="M313" s="7" t="s">
        <v>10</v>
      </c>
      <c r="N313" s="7" t="s">
        <v>10</v>
      </c>
      <c r="O313" s="7" t="s">
        <v>33</v>
      </c>
      <c r="P313" s="11" t="str">
        <f t="shared" si="8"/>
        <v>负</v>
      </c>
      <c r="Q313" s="11" t="str">
        <f t="shared" si="9"/>
        <v>负</v>
      </c>
    </row>
    <row r="314" spans="4:17" x14ac:dyDescent="0.15">
      <c r="D314" s="7" t="s">
        <v>6</v>
      </c>
      <c r="E314" s="7" t="s">
        <v>601</v>
      </c>
      <c r="F314" s="7" t="s">
        <v>601</v>
      </c>
      <c r="G314" s="7" t="s">
        <v>602</v>
      </c>
      <c r="H314" s="7" t="s">
        <v>45</v>
      </c>
      <c r="I314" s="7" t="s">
        <v>10</v>
      </c>
      <c r="J314" s="7" t="s">
        <v>9</v>
      </c>
      <c r="K314" s="7" t="s">
        <v>33</v>
      </c>
      <c r="L314" s="7" t="s">
        <v>52</v>
      </c>
      <c r="M314" s="7" t="s">
        <v>33</v>
      </c>
      <c r="N314" s="7" t="s">
        <v>33</v>
      </c>
      <c r="O314" s="7" t="s">
        <v>33</v>
      </c>
      <c r="P314" s="11" t="str">
        <f t="shared" si="8"/>
        <v>胜</v>
      </c>
      <c r="Q314" s="11" t="str">
        <f t="shared" si="9"/>
        <v>胜</v>
      </c>
    </row>
    <row r="315" spans="4:17" x14ac:dyDescent="0.15">
      <c r="D315" s="7" t="s">
        <v>6</v>
      </c>
      <c r="E315" s="7" t="s">
        <v>603</v>
      </c>
      <c r="F315" s="7" t="s">
        <v>603</v>
      </c>
      <c r="G315" s="7" t="s">
        <v>604</v>
      </c>
      <c r="H315" s="7" t="s">
        <v>43</v>
      </c>
      <c r="I315" s="7" t="s">
        <v>9</v>
      </c>
      <c r="J315" s="7" t="s">
        <v>9</v>
      </c>
      <c r="K315" s="7" t="s">
        <v>33</v>
      </c>
      <c r="L315" s="7" t="s">
        <v>49</v>
      </c>
      <c r="M315" s="7" t="s">
        <v>33</v>
      </c>
      <c r="N315" s="7" t="s">
        <v>33</v>
      </c>
      <c r="O315" s="7" t="s">
        <v>33</v>
      </c>
      <c r="P315" s="11" t="str">
        <f t="shared" si="8"/>
        <v>胜</v>
      </c>
      <c r="Q315" s="11" t="str">
        <f t="shared" si="9"/>
        <v>胜</v>
      </c>
    </row>
    <row r="316" spans="4:17" x14ac:dyDescent="0.15">
      <c r="D316" s="7" t="s">
        <v>6</v>
      </c>
      <c r="E316" s="7" t="s">
        <v>605</v>
      </c>
      <c r="F316" s="7" t="s">
        <v>605</v>
      </c>
      <c r="G316" s="7" t="s">
        <v>606</v>
      </c>
      <c r="H316" s="7" t="s">
        <v>42</v>
      </c>
      <c r="I316" s="7" t="s">
        <v>33</v>
      </c>
      <c r="J316" s="7" t="s">
        <v>10</v>
      </c>
      <c r="K316" s="7" t="s">
        <v>33</v>
      </c>
      <c r="L316" s="7" t="s">
        <v>54</v>
      </c>
      <c r="M316" s="7" t="s">
        <v>9</v>
      </c>
      <c r="N316" s="7" t="s">
        <v>9</v>
      </c>
      <c r="O316" s="7" t="s">
        <v>33</v>
      </c>
      <c r="P316" s="11" t="str">
        <f t="shared" si="8"/>
        <v>负</v>
      </c>
      <c r="Q316" s="11" t="str">
        <f t="shared" si="9"/>
        <v>负</v>
      </c>
    </row>
    <row r="317" spans="4:17" x14ac:dyDescent="0.15">
      <c r="D317" s="7" t="s">
        <v>6</v>
      </c>
      <c r="E317" s="7" t="s">
        <v>607</v>
      </c>
      <c r="F317" s="7" t="s">
        <v>607</v>
      </c>
      <c r="G317" s="7" t="s">
        <v>606</v>
      </c>
      <c r="H317" s="7" t="s">
        <v>38</v>
      </c>
      <c r="I317" s="7" t="s">
        <v>33</v>
      </c>
      <c r="J317" s="7" t="s">
        <v>9</v>
      </c>
      <c r="K317" s="7" t="s">
        <v>33</v>
      </c>
      <c r="L317" s="7" t="s">
        <v>44</v>
      </c>
      <c r="M317" s="7" t="s">
        <v>10</v>
      </c>
      <c r="N317" s="7" t="s">
        <v>9</v>
      </c>
      <c r="O317" s="7" t="s">
        <v>33</v>
      </c>
      <c r="P317" s="11" t="str">
        <f t="shared" si="8"/>
        <v>负</v>
      </c>
      <c r="Q317" s="11" t="str">
        <f t="shared" si="9"/>
        <v>平</v>
      </c>
    </row>
    <row r="318" spans="4:17" x14ac:dyDescent="0.15">
      <c r="D318" s="7" t="s">
        <v>6</v>
      </c>
      <c r="E318" s="7" t="s">
        <v>608</v>
      </c>
      <c r="F318" s="7" t="s">
        <v>608</v>
      </c>
      <c r="G318" s="7" t="s">
        <v>609</v>
      </c>
      <c r="H318" s="7" t="s">
        <v>36</v>
      </c>
      <c r="I318" s="7" t="s">
        <v>33</v>
      </c>
      <c r="J318" s="7" t="s">
        <v>10</v>
      </c>
      <c r="K318" s="7" t="s">
        <v>33</v>
      </c>
      <c r="L318" s="7" t="s">
        <v>48</v>
      </c>
      <c r="M318" s="7" t="s">
        <v>10</v>
      </c>
      <c r="N318" s="7" t="s">
        <v>39</v>
      </c>
      <c r="O318" s="7" t="s">
        <v>33</v>
      </c>
      <c r="P318" s="11" t="str">
        <f t="shared" si="8"/>
        <v>负</v>
      </c>
      <c r="Q318" s="11" t="str">
        <f t="shared" si="9"/>
        <v>负</v>
      </c>
    </row>
    <row r="319" spans="4:17" x14ac:dyDescent="0.15">
      <c r="D319" s="7" t="s">
        <v>6</v>
      </c>
      <c r="E319" s="7" t="s">
        <v>610</v>
      </c>
      <c r="F319" s="7" t="s">
        <v>610</v>
      </c>
      <c r="G319" s="7" t="s">
        <v>611</v>
      </c>
      <c r="H319" s="7" t="s">
        <v>51</v>
      </c>
      <c r="I319" s="7" t="s">
        <v>33</v>
      </c>
      <c r="J319" s="7" t="s">
        <v>9</v>
      </c>
      <c r="K319" s="7" t="s">
        <v>33</v>
      </c>
      <c r="L319" s="7" t="s">
        <v>40</v>
      </c>
      <c r="M319" s="7" t="s">
        <v>9</v>
      </c>
      <c r="N319" s="7" t="s">
        <v>50</v>
      </c>
      <c r="O319" s="7" t="s">
        <v>33</v>
      </c>
      <c r="P319" s="11" t="str">
        <f t="shared" si="8"/>
        <v>负</v>
      </c>
      <c r="Q319" s="11" t="str">
        <f t="shared" si="9"/>
        <v>负</v>
      </c>
    </row>
    <row r="320" spans="4:17" x14ac:dyDescent="0.15">
      <c r="D320" s="7" t="s">
        <v>6</v>
      </c>
      <c r="E320" s="7" t="s">
        <v>612</v>
      </c>
      <c r="F320" s="7" t="s">
        <v>612</v>
      </c>
      <c r="G320" s="7" t="s">
        <v>613</v>
      </c>
      <c r="H320" s="7" t="s">
        <v>53</v>
      </c>
      <c r="I320" s="7" t="s">
        <v>10</v>
      </c>
      <c r="J320" s="7" t="s">
        <v>10</v>
      </c>
      <c r="K320" s="7" t="s">
        <v>33</v>
      </c>
      <c r="L320" s="7" t="s">
        <v>37</v>
      </c>
      <c r="M320" s="7" t="s">
        <v>10</v>
      </c>
      <c r="N320" s="7" t="s">
        <v>10</v>
      </c>
      <c r="O320" s="7" t="s">
        <v>33</v>
      </c>
      <c r="P320" s="11" t="str">
        <f t="shared" si="8"/>
        <v>平</v>
      </c>
      <c r="Q320" s="11" t="str">
        <f t="shared" si="9"/>
        <v>平</v>
      </c>
    </row>
    <row r="321" spans="4:17" x14ac:dyDescent="0.15">
      <c r="D321" s="7" t="s">
        <v>6</v>
      </c>
      <c r="E321" s="7" t="s">
        <v>614</v>
      </c>
      <c r="F321" s="7" t="s">
        <v>614</v>
      </c>
      <c r="G321" s="7" t="s">
        <v>611</v>
      </c>
      <c r="H321" s="7" t="s">
        <v>32</v>
      </c>
      <c r="I321" s="11" t="s">
        <v>10</v>
      </c>
      <c r="J321" s="7" t="s">
        <v>39</v>
      </c>
      <c r="K321" s="7" t="s">
        <v>33</v>
      </c>
      <c r="L321" s="7" t="s">
        <v>41</v>
      </c>
      <c r="M321" s="7" t="s">
        <v>33</v>
      </c>
      <c r="N321" s="7" t="s">
        <v>10</v>
      </c>
      <c r="O321" s="7" t="s">
        <v>33</v>
      </c>
      <c r="P321" s="11" t="str">
        <f t="shared" si="8"/>
        <v>胜</v>
      </c>
      <c r="Q321" s="11" t="str">
        <f t="shared" si="9"/>
        <v>胜</v>
      </c>
    </row>
    <row r="322" spans="4:17" x14ac:dyDescent="0.15">
      <c r="D322" s="7" t="s">
        <v>6</v>
      </c>
      <c r="E322" s="7" t="s">
        <v>615</v>
      </c>
      <c r="F322" s="7" t="s">
        <v>615</v>
      </c>
      <c r="G322" s="7" t="s">
        <v>616</v>
      </c>
      <c r="H322" s="7" t="s">
        <v>40</v>
      </c>
      <c r="I322" s="7" t="s">
        <v>50</v>
      </c>
      <c r="J322" s="7" t="s">
        <v>47</v>
      </c>
      <c r="K322" s="7" t="s">
        <v>33</v>
      </c>
      <c r="L322" s="7" t="s">
        <v>48</v>
      </c>
      <c r="M322" s="7" t="s">
        <v>33</v>
      </c>
      <c r="N322" s="7" t="s">
        <v>33</v>
      </c>
      <c r="O322" s="7" t="s">
        <v>33</v>
      </c>
      <c r="P322" s="11" t="str">
        <f t="shared" si="8"/>
        <v>胜</v>
      </c>
      <c r="Q322" s="11" t="str">
        <f t="shared" si="9"/>
        <v>胜</v>
      </c>
    </row>
    <row r="323" spans="4:17" x14ac:dyDescent="0.15">
      <c r="D323" s="7" t="s">
        <v>6</v>
      </c>
      <c r="E323" s="7" t="s">
        <v>617</v>
      </c>
      <c r="F323" s="7" t="s">
        <v>617</v>
      </c>
      <c r="G323" s="7" t="s">
        <v>618</v>
      </c>
      <c r="H323" s="7" t="s">
        <v>44</v>
      </c>
      <c r="I323" s="7" t="s">
        <v>9</v>
      </c>
      <c r="J323" s="7" t="s">
        <v>39</v>
      </c>
      <c r="K323" s="7" t="s">
        <v>33</v>
      </c>
      <c r="L323" s="7" t="s">
        <v>43</v>
      </c>
      <c r="M323" s="7" t="s">
        <v>33</v>
      </c>
      <c r="N323" s="7" t="s">
        <v>10</v>
      </c>
      <c r="O323" s="7" t="s">
        <v>33</v>
      </c>
      <c r="P323" s="11" t="str">
        <f t="shared" si="8"/>
        <v>胜</v>
      </c>
      <c r="Q323" s="11" t="str">
        <f t="shared" si="9"/>
        <v>胜</v>
      </c>
    </row>
    <row r="324" spans="4:17" x14ac:dyDescent="0.15">
      <c r="D324" s="7" t="s">
        <v>6</v>
      </c>
      <c r="E324" s="7" t="s">
        <v>619</v>
      </c>
      <c r="F324" s="7" t="s">
        <v>619</v>
      </c>
      <c r="G324" s="7" t="s">
        <v>620</v>
      </c>
      <c r="H324" s="7" t="s">
        <v>54</v>
      </c>
      <c r="I324" s="7" t="s">
        <v>33</v>
      </c>
      <c r="J324" s="7" t="s">
        <v>9</v>
      </c>
      <c r="K324" s="7" t="s">
        <v>33</v>
      </c>
      <c r="L324" s="7" t="s">
        <v>32</v>
      </c>
      <c r="M324" s="7" t="s">
        <v>33</v>
      </c>
      <c r="N324" s="7" t="s">
        <v>10</v>
      </c>
      <c r="O324" s="7" t="s">
        <v>33</v>
      </c>
      <c r="P324" s="11" t="str">
        <f t="shared" si="8"/>
        <v>平</v>
      </c>
      <c r="Q324" s="11" t="str">
        <f t="shared" si="9"/>
        <v>胜</v>
      </c>
    </row>
    <row r="325" spans="4:17" x14ac:dyDescent="0.15">
      <c r="D325" s="7" t="s">
        <v>6</v>
      </c>
      <c r="E325" s="7" t="s">
        <v>621</v>
      </c>
      <c r="F325" s="7" t="s">
        <v>621</v>
      </c>
      <c r="G325" s="7" t="s">
        <v>622</v>
      </c>
      <c r="H325" s="7" t="s">
        <v>52</v>
      </c>
      <c r="I325" s="7" t="s">
        <v>10</v>
      </c>
      <c r="J325" s="7" t="s">
        <v>9</v>
      </c>
      <c r="K325" s="7" t="s">
        <v>33</v>
      </c>
      <c r="L325" s="7" t="s">
        <v>38</v>
      </c>
      <c r="M325" s="7" t="s">
        <v>9</v>
      </c>
      <c r="N325" s="7" t="s">
        <v>50</v>
      </c>
      <c r="O325" s="7" t="s">
        <v>33</v>
      </c>
      <c r="P325" s="11" t="str">
        <f t="shared" si="8"/>
        <v>负</v>
      </c>
      <c r="Q325" s="11" t="str">
        <f t="shared" si="9"/>
        <v>负</v>
      </c>
    </row>
    <row r="326" spans="4:17" x14ac:dyDescent="0.15">
      <c r="D326" s="7" t="s">
        <v>6</v>
      </c>
      <c r="E326" s="7" t="s">
        <v>623</v>
      </c>
      <c r="F326" s="7" t="s">
        <v>623</v>
      </c>
      <c r="G326" s="7" t="s">
        <v>624</v>
      </c>
      <c r="H326" s="7" t="s">
        <v>49</v>
      </c>
      <c r="I326" s="7" t="s">
        <v>10</v>
      </c>
      <c r="J326" s="7" t="s">
        <v>9</v>
      </c>
      <c r="K326" s="7" t="s">
        <v>33</v>
      </c>
      <c r="L326" s="7" t="s">
        <v>45</v>
      </c>
      <c r="M326" s="7" t="s">
        <v>9</v>
      </c>
      <c r="N326" s="7" t="s">
        <v>50</v>
      </c>
      <c r="O326" s="7" t="s">
        <v>33</v>
      </c>
      <c r="P326" s="11" t="str">
        <f t="shared" si="8"/>
        <v>负</v>
      </c>
      <c r="Q326" s="11" t="str">
        <f t="shared" si="9"/>
        <v>负</v>
      </c>
    </row>
    <row r="327" spans="4:17" x14ac:dyDescent="0.15">
      <c r="D327" s="7" t="s">
        <v>6</v>
      </c>
      <c r="E327" s="7" t="s">
        <v>625</v>
      </c>
      <c r="F327" s="7" t="s">
        <v>625</v>
      </c>
      <c r="G327" s="7" t="s">
        <v>620</v>
      </c>
      <c r="H327" s="7" t="s">
        <v>37</v>
      </c>
      <c r="I327" s="7" t="s">
        <v>33</v>
      </c>
      <c r="J327" s="7" t="s">
        <v>10</v>
      </c>
      <c r="K327" s="7" t="s">
        <v>33</v>
      </c>
      <c r="L327" s="7" t="s">
        <v>42</v>
      </c>
      <c r="M327" s="7" t="s">
        <v>33</v>
      </c>
      <c r="N327" s="7" t="s">
        <v>33</v>
      </c>
      <c r="O327" s="7" t="s">
        <v>33</v>
      </c>
      <c r="P327" s="11" t="str">
        <f t="shared" si="8"/>
        <v>平</v>
      </c>
      <c r="Q327" s="11" t="str">
        <f t="shared" si="9"/>
        <v>胜</v>
      </c>
    </row>
    <row r="328" spans="4:17" x14ac:dyDescent="0.15">
      <c r="D328" s="7" t="s">
        <v>6</v>
      </c>
      <c r="E328" s="7" t="s">
        <v>626</v>
      </c>
      <c r="F328" s="7" t="s">
        <v>626</v>
      </c>
      <c r="G328" s="7" t="s">
        <v>620</v>
      </c>
      <c r="H328" s="7" t="s">
        <v>41</v>
      </c>
      <c r="I328" s="7" t="s">
        <v>9</v>
      </c>
      <c r="J328" s="7" t="s">
        <v>39</v>
      </c>
      <c r="K328" s="7" t="s">
        <v>33</v>
      </c>
      <c r="L328" s="7" t="s">
        <v>36</v>
      </c>
      <c r="M328" s="7" t="s">
        <v>33</v>
      </c>
      <c r="N328" s="7" t="s">
        <v>10</v>
      </c>
      <c r="O328" s="7" t="s">
        <v>33</v>
      </c>
      <c r="P328" s="11" t="str">
        <f t="shared" si="8"/>
        <v>胜</v>
      </c>
      <c r="Q328" s="11" t="str">
        <f t="shared" si="9"/>
        <v>胜</v>
      </c>
    </row>
    <row r="329" spans="4:17" x14ac:dyDescent="0.15">
      <c r="D329" s="7" t="s">
        <v>6</v>
      </c>
      <c r="E329" s="7" t="s">
        <v>627</v>
      </c>
      <c r="F329" s="7" t="s">
        <v>627</v>
      </c>
      <c r="G329" s="7" t="s">
        <v>628</v>
      </c>
      <c r="H329" s="7" t="s">
        <v>53</v>
      </c>
      <c r="I329" s="7" t="s">
        <v>33</v>
      </c>
      <c r="J329" s="7" t="s">
        <v>33</v>
      </c>
      <c r="K329" s="7" t="s">
        <v>33</v>
      </c>
      <c r="L329" s="7" t="s">
        <v>51</v>
      </c>
      <c r="M329" s="7" t="s">
        <v>33</v>
      </c>
      <c r="N329" s="7" t="s">
        <v>33</v>
      </c>
      <c r="O329" s="7" t="s">
        <v>33</v>
      </c>
      <c r="P329" s="11" t="str">
        <f t="shared" si="8"/>
        <v>平</v>
      </c>
      <c r="Q329" s="11" t="str">
        <f t="shared" si="9"/>
        <v>平</v>
      </c>
    </row>
    <row r="330" spans="4:17" x14ac:dyDescent="0.15">
      <c r="D330" s="7" t="s">
        <v>6</v>
      </c>
      <c r="E330" s="7" t="s">
        <v>629</v>
      </c>
      <c r="F330" s="7" t="s">
        <v>629</v>
      </c>
      <c r="G330" s="7" t="s">
        <v>630</v>
      </c>
      <c r="H330" s="7" t="s">
        <v>36</v>
      </c>
      <c r="I330" s="7" t="s">
        <v>33</v>
      </c>
      <c r="J330" s="7" t="s">
        <v>33</v>
      </c>
      <c r="K330" s="7" t="s">
        <v>33</v>
      </c>
      <c r="L330" s="7" t="s">
        <v>44</v>
      </c>
      <c r="M330" s="7" t="s">
        <v>33</v>
      </c>
      <c r="N330" s="7" t="s">
        <v>33</v>
      </c>
      <c r="O330" s="7" t="s">
        <v>33</v>
      </c>
      <c r="P330" s="11" t="str">
        <f t="shared" si="8"/>
        <v>平</v>
      </c>
      <c r="Q330" s="11" t="str">
        <f t="shared" si="9"/>
        <v>平</v>
      </c>
    </row>
    <row r="331" spans="4:17" x14ac:dyDescent="0.15">
      <c r="D331" s="7" t="s">
        <v>6</v>
      </c>
      <c r="E331" s="7" t="s">
        <v>631</v>
      </c>
      <c r="F331" s="7" t="s">
        <v>631</v>
      </c>
      <c r="G331" s="7" t="s">
        <v>632</v>
      </c>
      <c r="H331" s="7" t="s">
        <v>42</v>
      </c>
      <c r="I331" s="7" t="s">
        <v>10</v>
      </c>
      <c r="J331" s="7" t="s">
        <v>9</v>
      </c>
      <c r="K331" s="7" t="s">
        <v>33</v>
      </c>
      <c r="L331" s="7" t="s">
        <v>53</v>
      </c>
      <c r="M331" s="7" t="s">
        <v>33</v>
      </c>
      <c r="N331" s="7" t="s">
        <v>10</v>
      </c>
      <c r="O331" s="7" t="s">
        <v>33</v>
      </c>
      <c r="P331" s="11" t="str">
        <f t="shared" si="8"/>
        <v>胜</v>
      </c>
      <c r="Q331" s="11" t="str">
        <f t="shared" si="9"/>
        <v>胜</v>
      </c>
    </row>
    <row r="332" spans="4:17" x14ac:dyDescent="0.15">
      <c r="D332" s="7" t="s">
        <v>6</v>
      </c>
      <c r="E332" s="7" t="s">
        <v>633</v>
      </c>
      <c r="F332" s="7" t="s">
        <v>633</v>
      </c>
      <c r="G332" s="7" t="s">
        <v>634</v>
      </c>
      <c r="H332" s="7" t="s">
        <v>43</v>
      </c>
      <c r="I332" s="7" t="s">
        <v>10</v>
      </c>
      <c r="J332" s="7" t="s">
        <v>10</v>
      </c>
      <c r="K332" s="7" t="s">
        <v>33</v>
      </c>
      <c r="L332" s="7" t="s">
        <v>54</v>
      </c>
      <c r="M332" s="7" t="s">
        <v>10</v>
      </c>
      <c r="N332" s="7" t="s">
        <v>39</v>
      </c>
      <c r="O332" s="7" t="s">
        <v>33</v>
      </c>
      <c r="P332" s="11" t="str">
        <f t="shared" si="8"/>
        <v>平</v>
      </c>
      <c r="Q332" s="11" t="str">
        <f t="shared" si="9"/>
        <v>负</v>
      </c>
    </row>
    <row r="333" spans="4:17" x14ac:dyDescent="0.15">
      <c r="D333" s="7" t="s">
        <v>6</v>
      </c>
      <c r="E333" s="7" t="s">
        <v>635</v>
      </c>
      <c r="F333" s="7" t="s">
        <v>635</v>
      </c>
      <c r="G333" s="7" t="s">
        <v>636</v>
      </c>
      <c r="H333" s="7" t="s">
        <v>48</v>
      </c>
      <c r="I333" s="7" t="s">
        <v>10</v>
      </c>
      <c r="J333" s="7" t="s">
        <v>10</v>
      </c>
      <c r="K333" s="7" t="s">
        <v>33</v>
      </c>
      <c r="L333" s="7" t="s">
        <v>41</v>
      </c>
      <c r="M333" s="7" t="s">
        <v>33</v>
      </c>
      <c r="N333" s="7" t="s">
        <v>10</v>
      </c>
      <c r="O333" s="7" t="s">
        <v>33</v>
      </c>
      <c r="P333" s="11" t="str">
        <f t="shared" ref="P333:P396" si="10">IF(I333=M333,"平",IF(I333&gt;M333,"胜","负"))</f>
        <v>胜</v>
      </c>
      <c r="Q333" s="11" t="str">
        <f t="shared" ref="Q333:Q396" si="11">IF(J333=N333,"平",IF(J333&gt;N333,"胜","负"))</f>
        <v>平</v>
      </c>
    </row>
    <row r="334" spans="4:17" x14ac:dyDescent="0.15">
      <c r="D334" s="7" t="s">
        <v>6</v>
      </c>
      <c r="E334" s="7" t="s">
        <v>637</v>
      </c>
      <c r="F334" s="7" t="s">
        <v>637</v>
      </c>
      <c r="G334" s="7" t="s">
        <v>638</v>
      </c>
      <c r="H334" s="7" t="s">
        <v>32</v>
      </c>
      <c r="I334" s="11" t="s">
        <v>10</v>
      </c>
      <c r="J334" s="7" t="s">
        <v>9</v>
      </c>
      <c r="K334" s="7" t="s">
        <v>33</v>
      </c>
      <c r="L334" s="7" t="s">
        <v>52</v>
      </c>
      <c r="M334" s="7" t="s">
        <v>10</v>
      </c>
      <c r="N334" s="7" t="s">
        <v>10</v>
      </c>
      <c r="O334" s="7" t="s">
        <v>33</v>
      </c>
      <c r="P334" s="11" t="str">
        <f t="shared" si="10"/>
        <v>平</v>
      </c>
      <c r="Q334" s="11" t="str">
        <f t="shared" si="11"/>
        <v>胜</v>
      </c>
    </row>
    <row r="335" spans="4:17" x14ac:dyDescent="0.15">
      <c r="D335" s="7" t="s">
        <v>6</v>
      </c>
      <c r="E335" s="7" t="s">
        <v>639</v>
      </c>
      <c r="F335" s="7" t="s">
        <v>639</v>
      </c>
      <c r="G335" s="7" t="s">
        <v>636</v>
      </c>
      <c r="H335" s="7" t="s">
        <v>38</v>
      </c>
      <c r="I335" s="7" t="s">
        <v>33</v>
      </c>
      <c r="J335" s="7" t="s">
        <v>10</v>
      </c>
      <c r="K335" s="7" t="s">
        <v>33</v>
      </c>
      <c r="L335" s="7" t="s">
        <v>37</v>
      </c>
      <c r="M335" s="7" t="s">
        <v>33</v>
      </c>
      <c r="N335" s="7" t="s">
        <v>33</v>
      </c>
      <c r="O335" s="7" t="s">
        <v>33</v>
      </c>
      <c r="P335" s="11" t="str">
        <f t="shared" si="10"/>
        <v>平</v>
      </c>
      <c r="Q335" s="11" t="str">
        <f t="shared" si="11"/>
        <v>胜</v>
      </c>
    </row>
    <row r="336" spans="4:17" x14ac:dyDescent="0.15">
      <c r="D336" s="7" t="s">
        <v>6</v>
      </c>
      <c r="E336" s="7" t="s">
        <v>640</v>
      </c>
      <c r="F336" s="7" t="s">
        <v>640</v>
      </c>
      <c r="G336" s="7" t="s">
        <v>641</v>
      </c>
      <c r="H336" s="7" t="s">
        <v>51</v>
      </c>
      <c r="I336" s="7" t="s">
        <v>33</v>
      </c>
      <c r="J336" s="7" t="s">
        <v>33</v>
      </c>
      <c r="K336" s="7" t="s">
        <v>33</v>
      </c>
      <c r="L336" s="7" t="s">
        <v>49</v>
      </c>
      <c r="M336" s="7" t="s">
        <v>10</v>
      </c>
      <c r="N336" s="7" t="s">
        <v>10</v>
      </c>
      <c r="O336" s="7" t="s">
        <v>33</v>
      </c>
      <c r="P336" s="11" t="str">
        <f t="shared" si="10"/>
        <v>负</v>
      </c>
      <c r="Q336" s="11" t="str">
        <f t="shared" si="11"/>
        <v>负</v>
      </c>
    </row>
    <row r="337" spans="4:17" x14ac:dyDescent="0.15">
      <c r="D337" s="7" t="s">
        <v>6</v>
      </c>
      <c r="E337" s="7" t="s">
        <v>642</v>
      </c>
      <c r="F337" s="7" t="s">
        <v>642</v>
      </c>
      <c r="G337" s="7" t="s">
        <v>643</v>
      </c>
      <c r="H337" s="7" t="s">
        <v>45</v>
      </c>
      <c r="I337" s="7" t="s">
        <v>33</v>
      </c>
      <c r="J337" s="7" t="s">
        <v>10</v>
      </c>
      <c r="K337" s="7" t="s">
        <v>33</v>
      </c>
      <c r="L337" s="7" t="s">
        <v>40</v>
      </c>
      <c r="M337" s="7" t="s">
        <v>10</v>
      </c>
      <c r="N337" s="7" t="s">
        <v>10</v>
      </c>
      <c r="O337" s="7" t="s">
        <v>33</v>
      </c>
      <c r="P337" s="11" t="str">
        <f t="shared" si="10"/>
        <v>负</v>
      </c>
      <c r="Q337" s="11" t="str">
        <f t="shared" si="11"/>
        <v>平</v>
      </c>
    </row>
    <row r="338" spans="4:17" x14ac:dyDescent="0.15">
      <c r="D338" s="7" t="s">
        <v>6</v>
      </c>
      <c r="E338" s="7" t="s">
        <v>644</v>
      </c>
      <c r="F338" s="7" t="s">
        <v>644</v>
      </c>
      <c r="G338" s="7" t="s">
        <v>645</v>
      </c>
      <c r="H338" s="7" t="s">
        <v>40</v>
      </c>
      <c r="I338" s="7" t="s">
        <v>10</v>
      </c>
      <c r="J338" s="7" t="s">
        <v>10</v>
      </c>
      <c r="K338" s="7" t="s">
        <v>33</v>
      </c>
      <c r="L338" s="7" t="s">
        <v>38</v>
      </c>
      <c r="M338" s="7" t="s">
        <v>33</v>
      </c>
      <c r="N338" s="7" t="s">
        <v>33</v>
      </c>
      <c r="O338" s="7" t="s">
        <v>33</v>
      </c>
      <c r="P338" s="11" t="str">
        <f t="shared" si="10"/>
        <v>胜</v>
      </c>
      <c r="Q338" s="11" t="str">
        <f t="shared" si="11"/>
        <v>胜</v>
      </c>
    </row>
    <row r="339" spans="4:17" x14ac:dyDescent="0.15">
      <c r="D339" s="7" t="s">
        <v>6</v>
      </c>
      <c r="E339" s="7" t="s">
        <v>646</v>
      </c>
      <c r="F339" s="7" t="s">
        <v>646</v>
      </c>
      <c r="G339" s="7" t="s">
        <v>647</v>
      </c>
      <c r="H339" s="7" t="s">
        <v>49</v>
      </c>
      <c r="I339" s="7" t="s">
        <v>10</v>
      </c>
      <c r="J339" s="7" t="s">
        <v>10</v>
      </c>
      <c r="K339" s="7" t="s">
        <v>33</v>
      </c>
      <c r="L339" s="7" t="s">
        <v>36</v>
      </c>
      <c r="M339" s="7" t="s">
        <v>33</v>
      </c>
      <c r="N339" s="7" t="s">
        <v>10</v>
      </c>
      <c r="O339" s="7" t="s">
        <v>33</v>
      </c>
      <c r="P339" s="11" t="str">
        <f t="shared" si="10"/>
        <v>胜</v>
      </c>
      <c r="Q339" s="11" t="str">
        <f t="shared" si="11"/>
        <v>平</v>
      </c>
    </row>
    <row r="340" spans="4:17" x14ac:dyDescent="0.15">
      <c r="D340" s="7" t="s">
        <v>6</v>
      </c>
      <c r="E340" s="7" t="s">
        <v>648</v>
      </c>
      <c r="F340" s="7" t="s">
        <v>648</v>
      </c>
      <c r="G340" s="7" t="s">
        <v>649</v>
      </c>
      <c r="H340" s="7" t="s">
        <v>42</v>
      </c>
      <c r="I340" s="7" t="s">
        <v>10</v>
      </c>
      <c r="J340" s="7" t="s">
        <v>10</v>
      </c>
      <c r="K340" s="7" t="s">
        <v>33</v>
      </c>
      <c r="L340" s="7" t="s">
        <v>38</v>
      </c>
      <c r="M340" s="7" t="s">
        <v>33</v>
      </c>
      <c r="N340" s="7" t="s">
        <v>33</v>
      </c>
      <c r="O340" s="7" t="s">
        <v>33</v>
      </c>
      <c r="P340" s="11" t="str">
        <f t="shared" si="10"/>
        <v>胜</v>
      </c>
      <c r="Q340" s="11" t="str">
        <f t="shared" si="11"/>
        <v>胜</v>
      </c>
    </row>
    <row r="341" spans="4:17" x14ac:dyDescent="0.15">
      <c r="D341" s="7" t="s">
        <v>6</v>
      </c>
      <c r="E341" s="7" t="s">
        <v>650</v>
      </c>
      <c r="F341" s="7" t="s">
        <v>650</v>
      </c>
      <c r="G341" s="7" t="s">
        <v>651</v>
      </c>
      <c r="H341" s="7" t="s">
        <v>44</v>
      </c>
      <c r="I341" s="7" t="s">
        <v>10</v>
      </c>
      <c r="J341" s="7" t="s">
        <v>39</v>
      </c>
      <c r="K341" s="7" t="s">
        <v>33</v>
      </c>
      <c r="L341" s="7" t="s">
        <v>51</v>
      </c>
      <c r="M341" s="7" t="s">
        <v>33</v>
      </c>
      <c r="N341" s="7" t="s">
        <v>33</v>
      </c>
      <c r="O341" s="7" t="s">
        <v>33</v>
      </c>
      <c r="P341" s="11" t="str">
        <f t="shared" si="10"/>
        <v>胜</v>
      </c>
      <c r="Q341" s="11" t="str">
        <f t="shared" si="11"/>
        <v>胜</v>
      </c>
    </row>
    <row r="342" spans="4:17" x14ac:dyDescent="0.15">
      <c r="D342" s="7" t="s">
        <v>6</v>
      </c>
      <c r="E342" s="7" t="s">
        <v>652</v>
      </c>
      <c r="F342" s="7" t="s">
        <v>652</v>
      </c>
      <c r="G342" s="7" t="s">
        <v>653</v>
      </c>
      <c r="H342" s="7" t="s">
        <v>52</v>
      </c>
      <c r="I342" s="7" t="s">
        <v>33</v>
      </c>
      <c r="J342" s="7" t="s">
        <v>33</v>
      </c>
      <c r="K342" s="7" t="s">
        <v>33</v>
      </c>
      <c r="L342" s="7" t="s">
        <v>48</v>
      </c>
      <c r="M342" s="7" t="s">
        <v>33</v>
      </c>
      <c r="N342" s="7" t="s">
        <v>10</v>
      </c>
      <c r="O342" s="7" t="s">
        <v>33</v>
      </c>
      <c r="P342" s="11" t="str">
        <f t="shared" si="10"/>
        <v>平</v>
      </c>
      <c r="Q342" s="11" t="str">
        <f t="shared" si="11"/>
        <v>负</v>
      </c>
    </row>
    <row r="343" spans="4:17" x14ac:dyDescent="0.15">
      <c r="D343" s="7" t="s">
        <v>6</v>
      </c>
      <c r="E343" s="7" t="s">
        <v>654</v>
      </c>
      <c r="F343" s="7" t="s">
        <v>654</v>
      </c>
      <c r="G343" s="7" t="s">
        <v>655</v>
      </c>
      <c r="H343" s="7" t="s">
        <v>37</v>
      </c>
      <c r="I343" s="7" t="s">
        <v>10</v>
      </c>
      <c r="J343" s="7" t="s">
        <v>9</v>
      </c>
      <c r="K343" s="7" t="s">
        <v>33</v>
      </c>
      <c r="L343" s="7" t="s">
        <v>45</v>
      </c>
      <c r="M343" s="7" t="s">
        <v>33</v>
      </c>
      <c r="N343" s="7" t="s">
        <v>33</v>
      </c>
      <c r="O343" s="7" t="s">
        <v>33</v>
      </c>
      <c r="P343" s="11" t="str">
        <f t="shared" si="10"/>
        <v>胜</v>
      </c>
      <c r="Q343" s="11" t="str">
        <f t="shared" si="11"/>
        <v>胜</v>
      </c>
    </row>
    <row r="344" spans="4:17" x14ac:dyDescent="0.15">
      <c r="D344" s="7" t="s">
        <v>6</v>
      </c>
      <c r="E344" s="7" t="s">
        <v>656</v>
      </c>
      <c r="F344" s="7" t="s">
        <v>656</v>
      </c>
      <c r="G344" s="7" t="s">
        <v>657</v>
      </c>
      <c r="H344" s="7" t="s">
        <v>40</v>
      </c>
      <c r="I344" s="7" t="s">
        <v>33</v>
      </c>
      <c r="J344" s="7" t="s">
        <v>39</v>
      </c>
      <c r="K344" s="7" t="s">
        <v>33</v>
      </c>
      <c r="L344" s="7" t="s">
        <v>32</v>
      </c>
      <c r="M344" s="7" t="s">
        <v>33</v>
      </c>
      <c r="N344" s="7" t="s">
        <v>10</v>
      </c>
      <c r="O344" s="7" t="s">
        <v>33</v>
      </c>
      <c r="P344" s="11" t="str">
        <f t="shared" si="10"/>
        <v>平</v>
      </c>
      <c r="Q344" s="11" t="str">
        <f t="shared" si="11"/>
        <v>胜</v>
      </c>
    </row>
    <row r="345" spans="4:17" x14ac:dyDescent="0.15">
      <c r="D345" s="7" t="s">
        <v>6</v>
      </c>
      <c r="E345" s="7" t="s">
        <v>658</v>
      </c>
      <c r="F345" s="7" t="s">
        <v>658</v>
      </c>
      <c r="G345" s="7" t="s">
        <v>659</v>
      </c>
      <c r="H345" s="7" t="s">
        <v>54</v>
      </c>
      <c r="I345" s="7" t="s">
        <v>10</v>
      </c>
      <c r="J345" s="7" t="s">
        <v>10</v>
      </c>
      <c r="K345" s="7" t="s">
        <v>33</v>
      </c>
      <c r="L345" s="7" t="s">
        <v>41</v>
      </c>
      <c r="M345" s="7" t="s">
        <v>33</v>
      </c>
      <c r="N345" s="7" t="s">
        <v>10</v>
      </c>
      <c r="O345" s="7" t="s">
        <v>33</v>
      </c>
      <c r="P345" s="11" t="str">
        <f t="shared" si="10"/>
        <v>胜</v>
      </c>
      <c r="Q345" s="11" t="str">
        <f t="shared" si="11"/>
        <v>平</v>
      </c>
    </row>
    <row r="346" spans="4:17" x14ac:dyDescent="0.15">
      <c r="D346" s="7" t="s">
        <v>6</v>
      </c>
      <c r="E346" s="7" t="s">
        <v>660</v>
      </c>
      <c r="F346" s="7" t="s">
        <v>660</v>
      </c>
      <c r="G346" s="7" t="s">
        <v>655</v>
      </c>
      <c r="H346" s="7" t="s">
        <v>53</v>
      </c>
      <c r="I346" s="7" t="s">
        <v>33</v>
      </c>
      <c r="J346" s="7" t="s">
        <v>10</v>
      </c>
      <c r="K346" s="7" t="s">
        <v>33</v>
      </c>
      <c r="L346" s="7" t="s">
        <v>43</v>
      </c>
      <c r="M346" s="7" t="s">
        <v>33</v>
      </c>
      <c r="N346" s="7" t="s">
        <v>10</v>
      </c>
      <c r="O346" s="7" t="s">
        <v>33</v>
      </c>
      <c r="P346" s="11" t="str">
        <f t="shared" si="10"/>
        <v>平</v>
      </c>
      <c r="Q346" s="11" t="str">
        <f t="shared" si="11"/>
        <v>平</v>
      </c>
    </row>
    <row r="347" spans="4:17" x14ac:dyDescent="0.15">
      <c r="D347" s="7" t="s">
        <v>6</v>
      </c>
      <c r="E347" s="7" t="s">
        <v>661</v>
      </c>
      <c r="F347" s="7" t="s">
        <v>661</v>
      </c>
      <c r="G347" s="7" t="s">
        <v>662</v>
      </c>
      <c r="H347" s="7" t="s">
        <v>48</v>
      </c>
      <c r="I347" s="7" t="s">
        <v>33</v>
      </c>
      <c r="J347" s="7" t="s">
        <v>10</v>
      </c>
      <c r="K347" s="7" t="s">
        <v>33</v>
      </c>
      <c r="L347" s="7" t="s">
        <v>54</v>
      </c>
      <c r="M347" s="7" t="s">
        <v>10</v>
      </c>
      <c r="N347" s="7" t="s">
        <v>9</v>
      </c>
      <c r="O347" s="7" t="s">
        <v>33</v>
      </c>
      <c r="P347" s="11" t="str">
        <f t="shared" si="10"/>
        <v>负</v>
      </c>
      <c r="Q347" s="11" t="str">
        <f t="shared" si="11"/>
        <v>负</v>
      </c>
    </row>
    <row r="348" spans="4:17" x14ac:dyDescent="0.15">
      <c r="D348" s="7" t="s">
        <v>6</v>
      </c>
      <c r="E348" s="7" t="s">
        <v>663</v>
      </c>
      <c r="F348" s="7" t="s">
        <v>663</v>
      </c>
      <c r="G348" s="7" t="s">
        <v>664</v>
      </c>
      <c r="H348" s="7" t="s">
        <v>32</v>
      </c>
      <c r="I348" s="11" t="s">
        <v>33</v>
      </c>
      <c r="J348" s="7" t="s">
        <v>10</v>
      </c>
      <c r="K348" s="7" t="s">
        <v>33</v>
      </c>
      <c r="L348" s="7" t="s">
        <v>49</v>
      </c>
      <c r="M348" s="7" t="s">
        <v>33</v>
      </c>
      <c r="N348" s="7" t="s">
        <v>10</v>
      </c>
      <c r="O348" s="7" t="s">
        <v>33</v>
      </c>
      <c r="P348" s="11" t="str">
        <f t="shared" si="10"/>
        <v>平</v>
      </c>
      <c r="Q348" s="11" t="str">
        <f t="shared" si="11"/>
        <v>平</v>
      </c>
    </row>
    <row r="349" spans="4:17" x14ac:dyDescent="0.15">
      <c r="D349" s="7" t="s">
        <v>6</v>
      </c>
      <c r="E349" s="7" t="s">
        <v>665</v>
      </c>
      <c r="F349" s="7" t="s">
        <v>665</v>
      </c>
      <c r="G349" s="7" t="s">
        <v>666</v>
      </c>
      <c r="H349" s="7" t="s">
        <v>38</v>
      </c>
      <c r="I349" s="7" t="s">
        <v>9</v>
      </c>
      <c r="J349" s="7" t="s">
        <v>50</v>
      </c>
      <c r="K349" s="7" t="s">
        <v>33</v>
      </c>
      <c r="L349" s="7" t="s">
        <v>53</v>
      </c>
      <c r="M349" s="7" t="s">
        <v>33</v>
      </c>
      <c r="N349" s="7" t="s">
        <v>33</v>
      </c>
      <c r="O349" s="7" t="s">
        <v>33</v>
      </c>
      <c r="P349" s="11" t="str">
        <f t="shared" si="10"/>
        <v>胜</v>
      </c>
      <c r="Q349" s="11" t="str">
        <f t="shared" si="11"/>
        <v>胜</v>
      </c>
    </row>
    <row r="350" spans="4:17" x14ac:dyDescent="0.15">
      <c r="D350" s="7" t="s">
        <v>6</v>
      </c>
      <c r="E350" s="7" t="s">
        <v>667</v>
      </c>
      <c r="F350" s="7" t="s">
        <v>667</v>
      </c>
      <c r="G350" s="7" t="s">
        <v>668</v>
      </c>
      <c r="H350" s="7" t="s">
        <v>36</v>
      </c>
      <c r="I350" s="7" t="s">
        <v>33</v>
      </c>
      <c r="J350" s="7" t="s">
        <v>33</v>
      </c>
      <c r="K350" s="7" t="s">
        <v>33</v>
      </c>
      <c r="L350" s="7" t="s">
        <v>37</v>
      </c>
      <c r="M350" s="7" t="s">
        <v>39</v>
      </c>
      <c r="N350" s="7" t="s">
        <v>50</v>
      </c>
      <c r="O350" s="7" t="s">
        <v>33</v>
      </c>
      <c r="P350" s="11" t="str">
        <f t="shared" si="10"/>
        <v>负</v>
      </c>
      <c r="Q350" s="11" t="str">
        <f t="shared" si="11"/>
        <v>负</v>
      </c>
    </row>
    <row r="351" spans="4:17" x14ac:dyDescent="0.15">
      <c r="D351" s="7" t="s">
        <v>6</v>
      </c>
      <c r="E351" s="7" t="s">
        <v>669</v>
      </c>
      <c r="F351" s="7" t="s">
        <v>669</v>
      </c>
      <c r="G351" s="7" t="s">
        <v>670</v>
      </c>
      <c r="H351" s="7" t="s">
        <v>51</v>
      </c>
      <c r="I351" s="7" t="s">
        <v>33</v>
      </c>
      <c r="J351" s="7" t="s">
        <v>10</v>
      </c>
      <c r="K351" s="7" t="s">
        <v>33</v>
      </c>
      <c r="L351" s="7" t="s">
        <v>42</v>
      </c>
      <c r="M351" s="7" t="s">
        <v>9</v>
      </c>
      <c r="N351" s="7" t="s">
        <v>50</v>
      </c>
      <c r="O351" s="7" t="s">
        <v>33</v>
      </c>
      <c r="P351" s="11" t="str">
        <f t="shared" si="10"/>
        <v>负</v>
      </c>
      <c r="Q351" s="11" t="str">
        <f t="shared" si="11"/>
        <v>负</v>
      </c>
    </row>
    <row r="352" spans="4:17" x14ac:dyDescent="0.15">
      <c r="D352" s="7" t="s">
        <v>6</v>
      </c>
      <c r="E352" s="7" t="s">
        <v>671</v>
      </c>
      <c r="F352" s="7" t="s">
        <v>671</v>
      </c>
      <c r="G352" s="7" t="s">
        <v>672</v>
      </c>
      <c r="H352" s="7" t="s">
        <v>43</v>
      </c>
      <c r="I352" s="7" t="s">
        <v>33</v>
      </c>
      <c r="J352" s="7" t="s">
        <v>9</v>
      </c>
      <c r="K352" s="7" t="s">
        <v>33</v>
      </c>
      <c r="L352" s="7" t="s">
        <v>52</v>
      </c>
      <c r="M352" s="7" t="s">
        <v>10</v>
      </c>
      <c r="N352" s="7" t="s">
        <v>10</v>
      </c>
      <c r="O352" s="7" t="s">
        <v>33</v>
      </c>
      <c r="P352" s="11" t="str">
        <f t="shared" si="10"/>
        <v>负</v>
      </c>
      <c r="Q352" s="11" t="str">
        <f t="shared" si="11"/>
        <v>胜</v>
      </c>
    </row>
    <row r="353" spans="4:17" x14ac:dyDescent="0.15">
      <c r="D353" s="7" t="s">
        <v>6</v>
      </c>
      <c r="E353" s="7" t="s">
        <v>673</v>
      </c>
      <c r="F353" s="7" t="s">
        <v>673</v>
      </c>
      <c r="G353" s="7" t="s">
        <v>672</v>
      </c>
      <c r="H353" s="7" t="s">
        <v>45</v>
      </c>
      <c r="I353" s="7" t="s">
        <v>10</v>
      </c>
      <c r="J353" s="7" t="s">
        <v>10</v>
      </c>
      <c r="K353" s="7" t="s">
        <v>33</v>
      </c>
      <c r="L353" s="7" t="s">
        <v>44</v>
      </c>
      <c r="M353" s="7" t="s">
        <v>33</v>
      </c>
      <c r="N353" s="7" t="s">
        <v>33</v>
      </c>
      <c r="O353" s="7" t="s">
        <v>33</v>
      </c>
      <c r="P353" s="11" t="str">
        <f t="shared" si="10"/>
        <v>胜</v>
      </c>
      <c r="Q353" s="11" t="str">
        <f t="shared" si="11"/>
        <v>胜</v>
      </c>
    </row>
    <row r="354" spans="4:17" x14ac:dyDescent="0.15">
      <c r="D354" s="7" t="s">
        <v>6</v>
      </c>
      <c r="E354" s="7" t="s">
        <v>674</v>
      </c>
      <c r="F354" s="7" t="s">
        <v>674</v>
      </c>
      <c r="G354" s="7" t="s">
        <v>675</v>
      </c>
      <c r="H354" s="7" t="s">
        <v>41</v>
      </c>
      <c r="I354" s="7" t="s">
        <v>33</v>
      </c>
      <c r="J354" s="7" t="s">
        <v>10</v>
      </c>
      <c r="K354" s="7" t="s">
        <v>33</v>
      </c>
      <c r="L354" s="7" t="s">
        <v>40</v>
      </c>
      <c r="M354" s="7" t="s">
        <v>9</v>
      </c>
      <c r="N354" s="7" t="s">
        <v>55</v>
      </c>
      <c r="O354" s="7" t="s">
        <v>33</v>
      </c>
      <c r="P354" s="11" t="str">
        <f t="shared" si="10"/>
        <v>负</v>
      </c>
      <c r="Q354" s="11" t="str">
        <f t="shared" si="11"/>
        <v>负</v>
      </c>
    </row>
    <row r="355" spans="4:17" x14ac:dyDescent="0.15">
      <c r="D355" s="7" t="s">
        <v>6</v>
      </c>
      <c r="E355" s="7" t="s">
        <v>676</v>
      </c>
      <c r="F355" s="7" t="s">
        <v>676</v>
      </c>
      <c r="G355" s="7" t="s">
        <v>677</v>
      </c>
      <c r="H355" s="7" t="s">
        <v>38</v>
      </c>
      <c r="I355" s="7" t="s">
        <v>33</v>
      </c>
      <c r="J355" s="7" t="s">
        <v>39</v>
      </c>
      <c r="K355" s="7" t="s">
        <v>33</v>
      </c>
      <c r="L355" s="7" t="s">
        <v>51</v>
      </c>
      <c r="M355" s="7" t="s">
        <v>33</v>
      </c>
      <c r="N355" s="7" t="s">
        <v>10</v>
      </c>
      <c r="O355" s="7" t="s">
        <v>33</v>
      </c>
      <c r="P355" s="11" t="str">
        <f t="shared" si="10"/>
        <v>平</v>
      </c>
      <c r="Q355" s="11" t="str">
        <f t="shared" si="11"/>
        <v>胜</v>
      </c>
    </row>
    <row r="356" spans="4:17" x14ac:dyDescent="0.15">
      <c r="D356" s="7" t="s">
        <v>6</v>
      </c>
      <c r="E356" s="7" t="s">
        <v>678</v>
      </c>
      <c r="F356" s="7" t="s">
        <v>678</v>
      </c>
      <c r="G356" s="7" t="s">
        <v>679</v>
      </c>
      <c r="H356" s="7" t="s">
        <v>40</v>
      </c>
      <c r="I356" s="7" t="s">
        <v>9</v>
      </c>
      <c r="J356" s="7" t="s">
        <v>9</v>
      </c>
      <c r="K356" s="7" t="s">
        <v>33</v>
      </c>
      <c r="L356" s="7" t="s">
        <v>54</v>
      </c>
      <c r="M356" s="7" t="s">
        <v>33</v>
      </c>
      <c r="N356" s="7" t="s">
        <v>10</v>
      </c>
      <c r="O356" s="7" t="s">
        <v>33</v>
      </c>
      <c r="P356" s="11" t="str">
        <f t="shared" si="10"/>
        <v>胜</v>
      </c>
      <c r="Q356" s="11" t="str">
        <f t="shared" si="11"/>
        <v>胜</v>
      </c>
    </row>
    <row r="357" spans="4:17" x14ac:dyDescent="0.15">
      <c r="D357" s="7" t="s">
        <v>6</v>
      </c>
      <c r="E357" s="7" t="s">
        <v>680</v>
      </c>
      <c r="F357" s="7" t="s">
        <v>680</v>
      </c>
      <c r="G357" s="7" t="s">
        <v>681</v>
      </c>
      <c r="H357" s="7" t="s">
        <v>52</v>
      </c>
      <c r="I357" s="7" t="s">
        <v>9</v>
      </c>
      <c r="J357" s="7" t="s">
        <v>50</v>
      </c>
      <c r="K357" s="7" t="s">
        <v>33</v>
      </c>
      <c r="L357" s="7" t="s">
        <v>36</v>
      </c>
      <c r="M357" s="7" t="s">
        <v>33</v>
      </c>
      <c r="N357" s="7" t="s">
        <v>10</v>
      </c>
      <c r="O357" s="7" t="s">
        <v>33</v>
      </c>
      <c r="P357" s="11" t="str">
        <f t="shared" si="10"/>
        <v>胜</v>
      </c>
      <c r="Q357" s="11" t="str">
        <f t="shared" si="11"/>
        <v>胜</v>
      </c>
    </row>
    <row r="358" spans="4:17" x14ac:dyDescent="0.15">
      <c r="D358" s="7" t="s">
        <v>6</v>
      </c>
      <c r="E358" s="7" t="s">
        <v>682</v>
      </c>
      <c r="F358" s="7" t="s">
        <v>682</v>
      </c>
      <c r="G358" s="7" t="s">
        <v>683</v>
      </c>
      <c r="H358" s="7" t="s">
        <v>42</v>
      </c>
      <c r="I358" s="7" t="s">
        <v>33</v>
      </c>
      <c r="J358" s="7" t="s">
        <v>10</v>
      </c>
      <c r="K358" s="7" t="s">
        <v>33</v>
      </c>
      <c r="L358" s="7" t="s">
        <v>43</v>
      </c>
      <c r="M358" s="7" t="s">
        <v>10</v>
      </c>
      <c r="N358" s="7" t="s">
        <v>50</v>
      </c>
      <c r="O358" s="7" t="s">
        <v>33</v>
      </c>
      <c r="P358" s="11" t="str">
        <f t="shared" si="10"/>
        <v>负</v>
      </c>
      <c r="Q358" s="11" t="str">
        <f t="shared" si="11"/>
        <v>负</v>
      </c>
    </row>
    <row r="359" spans="4:17" x14ac:dyDescent="0.15">
      <c r="D359" s="7" t="s">
        <v>6</v>
      </c>
      <c r="E359" s="7" t="s">
        <v>684</v>
      </c>
      <c r="F359" s="7" t="s">
        <v>684</v>
      </c>
      <c r="G359" s="7" t="s">
        <v>685</v>
      </c>
      <c r="H359" s="7" t="s">
        <v>44</v>
      </c>
      <c r="I359" s="7" t="s">
        <v>9</v>
      </c>
      <c r="J359" s="7" t="s">
        <v>9</v>
      </c>
      <c r="K359" s="7" t="s">
        <v>33</v>
      </c>
      <c r="L359" s="7" t="s">
        <v>48</v>
      </c>
      <c r="M359" s="7" t="s">
        <v>33</v>
      </c>
      <c r="N359" s="7" t="s">
        <v>33</v>
      </c>
      <c r="O359" s="7" t="s">
        <v>33</v>
      </c>
      <c r="P359" s="11" t="str">
        <f t="shared" si="10"/>
        <v>胜</v>
      </c>
      <c r="Q359" s="11" t="str">
        <f t="shared" si="11"/>
        <v>胜</v>
      </c>
    </row>
    <row r="360" spans="4:17" x14ac:dyDescent="0.15">
      <c r="D360" s="7" t="s">
        <v>6</v>
      </c>
      <c r="E360" s="7" t="s">
        <v>686</v>
      </c>
      <c r="F360" s="7" t="s">
        <v>686</v>
      </c>
      <c r="G360" s="7" t="s">
        <v>685</v>
      </c>
      <c r="H360" s="7" t="s">
        <v>37</v>
      </c>
      <c r="I360" s="7" t="s">
        <v>33</v>
      </c>
      <c r="J360" s="7" t="s">
        <v>10</v>
      </c>
      <c r="K360" s="7" t="s">
        <v>33</v>
      </c>
      <c r="L360" s="7" t="s">
        <v>32</v>
      </c>
      <c r="M360" s="7" t="s">
        <v>33</v>
      </c>
      <c r="N360" s="7" t="s">
        <v>10</v>
      </c>
      <c r="O360" s="7" t="s">
        <v>33</v>
      </c>
      <c r="P360" s="11" t="str">
        <f t="shared" si="10"/>
        <v>平</v>
      </c>
      <c r="Q360" s="11" t="str">
        <f t="shared" si="11"/>
        <v>平</v>
      </c>
    </row>
    <row r="361" spans="4:17" x14ac:dyDescent="0.15">
      <c r="D361" s="7" t="s">
        <v>6</v>
      </c>
      <c r="E361" s="7" t="s">
        <v>687</v>
      </c>
      <c r="F361" s="7" t="s">
        <v>687</v>
      </c>
      <c r="G361" s="7" t="s">
        <v>685</v>
      </c>
      <c r="H361" s="7" t="s">
        <v>49</v>
      </c>
      <c r="I361" s="7" t="s">
        <v>9</v>
      </c>
      <c r="J361" s="7" t="s">
        <v>39</v>
      </c>
      <c r="K361" s="7" t="s">
        <v>33</v>
      </c>
      <c r="L361" s="7" t="s">
        <v>41</v>
      </c>
      <c r="M361" s="7" t="s">
        <v>33</v>
      </c>
      <c r="N361" s="7" t="s">
        <v>10</v>
      </c>
      <c r="O361" s="7" t="s">
        <v>33</v>
      </c>
      <c r="P361" s="11" t="str">
        <f t="shared" si="10"/>
        <v>胜</v>
      </c>
      <c r="Q361" s="11" t="str">
        <f t="shared" si="11"/>
        <v>胜</v>
      </c>
    </row>
    <row r="362" spans="4:17" x14ac:dyDescent="0.15">
      <c r="D362" s="7" t="s">
        <v>6</v>
      </c>
      <c r="E362" s="7" t="s">
        <v>688</v>
      </c>
      <c r="F362" s="7" t="s">
        <v>688</v>
      </c>
      <c r="G362" s="7" t="s">
        <v>689</v>
      </c>
      <c r="H362" s="7" t="s">
        <v>53</v>
      </c>
      <c r="I362" s="7" t="s">
        <v>10</v>
      </c>
      <c r="J362" s="7" t="s">
        <v>39</v>
      </c>
      <c r="K362" s="7" t="s">
        <v>33</v>
      </c>
      <c r="L362" s="7" t="s">
        <v>45</v>
      </c>
      <c r="M362" s="7" t="s">
        <v>10</v>
      </c>
      <c r="N362" s="7" t="s">
        <v>10</v>
      </c>
      <c r="O362" s="7" t="s">
        <v>33</v>
      </c>
      <c r="P362" s="11" t="str">
        <f t="shared" si="10"/>
        <v>平</v>
      </c>
      <c r="Q362" s="11" t="str">
        <f t="shared" si="11"/>
        <v>胜</v>
      </c>
    </row>
    <row r="363" spans="4:17" x14ac:dyDescent="0.15">
      <c r="D363" s="7" t="s">
        <v>6</v>
      </c>
      <c r="E363" s="7" t="s">
        <v>690</v>
      </c>
      <c r="F363" s="7" t="s">
        <v>690</v>
      </c>
      <c r="G363" s="7" t="s">
        <v>691</v>
      </c>
      <c r="H363" s="7" t="s">
        <v>48</v>
      </c>
      <c r="I363" s="7" t="s">
        <v>33</v>
      </c>
      <c r="J363" s="7" t="s">
        <v>33</v>
      </c>
      <c r="K363" s="7" t="s">
        <v>33</v>
      </c>
      <c r="L363" s="7" t="s">
        <v>49</v>
      </c>
      <c r="M363" s="7" t="s">
        <v>10</v>
      </c>
      <c r="N363" s="7" t="s">
        <v>10</v>
      </c>
      <c r="O363" s="7" t="s">
        <v>33</v>
      </c>
      <c r="P363" s="11" t="str">
        <f t="shared" si="10"/>
        <v>负</v>
      </c>
      <c r="Q363" s="11" t="str">
        <f t="shared" si="11"/>
        <v>负</v>
      </c>
    </row>
    <row r="364" spans="4:17" x14ac:dyDescent="0.15">
      <c r="D364" s="7" t="s">
        <v>6</v>
      </c>
      <c r="E364" s="7" t="s">
        <v>692</v>
      </c>
      <c r="F364" s="7" t="s">
        <v>692</v>
      </c>
      <c r="G364" s="7" t="s">
        <v>693</v>
      </c>
      <c r="H364" s="7" t="s">
        <v>41</v>
      </c>
      <c r="I364" s="7" t="s">
        <v>33</v>
      </c>
      <c r="J364" s="7" t="s">
        <v>10</v>
      </c>
      <c r="K364" s="7" t="s">
        <v>33</v>
      </c>
      <c r="L364" s="7" t="s">
        <v>53</v>
      </c>
      <c r="M364" s="7" t="s">
        <v>33</v>
      </c>
      <c r="N364" s="7" t="s">
        <v>33</v>
      </c>
      <c r="O364" s="7" t="s">
        <v>33</v>
      </c>
      <c r="P364" s="11" t="str">
        <f t="shared" si="10"/>
        <v>平</v>
      </c>
      <c r="Q364" s="11" t="str">
        <f t="shared" si="11"/>
        <v>胜</v>
      </c>
    </row>
    <row r="365" spans="4:17" x14ac:dyDescent="0.15">
      <c r="D365" s="7" t="s">
        <v>6</v>
      </c>
      <c r="E365" s="7" t="s">
        <v>694</v>
      </c>
      <c r="F365" s="7" t="s">
        <v>694</v>
      </c>
      <c r="G365" s="7" t="s">
        <v>695</v>
      </c>
      <c r="H365" s="7" t="s">
        <v>36</v>
      </c>
      <c r="I365" s="7" t="s">
        <v>33</v>
      </c>
      <c r="J365" s="7" t="s">
        <v>10</v>
      </c>
      <c r="K365" s="7" t="s">
        <v>33</v>
      </c>
      <c r="L365" s="7" t="s">
        <v>51</v>
      </c>
      <c r="M365" s="7" t="s">
        <v>10</v>
      </c>
      <c r="N365" s="7" t="s">
        <v>10</v>
      </c>
      <c r="O365" s="7" t="s">
        <v>33</v>
      </c>
      <c r="P365" s="11" t="str">
        <f t="shared" si="10"/>
        <v>负</v>
      </c>
      <c r="Q365" s="11" t="str">
        <f t="shared" si="11"/>
        <v>平</v>
      </c>
    </row>
    <row r="366" spans="4:17" x14ac:dyDescent="0.15">
      <c r="D366" s="7" t="s">
        <v>6</v>
      </c>
      <c r="E366" s="7" t="s">
        <v>696</v>
      </c>
      <c r="F366" s="7" t="s">
        <v>696</v>
      </c>
      <c r="G366" s="7" t="s">
        <v>697</v>
      </c>
      <c r="H366" s="7" t="s">
        <v>43</v>
      </c>
      <c r="I366" s="7" t="s">
        <v>10</v>
      </c>
      <c r="J366" s="7" t="s">
        <v>10</v>
      </c>
      <c r="K366" s="7" t="s">
        <v>33</v>
      </c>
      <c r="L366" s="7" t="s">
        <v>38</v>
      </c>
      <c r="M366" s="7" t="s">
        <v>10</v>
      </c>
      <c r="N366" s="7" t="s">
        <v>9</v>
      </c>
      <c r="O366" s="7" t="s">
        <v>33</v>
      </c>
      <c r="P366" s="11" t="str">
        <f t="shared" si="10"/>
        <v>平</v>
      </c>
      <c r="Q366" s="11" t="str">
        <f t="shared" si="11"/>
        <v>负</v>
      </c>
    </row>
    <row r="367" spans="4:17" x14ac:dyDescent="0.15">
      <c r="D367" s="7" t="s">
        <v>6</v>
      </c>
      <c r="E367" s="7" t="s">
        <v>698</v>
      </c>
      <c r="F367" s="7" t="s">
        <v>698</v>
      </c>
      <c r="G367" s="7" t="s">
        <v>699</v>
      </c>
      <c r="H367" s="7" t="s">
        <v>32</v>
      </c>
      <c r="I367" s="11" t="s">
        <v>33</v>
      </c>
      <c r="J367" s="7" t="s">
        <v>33</v>
      </c>
      <c r="K367" s="7" t="s">
        <v>33</v>
      </c>
      <c r="L367" s="7" t="s">
        <v>44</v>
      </c>
      <c r="M367" s="7" t="s">
        <v>10</v>
      </c>
      <c r="N367" s="7" t="s">
        <v>39</v>
      </c>
      <c r="O367" s="7" t="s">
        <v>33</v>
      </c>
      <c r="P367" s="11" t="str">
        <f t="shared" si="10"/>
        <v>负</v>
      </c>
      <c r="Q367" s="11" t="str">
        <f t="shared" si="11"/>
        <v>负</v>
      </c>
    </row>
    <row r="368" spans="4:17" x14ac:dyDescent="0.15">
      <c r="D368" s="7" t="s">
        <v>6</v>
      </c>
      <c r="E368" s="7" t="s">
        <v>700</v>
      </c>
      <c r="F368" s="7" t="s">
        <v>700</v>
      </c>
      <c r="G368" s="7" t="s">
        <v>701</v>
      </c>
      <c r="H368" s="7" t="s">
        <v>54</v>
      </c>
      <c r="I368" s="7" t="s">
        <v>10</v>
      </c>
      <c r="J368" s="7" t="s">
        <v>39</v>
      </c>
      <c r="K368" s="7" t="s">
        <v>33</v>
      </c>
      <c r="L368" s="7" t="s">
        <v>52</v>
      </c>
      <c r="M368" s="7" t="s">
        <v>10</v>
      </c>
      <c r="N368" s="7" t="s">
        <v>39</v>
      </c>
      <c r="O368" s="7" t="s">
        <v>33</v>
      </c>
      <c r="P368" s="11" t="str">
        <f t="shared" si="10"/>
        <v>平</v>
      </c>
      <c r="Q368" s="11" t="str">
        <f t="shared" si="11"/>
        <v>平</v>
      </c>
    </row>
    <row r="369" spans="4:17" x14ac:dyDescent="0.15">
      <c r="D369" s="7" t="s">
        <v>6</v>
      </c>
      <c r="E369" s="7" t="s">
        <v>702</v>
      </c>
      <c r="F369" s="7" t="s">
        <v>702</v>
      </c>
      <c r="G369" s="7" t="s">
        <v>703</v>
      </c>
      <c r="H369" s="7" t="s">
        <v>40</v>
      </c>
      <c r="I369" s="7" t="s">
        <v>39</v>
      </c>
      <c r="J369" s="7" t="s">
        <v>39</v>
      </c>
      <c r="K369" s="7" t="s">
        <v>33</v>
      </c>
      <c r="L369" s="7" t="s">
        <v>37</v>
      </c>
      <c r="M369" s="7" t="s">
        <v>10</v>
      </c>
      <c r="N369" s="7" t="s">
        <v>39</v>
      </c>
      <c r="O369" s="7" t="s">
        <v>33</v>
      </c>
      <c r="P369" s="11" t="str">
        <f t="shared" si="10"/>
        <v>胜</v>
      </c>
      <c r="Q369" s="11" t="str">
        <f t="shared" si="11"/>
        <v>平</v>
      </c>
    </row>
    <row r="370" spans="4:17" x14ac:dyDescent="0.15">
      <c r="D370" s="7" t="s">
        <v>6</v>
      </c>
      <c r="E370" s="7" t="s">
        <v>704</v>
      </c>
      <c r="F370" s="7" t="s">
        <v>704</v>
      </c>
      <c r="G370" s="7" t="s">
        <v>705</v>
      </c>
      <c r="H370" s="7" t="s">
        <v>45</v>
      </c>
      <c r="I370" s="7" t="s">
        <v>10</v>
      </c>
      <c r="J370" s="7" t="s">
        <v>9</v>
      </c>
      <c r="K370" s="7" t="s">
        <v>33</v>
      </c>
      <c r="L370" s="7" t="s">
        <v>42</v>
      </c>
      <c r="M370" s="7" t="s">
        <v>10</v>
      </c>
      <c r="N370" s="7" t="s">
        <v>10</v>
      </c>
      <c r="O370" s="7" t="s">
        <v>33</v>
      </c>
      <c r="P370" s="11" t="str">
        <f t="shared" si="10"/>
        <v>平</v>
      </c>
      <c r="Q370" s="11" t="str">
        <f t="shared" si="11"/>
        <v>胜</v>
      </c>
    </row>
    <row r="371" spans="4:17" x14ac:dyDescent="0.15">
      <c r="D371" s="7" t="s">
        <v>6</v>
      </c>
      <c r="E371" s="7" t="s">
        <v>706</v>
      </c>
      <c r="F371" s="7" t="s">
        <v>706</v>
      </c>
      <c r="G371" s="7" t="s">
        <v>707</v>
      </c>
      <c r="H371" s="7" t="s">
        <v>44</v>
      </c>
      <c r="I371" s="7" t="s">
        <v>33</v>
      </c>
      <c r="J371" s="7" t="s">
        <v>39</v>
      </c>
      <c r="K371" s="7" t="s">
        <v>33</v>
      </c>
      <c r="L371" s="7" t="s">
        <v>41</v>
      </c>
      <c r="M371" s="7" t="s">
        <v>33</v>
      </c>
      <c r="N371" s="7" t="s">
        <v>10</v>
      </c>
      <c r="O371" s="7" t="s">
        <v>33</v>
      </c>
      <c r="P371" s="11" t="str">
        <f t="shared" si="10"/>
        <v>平</v>
      </c>
      <c r="Q371" s="11" t="str">
        <f t="shared" si="11"/>
        <v>胜</v>
      </c>
    </row>
    <row r="372" spans="4:17" x14ac:dyDescent="0.15">
      <c r="D372" s="7" t="s">
        <v>6</v>
      </c>
      <c r="E372" s="7" t="s">
        <v>708</v>
      </c>
      <c r="F372" s="7" t="s">
        <v>708</v>
      </c>
      <c r="G372" s="7" t="s">
        <v>709</v>
      </c>
      <c r="H372" s="7" t="s">
        <v>42</v>
      </c>
      <c r="I372" s="7" t="s">
        <v>10</v>
      </c>
      <c r="J372" s="7" t="s">
        <v>39</v>
      </c>
      <c r="K372" s="7" t="s">
        <v>33</v>
      </c>
      <c r="L372" s="7" t="s">
        <v>36</v>
      </c>
      <c r="M372" s="7" t="s">
        <v>10</v>
      </c>
      <c r="N372" s="7" t="s">
        <v>9</v>
      </c>
      <c r="O372" s="7" t="s">
        <v>33</v>
      </c>
      <c r="P372" s="11" t="str">
        <f t="shared" si="10"/>
        <v>平</v>
      </c>
      <c r="Q372" s="11" t="str">
        <f t="shared" si="11"/>
        <v>胜</v>
      </c>
    </row>
    <row r="373" spans="4:17" x14ac:dyDescent="0.15">
      <c r="D373" s="7" t="s">
        <v>6</v>
      </c>
      <c r="E373" s="7" t="s">
        <v>710</v>
      </c>
      <c r="F373" s="7" t="s">
        <v>710</v>
      </c>
      <c r="G373" s="7" t="s">
        <v>709</v>
      </c>
      <c r="H373" s="7" t="s">
        <v>52</v>
      </c>
      <c r="I373" s="7" t="s">
        <v>33</v>
      </c>
      <c r="J373" s="7" t="s">
        <v>10</v>
      </c>
      <c r="K373" s="7" t="s">
        <v>33</v>
      </c>
      <c r="L373" s="7" t="s">
        <v>40</v>
      </c>
      <c r="M373" s="7" t="s">
        <v>9</v>
      </c>
      <c r="N373" s="7" t="s">
        <v>9</v>
      </c>
      <c r="O373" s="7" t="s">
        <v>33</v>
      </c>
      <c r="P373" s="11" t="str">
        <f t="shared" si="10"/>
        <v>负</v>
      </c>
      <c r="Q373" s="11" t="str">
        <f t="shared" si="11"/>
        <v>负</v>
      </c>
    </row>
    <row r="374" spans="4:17" x14ac:dyDescent="0.15">
      <c r="D374" s="7" t="s">
        <v>6</v>
      </c>
      <c r="E374" s="7" t="s">
        <v>711</v>
      </c>
      <c r="F374" s="7" t="s">
        <v>711</v>
      </c>
      <c r="G374" s="7" t="s">
        <v>709</v>
      </c>
      <c r="H374" s="7" t="s">
        <v>53</v>
      </c>
      <c r="I374" s="7" t="s">
        <v>10</v>
      </c>
      <c r="J374" s="7" t="s">
        <v>39</v>
      </c>
      <c r="K374" s="7" t="s">
        <v>33</v>
      </c>
      <c r="L374" s="7" t="s">
        <v>32</v>
      </c>
      <c r="M374" s="7" t="s">
        <v>10</v>
      </c>
      <c r="N374" s="7" t="s">
        <v>10</v>
      </c>
      <c r="O374" s="7" t="s">
        <v>33</v>
      </c>
      <c r="P374" s="11" t="str">
        <f t="shared" si="10"/>
        <v>平</v>
      </c>
      <c r="Q374" s="11" t="str">
        <f t="shared" si="11"/>
        <v>胜</v>
      </c>
    </row>
    <row r="375" spans="4:17" x14ac:dyDescent="0.15">
      <c r="D375" s="7" t="s">
        <v>6</v>
      </c>
      <c r="E375" s="7" t="s">
        <v>712</v>
      </c>
      <c r="F375" s="7" t="s">
        <v>712</v>
      </c>
      <c r="G375" s="7" t="s">
        <v>713</v>
      </c>
      <c r="H375" s="7" t="s">
        <v>49</v>
      </c>
      <c r="I375" s="7" t="s">
        <v>9</v>
      </c>
      <c r="J375" s="7" t="s">
        <v>9</v>
      </c>
      <c r="K375" s="7" t="s">
        <v>33</v>
      </c>
      <c r="L375" s="7" t="s">
        <v>54</v>
      </c>
      <c r="M375" s="7" t="s">
        <v>33</v>
      </c>
      <c r="N375" s="7" t="s">
        <v>9</v>
      </c>
      <c r="O375" s="7" t="s">
        <v>33</v>
      </c>
      <c r="P375" s="11" t="str">
        <f t="shared" si="10"/>
        <v>胜</v>
      </c>
      <c r="Q375" s="11" t="str">
        <f t="shared" si="11"/>
        <v>平</v>
      </c>
    </row>
    <row r="376" spans="4:17" x14ac:dyDescent="0.15">
      <c r="D376" s="7" t="s">
        <v>6</v>
      </c>
      <c r="E376" s="7" t="s">
        <v>714</v>
      </c>
      <c r="F376" s="7" t="s">
        <v>714</v>
      </c>
      <c r="G376" s="7" t="s">
        <v>709</v>
      </c>
      <c r="H376" s="7" t="s">
        <v>51</v>
      </c>
      <c r="I376" s="7" t="s">
        <v>33</v>
      </c>
      <c r="J376" s="7" t="s">
        <v>10</v>
      </c>
      <c r="K376" s="7" t="s">
        <v>33</v>
      </c>
      <c r="L376" s="7" t="s">
        <v>43</v>
      </c>
      <c r="M376" s="7" t="s">
        <v>10</v>
      </c>
      <c r="N376" s="7" t="s">
        <v>9</v>
      </c>
      <c r="O376" s="7" t="s">
        <v>33</v>
      </c>
      <c r="P376" s="11" t="str">
        <f t="shared" si="10"/>
        <v>负</v>
      </c>
      <c r="Q376" s="11" t="str">
        <f t="shared" si="11"/>
        <v>负</v>
      </c>
    </row>
    <row r="377" spans="4:17" x14ac:dyDescent="0.15">
      <c r="D377" s="7" t="s">
        <v>6</v>
      </c>
      <c r="E377" s="7" t="s">
        <v>715</v>
      </c>
      <c r="F377" s="7" t="s">
        <v>715</v>
      </c>
      <c r="G377" s="7" t="s">
        <v>709</v>
      </c>
      <c r="H377" s="7" t="s">
        <v>38</v>
      </c>
      <c r="I377" s="7" t="s">
        <v>10</v>
      </c>
      <c r="J377" s="7" t="s">
        <v>50</v>
      </c>
      <c r="K377" s="7" t="s">
        <v>33</v>
      </c>
      <c r="L377" s="7" t="s">
        <v>45</v>
      </c>
      <c r="M377" s="7" t="s">
        <v>33</v>
      </c>
      <c r="N377" s="7" t="s">
        <v>10</v>
      </c>
      <c r="O377" s="7" t="s">
        <v>33</v>
      </c>
      <c r="P377" s="11" t="str">
        <f t="shared" si="10"/>
        <v>胜</v>
      </c>
      <c r="Q377" s="11" t="str">
        <f t="shared" si="11"/>
        <v>胜</v>
      </c>
    </row>
    <row r="378" spans="4:17" x14ac:dyDescent="0.15">
      <c r="D378" s="7" t="s">
        <v>6</v>
      </c>
      <c r="E378" s="7" t="s">
        <v>716</v>
      </c>
      <c r="F378" s="7" t="s">
        <v>716</v>
      </c>
      <c r="G378" s="7" t="s">
        <v>709</v>
      </c>
      <c r="H378" s="7" t="s">
        <v>37</v>
      </c>
      <c r="I378" s="7" t="s">
        <v>10</v>
      </c>
      <c r="J378" s="7" t="s">
        <v>50</v>
      </c>
      <c r="K378" s="7" t="s">
        <v>33</v>
      </c>
      <c r="L378" s="7" t="s">
        <v>48</v>
      </c>
      <c r="M378" s="7" t="s">
        <v>10</v>
      </c>
      <c r="N378" s="7" t="s">
        <v>39</v>
      </c>
      <c r="O378" s="7" t="s">
        <v>33</v>
      </c>
      <c r="P378" s="11" t="str">
        <f t="shared" si="10"/>
        <v>平</v>
      </c>
      <c r="Q378" s="11" t="str">
        <f t="shared" si="11"/>
        <v>胜</v>
      </c>
    </row>
    <row r="379" spans="4:17" x14ac:dyDescent="0.15">
      <c r="D379" s="7" t="s">
        <v>6</v>
      </c>
      <c r="E379" s="7" t="s">
        <v>717</v>
      </c>
      <c r="F379" s="7" t="s">
        <v>717</v>
      </c>
      <c r="G379" s="7" t="s">
        <v>718</v>
      </c>
      <c r="H379" s="7" t="s">
        <v>43</v>
      </c>
      <c r="I379" s="7" t="s">
        <v>33</v>
      </c>
      <c r="J379" s="7" t="s">
        <v>33</v>
      </c>
      <c r="K379" s="7" t="s">
        <v>33</v>
      </c>
      <c r="L379" s="7" t="s">
        <v>37</v>
      </c>
      <c r="M379" s="7" t="s">
        <v>33</v>
      </c>
      <c r="N379" s="7" t="s">
        <v>10</v>
      </c>
      <c r="O379" s="7" t="s">
        <v>33</v>
      </c>
      <c r="P379" s="11" t="str">
        <f t="shared" si="10"/>
        <v>平</v>
      </c>
      <c r="Q379" s="11" t="str">
        <f t="shared" si="11"/>
        <v>负</v>
      </c>
    </row>
    <row r="380" spans="4:17" x14ac:dyDescent="0.15">
      <c r="D380" s="7" t="s">
        <v>6</v>
      </c>
      <c r="E380" s="7" t="s">
        <v>719</v>
      </c>
      <c r="F380" s="7" t="s">
        <v>719</v>
      </c>
      <c r="G380" s="7" t="s">
        <v>720</v>
      </c>
      <c r="H380" s="7" t="s">
        <v>32</v>
      </c>
      <c r="I380" s="11" t="s">
        <v>33</v>
      </c>
      <c r="J380" s="7" t="s">
        <v>55</v>
      </c>
      <c r="K380" s="7" t="s">
        <v>33</v>
      </c>
      <c r="L380" s="7" t="s">
        <v>42</v>
      </c>
      <c r="M380" s="7" t="s">
        <v>10</v>
      </c>
      <c r="N380" s="7" t="s">
        <v>10</v>
      </c>
      <c r="O380" s="7" t="s">
        <v>33</v>
      </c>
      <c r="P380" s="11" t="str">
        <f t="shared" si="10"/>
        <v>负</v>
      </c>
      <c r="Q380" s="11" t="str">
        <f t="shared" si="11"/>
        <v>胜</v>
      </c>
    </row>
    <row r="381" spans="4:17" x14ac:dyDescent="0.15">
      <c r="D381" s="7" t="s">
        <v>6</v>
      </c>
      <c r="E381" s="7" t="s">
        <v>721</v>
      </c>
      <c r="F381" s="7" t="s">
        <v>721</v>
      </c>
      <c r="G381" s="7" t="s">
        <v>720</v>
      </c>
      <c r="H381" s="7" t="s">
        <v>36</v>
      </c>
      <c r="I381" s="7" t="s">
        <v>33</v>
      </c>
      <c r="J381" s="7" t="s">
        <v>33</v>
      </c>
      <c r="K381" s="7" t="s">
        <v>33</v>
      </c>
      <c r="L381" s="7" t="s">
        <v>38</v>
      </c>
      <c r="M381" s="7" t="s">
        <v>9</v>
      </c>
      <c r="N381" s="7" t="s">
        <v>39</v>
      </c>
      <c r="O381" s="7" t="s">
        <v>33</v>
      </c>
      <c r="P381" s="11" t="str">
        <f t="shared" si="10"/>
        <v>负</v>
      </c>
      <c r="Q381" s="11" t="str">
        <f t="shared" si="11"/>
        <v>负</v>
      </c>
    </row>
    <row r="382" spans="4:17" x14ac:dyDescent="0.15">
      <c r="D382" s="7" t="s">
        <v>6</v>
      </c>
      <c r="E382" s="7" t="s">
        <v>722</v>
      </c>
      <c r="F382" s="7" t="s">
        <v>722</v>
      </c>
      <c r="G382" s="7" t="s">
        <v>723</v>
      </c>
      <c r="H382" s="7" t="s">
        <v>41</v>
      </c>
      <c r="I382" s="7" t="s">
        <v>33</v>
      </c>
      <c r="J382" s="7" t="s">
        <v>9</v>
      </c>
      <c r="K382" s="7" t="s">
        <v>33</v>
      </c>
      <c r="L382" s="7" t="s">
        <v>52</v>
      </c>
      <c r="M382" s="7" t="s">
        <v>33</v>
      </c>
      <c r="N382" s="7" t="s">
        <v>10</v>
      </c>
      <c r="O382" s="7" t="s">
        <v>33</v>
      </c>
      <c r="P382" s="11" t="str">
        <f t="shared" si="10"/>
        <v>平</v>
      </c>
      <c r="Q382" s="11" t="str">
        <f t="shared" si="11"/>
        <v>胜</v>
      </c>
    </row>
    <row r="383" spans="4:17" x14ac:dyDescent="0.15">
      <c r="D383" s="7" t="s">
        <v>6</v>
      </c>
      <c r="E383" s="7" t="s">
        <v>724</v>
      </c>
      <c r="F383" s="7" t="s">
        <v>724</v>
      </c>
      <c r="G383" s="7" t="s">
        <v>720</v>
      </c>
      <c r="H383" s="7" t="s">
        <v>45</v>
      </c>
      <c r="I383" s="7" t="s">
        <v>33</v>
      </c>
      <c r="J383" s="7" t="s">
        <v>39</v>
      </c>
      <c r="K383" s="7" t="s">
        <v>33</v>
      </c>
      <c r="L383" s="7" t="s">
        <v>51</v>
      </c>
      <c r="M383" s="7" t="s">
        <v>10</v>
      </c>
      <c r="N383" s="7" t="s">
        <v>10</v>
      </c>
      <c r="O383" s="7" t="s">
        <v>33</v>
      </c>
      <c r="P383" s="11" t="str">
        <f t="shared" si="10"/>
        <v>负</v>
      </c>
      <c r="Q383" s="11" t="str">
        <f t="shared" si="11"/>
        <v>胜</v>
      </c>
    </row>
    <row r="384" spans="4:17" x14ac:dyDescent="0.15">
      <c r="D384" s="7" t="s">
        <v>6</v>
      </c>
      <c r="E384" s="7" t="s">
        <v>725</v>
      </c>
      <c r="F384" s="7" t="s">
        <v>725</v>
      </c>
      <c r="G384" s="7" t="s">
        <v>720</v>
      </c>
      <c r="H384" s="7" t="s">
        <v>40</v>
      </c>
      <c r="I384" s="7" t="s">
        <v>9</v>
      </c>
      <c r="J384" s="7" t="s">
        <v>9</v>
      </c>
      <c r="K384" s="7" t="s">
        <v>33</v>
      </c>
      <c r="L384" s="7" t="s">
        <v>49</v>
      </c>
      <c r="M384" s="7" t="s">
        <v>33</v>
      </c>
      <c r="N384" s="7" t="s">
        <v>9</v>
      </c>
      <c r="O384" s="7" t="s">
        <v>33</v>
      </c>
      <c r="P384" s="11" t="str">
        <f t="shared" si="10"/>
        <v>胜</v>
      </c>
      <c r="Q384" s="11" t="str">
        <f t="shared" si="11"/>
        <v>平</v>
      </c>
    </row>
    <row r="385" spans="4:17" x14ac:dyDescent="0.15">
      <c r="D385" s="7" t="s">
        <v>6</v>
      </c>
      <c r="E385" s="7" t="s">
        <v>726</v>
      </c>
      <c r="F385" s="7" t="s">
        <v>726</v>
      </c>
      <c r="G385" s="7" t="s">
        <v>720</v>
      </c>
      <c r="H385" s="7" t="s">
        <v>48</v>
      </c>
      <c r="I385" s="7" t="s">
        <v>33</v>
      </c>
      <c r="J385" s="7" t="s">
        <v>33</v>
      </c>
      <c r="K385" s="7" t="s">
        <v>33</v>
      </c>
      <c r="L385" s="7" t="s">
        <v>53</v>
      </c>
      <c r="M385" s="7" t="s">
        <v>10</v>
      </c>
      <c r="N385" s="7" t="s">
        <v>10</v>
      </c>
      <c r="O385" s="7" t="s">
        <v>33</v>
      </c>
      <c r="P385" s="11" t="str">
        <f t="shared" si="10"/>
        <v>负</v>
      </c>
      <c r="Q385" s="11" t="str">
        <f t="shared" si="11"/>
        <v>负</v>
      </c>
    </row>
    <row r="386" spans="4:17" x14ac:dyDescent="0.15">
      <c r="D386" s="7" t="s">
        <v>6</v>
      </c>
      <c r="E386" s="7" t="s">
        <v>727</v>
      </c>
      <c r="F386" s="7" t="s">
        <v>727</v>
      </c>
      <c r="G386" s="7" t="s">
        <v>728</v>
      </c>
      <c r="H386" s="7" t="s">
        <v>54</v>
      </c>
      <c r="I386" s="7" t="s">
        <v>10</v>
      </c>
      <c r="J386" s="7" t="s">
        <v>47</v>
      </c>
      <c r="K386" s="7" t="s">
        <v>33</v>
      </c>
      <c r="L386" s="7" t="s">
        <v>44</v>
      </c>
      <c r="M386" s="7" t="s">
        <v>33</v>
      </c>
      <c r="N386" s="7" t="s">
        <v>33</v>
      </c>
      <c r="O386" s="7" t="s">
        <v>33</v>
      </c>
      <c r="P386" s="11" t="str">
        <f t="shared" si="10"/>
        <v>胜</v>
      </c>
      <c r="Q386" s="11" t="str">
        <f t="shared" si="11"/>
        <v>胜</v>
      </c>
    </row>
    <row r="387" spans="4:17" x14ac:dyDescent="0.15">
      <c r="D387" s="7" t="s">
        <v>6</v>
      </c>
      <c r="E387" s="7" t="s">
        <v>729</v>
      </c>
      <c r="F387" s="7" t="s">
        <v>729</v>
      </c>
      <c r="G387" s="7" t="s">
        <v>730</v>
      </c>
      <c r="H387" s="7" t="s">
        <v>43</v>
      </c>
      <c r="I387" s="7" t="s">
        <v>33</v>
      </c>
      <c r="J387" s="7" t="s">
        <v>10</v>
      </c>
      <c r="K387" s="7" t="s">
        <v>33</v>
      </c>
      <c r="L387" s="7" t="s">
        <v>42</v>
      </c>
      <c r="M387" s="7" t="s">
        <v>33</v>
      </c>
      <c r="N387" s="7" t="s">
        <v>33</v>
      </c>
      <c r="O387" s="7" t="s">
        <v>33</v>
      </c>
      <c r="P387" s="11" t="str">
        <f t="shared" si="10"/>
        <v>平</v>
      </c>
      <c r="Q387" s="11" t="str">
        <f t="shared" si="11"/>
        <v>胜</v>
      </c>
    </row>
    <row r="388" spans="4:17" x14ac:dyDescent="0.15">
      <c r="D388" s="7" t="s">
        <v>6</v>
      </c>
      <c r="E388" s="7" t="s">
        <v>731</v>
      </c>
      <c r="F388" s="7" t="s">
        <v>731</v>
      </c>
      <c r="G388" s="7" t="s">
        <v>732</v>
      </c>
      <c r="H388" s="7" t="s">
        <v>40</v>
      </c>
      <c r="I388" s="7" t="s">
        <v>9</v>
      </c>
      <c r="J388" s="7" t="s">
        <v>9</v>
      </c>
      <c r="K388" s="7" t="s">
        <v>33</v>
      </c>
      <c r="L388" s="7" t="s">
        <v>46</v>
      </c>
      <c r="M388" s="7" t="s">
        <v>10</v>
      </c>
      <c r="N388" s="7" t="s">
        <v>9</v>
      </c>
      <c r="O388" s="7" t="s">
        <v>33</v>
      </c>
      <c r="P388" s="11" t="str">
        <f t="shared" si="10"/>
        <v>胜</v>
      </c>
      <c r="Q388" s="11" t="str">
        <f t="shared" si="11"/>
        <v>平</v>
      </c>
    </row>
    <row r="389" spans="4:17" x14ac:dyDescent="0.15">
      <c r="D389" s="7" t="s">
        <v>6</v>
      </c>
      <c r="E389" s="7" t="s">
        <v>733</v>
      </c>
      <c r="F389" s="7" t="s">
        <v>733</v>
      </c>
      <c r="G389" s="7" t="s">
        <v>732</v>
      </c>
      <c r="H389" s="7" t="s">
        <v>32</v>
      </c>
      <c r="I389" s="11" t="s">
        <v>10</v>
      </c>
      <c r="J389" s="7" t="s">
        <v>9</v>
      </c>
      <c r="K389" s="7" t="s">
        <v>33</v>
      </c>
      <c r="L389" s="7" t="s">
        <v>35</v>
      </c>
      <c r="M389" s="7" t="s">
        <v>33</v>
      </c>
      <c r="N389" s="7" t="s">
        <v>33</v>
      </c>
      <c r="O389" s="7" t="s">
        <v>33</v>
      </c>
      <c r="P389" s="11" t="str">
        <f t="shared" si="10"/>
        <v>胜</v>
      </c>
      <c r="Q389" s="11" t="str">
        <f t="shared" si="11"/>
        <v>胜</v>
      </c>
    </row>
    <row r="390" spans="4:17" x14ac:dyDescent="0.15">
      <c r="D390" s="7" t="s">
        <v>6</v>
      </c>
      <c r="E390" s="7" t="s">
        <v>734</v>
      </c>
      <c r="F390" s="7" t="s">
        <v>734</v>
      </c>
      <c r="G390" s="7" t="s">
        <v>735</v>
      </c>
      <c r="H390" s="7" t="s">
        <v>41</v>
      </c>
      <c r="I390" s="7" t="s">
        <v>33</v>
      </c>
      <c r="J390" s="7" t="s">
        <v>33</v>
      </c>
      <c r="K390" s="7" t="s">
        <v>33</v>
      </c>
      <c r="L390" s="7" t="s">
        <v>48</v>
      </c>
      <c r="M390" s="7" t="s">
        <v>33</v>
      </c>
      <c r="N390" s="7" t="s">
        <v>10</v>
      </c>
      <c r="O390" s="7" t="s">
        <v>33</v>
      </c>
      <c r="P390" s="11" t="str">
        <f t="shared" si="10"/>
        <v>平</v>
      </c>
      <c r="Q390" s="11" t="str">
        <f t="shared" si="11"/>
        <v>负</v>
      </c>
    </row>
    <row r="391" spans="4:17" x14ac:dyDescent="0.15">
      <c r="D391" s="7" t="s">
        <v>6</v>
      </c>
      <c r="E391" s="7" t="s">
        <v>736</v>
      </c>
      <c r="F391" s="7" t="s">
        <v>736</v>
      </c>
      <c r="G391" s="7" t="s">
        <v>737</v>
      </c>
      <c r="H391" s="7" t="s">
        <v>36</v>
      </c>
      <c r="I391" s="7" t="s">
        <v>10</v>
      </c>
      <c r="J391" s="7" t="s">
        <v>10</v>
      </c>
      <c r="K391" s="7" t="s">
        <v>33</v>
      </c>
      <c r="L391" s="7" t="s">
        <v>44</v>
      </c>
      <c r="M391" s="7" t="s">
        <v>10</v>
      </c>
      <c r="N391" s="7" t="s">
        <v>10</v>
      </c>
      <c r="O391" s="7" t="s">
        <v>33</v>
      </c>
      <c r="P391" s="11" t="str">
        <f t="shared" si="10"/>
        <v>平</v>
      </c>
      <c r="Q391" s="11" t="str">
        <f t="shared" si="11"/>
        <v>平</v>
      </c>
    </row>
    <row r="392" spans="4:17" x14ac:dyDescent="0.15">
      <c r="D392" s="7" t="s">
        <v>6</v>
      </c>
      <c r="E392" s="7" t="s">
        <v>738</v>
      </c>
      <c r="F392" s="7" t="s">
        <v>738</v>
      </c>
      <c r="G392" s="7" t="s">
        <v>739</v>
      </c>
      <c r="H392" s="7" t="s">
        <v>38</v>
      </c>
      <c r="I392" s="7" t="s">
        <v>10</v>
      </c>
      <c r="J392" s="7" t="s">
        <v>10</v>
      </c>
      <c r="K392" s="7" t="s">
        <v>33</v>
      </c>
      <c r="L392" s="7" t="s">
        <v>53</v>
      </c>
      <c r="M392" s="7" t="s">
        <v>33</v>
      </c>
      <c r="N392" s="7" t="s">
        <v>10</v>
      </c>
      <c r="O392" s="7" t="s">
        <v>33</v>
      </c>
      <c r="P392" s="11" t="str">
        <f t="shared" si="10"/>
        <v>胜</v>
      </c>
      <c r="Q392" s="11" t="str">
        <f t="shared" si="11"/>
        <v>平</v>
      </c>
    </row>
    <row r="393" spans="4:17" x14ac:dyDescent="0.15">
      <c r="D393" s="7" t="s">
        <v>6</v>
      </c>
      <c r="E393" s="7" t="s">
        <v>740</v>
      </c>
      <c r="F393" s="7" t="s">
        <v>740</v>
      </c>
      <c r="G393" s="7" t="s">
        <v>741</v>
      </c>
      <c r="H393" s="7" t="s">
        <v>49</v>
      </c>
      <c r="I393" s="7" t="s">
        <v>33</v>
      </c>
      <c r="J393" s="7" t="s">
        <v>33</v>
      </c>
      <c r="K393" s="7" t="s">
        <v>33</v>
      </c>
      <c r="L393" s="7" t="s">
        <v>45</v>
      </c>
      <c r="M393" s="7" t="s">
        <v>10</v>
      </c>
      <c r="N393" s="7" t="s">
        <v>9</v>
      </c>
      <c r="O393" s="7" t="s">
        <v>33</v>
      </c>
      <c r="P393" s="11" t="str">
        <f t="shared" si="10"/>
        <v>负</v>
      </c>
      <c r="Q393" s="11" t="str">
        <f t="shared" si="11"/>
        <v>负</v>
      </c>
    </row>
    <row r="394" spans="4:17" x14ac:dyDescent="0.15">
      <c r="D394" s="7" t="s">
        <v>6</v>
      </c>
      <c r="E394" s="7" t="s">
        <v>742</v>
      </c>
      <c r="F394" s="7" t="s">
        <v>742</v>
      </c>
      <c r="G394" s="7" t="s">
        <v>743</v>
      </c>
      <c r="H394" s="7" t="s">
        <v>54</v>
      </c>
      <c r="I394" s="7" t="s">
        <v>10</v>
      </c>
      <c r="J394" s="7" t="s">
        <v>10</v>
      </c>
      <c r="K394" s="7" t="s">
        <v>33</v>
      </c>
      <c r="L394" s="7" t="s">
        <v>37</v>
      </c>
      <c r="M394" s="7" t="s">
        <v>33</v>
      </c>
      <c r="N394" s="7" t="s">
        <v>33</v>
      </c>
      <c r="O394" s="7" t="s">
        <v>33</v>
      </c>
      <c r="P394" s="11" t="str">
        <f t="shared" si="10"/>
        <v>胜</v>
      </c>
      <c r="Q394" s="11" t="str">
        <f t="shared" si="11"/>
        <v>胜</v>
      </c>
    </row>
    <row r="395" spans="4:17" x14ac:dyDescent="0.15">
      <c r="D395" s="7" t="s">
        <v>6</v>
      </c>
      <c r="E395" s="7" t="s">
        <v>744</v>
      </c>
      <c r="F395" s="7" t="s">
        <v>744</v>
      </c>
      <c r="G395" s="7" t="s">
        <v>745</v>
      </c>
      <c r="H395" s="7" t="s">
        <v>53</v>
      </c>
      <c r="I395" s="7" t="s">
        <v>33</v>
      </c>
      <c r="J395" s="7" t="s">
        <v>33</v>
      </c>
      <c r="K395" s="7" t="s">
        <v>33</v>
      </c>
      <c r="L395" s="7" t="s">
        <v>36</v>
      </c>
      <c r="M395" s="7" t="s">
        <v>33</v>
      </c>
      <c r="N395" s="7" t="s">
        <v>33</v>
      </c>
      <c r="O395" s="7" t="s">
        <v>33</v>
      </c>
      <c r="P395" s="11" t="str">
        <f t="shared" si="10"/>
        <v>平</v>
      </c>
      <c r="Q395" s="11" t="str">
        <f t="shared" si="11"/>
        <v>平</v>
      </c>
    </row>
    <row r="396" spans="4:17" x14ac:dyDescent="0.15">
      <c r="D396" s="7" t="s">
        <v>6</v>
      </c>
      <c r="E396" s="7" t="s">
        <v>746</v>
      </c>
      <c r="F396" s="7" t="s">
        <v>746</v>
      </c>
      <c r="G396" s="7" t="s">
        <v>747</v>
      </c>
      <c r="H396" s="7" t="s">
        <v>37</v>
      </c>
      <c r="I396" s="7" t="s">
        <v>10</v>
      </c>
      <c r="J396" s="7" t="s">
        <v>10</v>
      </c>
      <c r="K396" s="7" t="s">
        <v>33</v>
      </c>
      <c r="L396" s="7" t="s">
        <v>40</v>
      </c>
      <c r="M396" s="7" t="s">
        <v>33</v>
      </c>
      <c r="N396" s="7" t="s">
        <v>33</v>
      </c>
      <c r="O396" s="7" t="s">
        <v>33</v>
      </c>
      <c r="P396" s="11" t="str">
        <f t="shared" si="10"/>
        <v>胜</v>
      </c>
      <c r="Q396" s="11" t="str">
        <f t="shared" si="11"/>
        <v>胜</v>
      </c>
    </row>
    <row r="397" spans="4:17" x14ac:dyDescent="0.15">
      <c r="D397" s="7" t="s">
        <v>6</v>
      </c>
      <c r="E397" s="7" t="s">
        <v>748</v>
      </c>
      <c r="F397" s="7" t="s">
        <v>748</v>
      </c>
      <c r="G397" s="7" t="s">
        <v>749</v>
      </c>
      <c r="H397" s="7" t="s">
        <v>48</v>
      </c>
      <c r="I397" s="7" t="s">
        <v>9</v>
      </c>
      <c r="J397" s="7" t="s">
        <v>39</v>
      </c>
      <c r="K397" s="7" t="s">
        <v>33</v>
      </c>
      <c r="L397" s="7" t="s">
        <v>43</v>
      </c>
      <c r="M397" s="7" t="s">
        <v>33</v>
      </c>
      <c r="N397" s="7" t="s">
        <v>33</v>
      </c>
      <c r="O397" s="7" t="s">
        <v>33</v>
      </c>
      <c r="P397" s="11" t="str">
        <f t="shared" ref="P397:P460" si="12">IF(I397=M397,"平",IF(I397&gt;M397,"胜","负"))</f>
        <v>胜</v>
      </c>
      <c r="Q397" s="11" t="str">
        <f t="shared" ref="Q397:Q460" si="13">IF(J397=N397,"平",IF(J397&gt;N397,"胜","负"))</f>
        <v>胜</v>
      </c>
    </row>
    <row r="398" spans="4:17" x14ac:dyDescent="0.15">
      <c r="D398" s="7" t="s">
        <v>6</v>
      </c>
      <c r="E398" s="7" t="s">
        <v>750</v>
      </c>
      <c r="F398" s="7" t="s">
        <v>750</v>
      </c>
      <c r="G398" s="7" t="s">
        <v>751</v>
      </c>
      <c r="H398" s="7" t="s">
        <v>35</v>
      </c>
      <c r="I398" s="7" t="s">
        <v>10</v>
      </c>
      <c r="J398" s="7" t="s">
        <v>10</v>
      </c>
      <c r="K398" s="7" t="s">
        <v>33</v>
      </c>
      <c r="L398" s="7" t="s">
        <v>49</v>
      </c>
      <c r="M398" s="7" t="s">
        <v>33</v>
      </c>
      <c r="N398" s="7" t="s">
        <v>33</v>
      </c>
      <c r="O398" s="7" t="s">
        <v>33</v>
      </c>
      <c r="P398" s="11" t="str">
        <f t="shared" si="12"/>
        <v>胜</v>
      </c>
      <c r="Q398" s="11" t="str">
        <f t="shared" si="13"/>
        <v>胜</v>
      </c>
    </row>
    <row r="399" spans="4:17" x14ac:dyDescent="0.15">
      <c r="D399" s="7" t="s">
        <v>6</v>
      </c>
      <c r="E399" s="7" t="s">
        <v>752</v>
      </c>
      <c r="F399" s="7" t="s">
        <v>752</v>
      </c>
      <c r="G399" s="7" t="s">
        <v>753</v>
      </c>
      <c r="H399" s="7" t="s">
        <v>44</v>
      </c>
      <c r="I399" s="7" t="s">
        <v>33</v>
      </c>
      <c r="J399" s="7" t="s">
        <v>10</v>
      </c>
      <c r="K399" s="7" t="s">
        <v>33</v>
      </c>
      <c r="L399" s="7" t="s">
        <v>32</v>
      </c>
      <c r="M399" s="7" t="s">
        <v>10</v>
      </c>
      <c r="N399" s="7" t="s">
        <v>10</v>
      </c>
      <c r="O399" s="7" t="s">
        <v>33</v>
      </c>
      <c r="P399" s="11" t="str">
        <f t="shared" si="12"/>
        <v>负</v>
      </c>
      <c r="Q399" s="11" t="str">
        <f t="shared" si="13"/>
        <v>平</v>
      </c>
    </row>
    <row r="400" spans="4:17" x14ac:dyDescent="0.15">
      <c r="D400" s="7" t="s">
        <v>6</v>
      </c>
      <c r="E400" s="7" t="s">
        <v>754</v>
      </c>
      <c r="F400" s="7" t="s">
        <v>754</v>
      </c>
      <c r="G400" s="7" t="s">
        <v>755</v>
      </c>
      <c r="H400" s="7" t="s">
        <v>46</v>
      </c>
      <c r="I400" s="7" t="s">
        <v>33</v>
      </c>
      <c r="J400" s="7" t="s">
        <v>33</v>
      </c>
      <c r="K400" s="7" t="s">
        <v>33</v>
      </c>
      <c r="L400" s="7" t="s">
        <v>54</v>
      </c>
      <c r="M400" s="7" t="s">
        <v>33</v>
      </c>
      <c r="N400" s="7" t="s">
        <v>33</v>
      </c>
      <c r="O400" s="7" t="s">
        <v>33</v>
      </c>
      <c r="P400" s="11" t="str">
        <f t="shared" si="12"/>
        <v>平</v>
      </c>
      <c r="Q400" s="11" t="str">
        <f t="shared" si="13"/>
        <v>平</v>
      </c>
    </row>
    <row r="401" spans="4:17" x14ac:dyDescent="0.15">
      <c r="D401" s="7" t="s">
        <v>6</v>
      </c>
      <c r="E401" s="7" t="s">
        <v>756</v>
      </c>
      <c r="F401" s="7" t="s">
        <v>756</v>
      </c>
      <c r="G401" s="7" t="s">
        <v>757</v>
      </c>
      <c r="H401" s="7" t="s">
        <v>45</v>
      </c>
      <c r="I401" s="7" t="s">
        <v>33</v>
      </c>
      <c r="J401" s="7" t="s">
        <v>33</v>
      </c>
      <c r="K401" s="7" t="s">
        <v>33</v>
      </c>
      <c r="L401" s="7" t="s">
        <v>41</v>
      </c>
      <c r="M401" s="7" t="s">
        <v>33</v>
      </c>
      <c r="N401" s="7" t="s">
        <v>33</v>
      </c>
      <c r="O401" s="7" t="s">
        <v>33</v>
      </c>
      <c r="P401" s="11" t="str">
        <f t="shared" si="12"/>
        <v>平</v>
      </c>
      <c r="Q401" s="11" t="str">
        <f t="shared" si="13"/>
        <v>平</v>
      </c>
    </row>
    <row r="402" spans="4:17" x14ac:dyDescent="0.15">
      <c r="D402" s="7" t="s">
        <v>6</v>
      </c>
      <c r="E402" s="7" t="s">
        <v>758</v>
      </c>
      <c r="F402" s="7" t="s">
        <v>758</v>
      </c>
      <c r="G402" s="7" t="s">
        <v>759</v>
      </c>
      <c r="H402" s="7" t="s">
        <v>42</v>
      </c>
      <c r="I402" s="7" t="s">
        <v>10</v>
      </c>
      <c r="J402" s="7" t="s">
        <v>10</v>
      </c>
      <c r="K402" s="7" t="s">
        <v>33</v>
      </c>
      <c r="L402" s="7" t="s">
        <v>38</v>
      </c>
      <c r="M402" s="7" t="s">
        <v>33</v>
      </c>
      <c r="N402" s="7" t="s">
        <v>9</v>
      </c>
      <c r="O402" s="7" t="s">
        <v>33</v>
      </c>
      <c r="P402" s="11" t="str">
        <f t="shared" si="12"/>
        <v>胜</v>
      </c>
      <c r="Q402" s="11" t="str">
        <f t="shared" si="13"/>
        <v>负</v>
      </c>
    </row>
    <row r="403" spans="4:17" x14ac:dyDescent="0.15">
      <c r="D403" s="7" t="s">
        <v>6</v>
      </c>
      <c r="E403" s="7" t="s">
        <v>760</v>
      </c>
      <c r="F403" s="7" t="s">
        <v>760</v>
      </c>
      <c r="G403" s="7" t="s">
        <v>761</v>
      </c>
      <c r="H403" s="7" t="s">
        <v>36</v>
      </c>
      <c r="I403" s="7" t="s">
        <v>33</v>
      </c>
      <c r="J403" s="7" t="s">
        <v>33</v>
      </c>
      <c r="K403" s="7" t="s">
        <v>33</v>
      </c>
      <c r="L403" s="7" t="s">
        <v>45</v>
      </c>
      <c r="M403" s="7" t="s">
        <v>10</v>
      </c>
      <c r="N403" s="7" t="s">
        <v>10</v>
      </c>
      <c r="O403" s="7" t="s">
        <v>33</v>
      </c>
      <c r="P403" s="11" t="str">
        <f t="shared" si="12"/>
        <v>负</v>
      </c>
      <c r="Q403" s="11" t="str">
        <f t="shared" si="13"/>
        <v>负</v>
      </c>
    </row>
    <row r="404" spans="4:17" x14ac:dyDescent="0.15">
      <c r="D404" s="7" t="s">
        <v>6</v>
      </c>
      <c r="E404" s="7" t="s">
        <v>762</v>
      </c>
      <c r="F404" s="7" t="s">
        <v>762</v>
      </c>
      <c r="G404" s="7" t="s">
        <v>763</v>
      </c>
      <c r="H404" s="7" t="s">
        <v>49</v>
      </c>
      <c r="I404" s="7" t="s">
        <v>33</v>
      </c>
      <c r="J404" s="7" t="s">
        <v>33</v>
      </c>
      <c r="K404" s="7" t="s">
        <v>33</v>
      </c>
      <c r="L404" s="7" t="s">
        <v>37</v>
      </c>
      <c r="M404" s="7" t="s">
        <v>33</v>
      </c>
      <c r="N404" s="7" t="s">
        <v>9</v>
      </c>
      <c r="O404" s="7" t="s">
        <v>33</v>
      </c>
      <c r="P404" s="11" t="str">
        <f t="shared" si="12"/>
        <v>平</v>
      </c>
      <c r="Q404" s="11" t="str">
        <f t="shared" si="13"/>
        <v>负</v>
      </c>
    </row>
    <row r="405" spans="4:17" x14ac:dyDescent="0.15">
      <c r="D405" s="7" t="s">
        <v>6</v>
      </c>
      <c r="E405" s="7" t="s">
        <v>764</v>
      </c>
      <c r="F405" s="7" t="s">
        <v>764</v>
      </c>
      <c r="G405" s="7" t="s">
        <v>765</v>
      </c>
      <c r="H405" s="7" t="s">
        <v>54</v>
      </c>
      <c r="I405" s="7" t="s">
        <v>33</v>
      </c>
      <c r="J405" s="7" t="s">
        <v>33</v>
      </c>
      <c r="K405" s="7" t="s">
        <v>33</v>
      </c>
      <c r="L405" s="7" t="s">
        <v>53</v>
      </c>
      <c r="M405" s="7" t="s">
        <v>33</v>
      </c>
      <c r="N405" s="7" t="s">
        <v>33</v>
      </c>
      <c r="O405" s="7" t="s">
        <v>33</v>
      </c>
      <c r="P405" s="11" t="str">
        <f t="shared" si="12"/>
        <v>平</v>
      </c>
      <c r="Q405" s="11" t="str">
        <f t="shared" si="13"/>
        <v>平</v>
      </c>
    </row>
    <row r="406" spans="4:17" x14ac:dyDescent="0.15">
      <c r="D406" s="7" t="s">
        <v>6</v>
      </c>
      <c r="E406" s="7" t="s">
        <v>766</v>
      </c>
      <c r="F406" s="7" t="s">
        <v>766</v>
      </c>
      <c r="G406" s="7" t="s">
        <v>767</v>
      </c>
      <c r="H406" s="7" t="s">
        <v>38</v>
      </c>
      <c r="I406" s="7" t="s">
        <v>39</v>
      </c>
      <c r="J406" s="7" t="s">
        <v>50</v>
      </c>
      <c r="K406" s="7" t="s">
        <v>33</v>
      </c>
      <c r="L406" s="7" t="s">
        <v>44</v>
      </c>
      <c r="M406" s="7" t="s">
        <v>10</v>
      </c>
      <c r="N406" s="7" t="s">
        <v>9</v>
      </c>
      <c r="O406" s="7" t="s">
        <v>33</v>
      </c>
      <c r="P406" s="11" t="str">
        <f t="shared" si="12"/>
        <v>胜</v>
      </c>
      <c r="Q406" s="11" t="str">
        <f t="shared" si="13"/>
        <v>胜</v>
      </c>
    </row>
    <row r="407" spans="4:17" x14ac:dyDescent="0.15">
      <c r="D407" s="7" t="s">
        <v>6</v>
      </c>
      <c r="E407" s="7" t="s">
        <v>768</v>
      </c>
      <c r="F407" s="7" t="s">
        <v>768</v>
      </c>
      <c r="G407" s="7" t="s">
        <v>769</v>
      </c>
      <c r="H407" s="7" t="s">
        <v>43</v>
      </c>
      <c r="I407" s="7" t="s">
        <v>10</v>
      </c>
      <c r="J407" s="7" t="s">
        <v>10</v>
      </c>
      <c r="K407" s="7" t="s">
        <v>33</v>
      </c>
      <c r="L407" s="7" t="s">
        <v>46</v>
      </c>
      <c r="M407" s="7" t="s">
        <v>33</v>
      </c>
      <c r="N407" s="7" t="s">
        <v>9</v>
      </c>
      <c r="O407" s="7" t="s">
        <v>33</v>
      </c>
      <c r="P407" s="11" t="str">
        <f t="shared" si="12"/>
        <v>胜</v>
      </c>
      <c r="Q407" s="11" t="str">
        <f t="shared" si="13"/>
        <v>负</v>
      </c>
    </row>
    <row r="408" spans="4:17" x14ac:dyDescent="0.15">
      <c r="D408" s="7" t="s">
        <v>6</v>
      </c>
      <c r="E408" s="7" t="s">
        <v>770</v>
      </c>
      <c r="F408" s="7" t="s">
        <v>770</v>
      </c>
      <c r="G408" s="7" t="s">
        <v>771</v>
      </c>
      <c r="H408" s="7" t="s">
        <v>32</v>
      </c>
      <c r="I408" s="11" t="s">
        <v>10</v>
      </c>
      <c r="J408" s="7" t="s">
        <v>39</v>
      </c>
      <c r="K408" s="7" t="s">
        <v>33</v>
      </c>
      <c r="L408" s="7" t="s">
        <v>42</v>
      </c>
      <c r="M408" s="7" t="s">
        <v>33</v>
      </c>
      <c r="N408" s="7" t="s">
        <v>10</v>
      </c>
      <c r="O408" s="7" t="s">
        <v>33</v>
      </c>
      <c r="P408" s="11" t="str">
        <f t="shared" si="12"/>
        <v>胜</v>
      </c>
      <c r="Q408" s="11" t="str">
        <f t="shared" si="13"/>
        <v>胜</v>
      </c>
    </row>
    <row r="409" spans="4:17" x14ac:dyDescent="0.15">
      <c r="D409" s="7" t="s">
        <v>6</v>
      </c>
      <c r="E409" s="7" t="s">
        <v>772</v>
      </c>
      <c r="F409" s="7" t="s">
        <v>772</v>
      </c>
      <c r="G409" s="7" t="s">
        <v>769</v>
      </c>
      <c r="H409" s="7" t="s">
        <v>41</v>
      </c>
      <c r="I409" s="7" t="s">
        <v>33</v>
      </c>
      <c r="J409" s="7" t="s">
        <v>33</v>
      </c>
      <c r="K409" s="7" t="s">
        <v>33</v>
      </c>
      <c r="L409" s="7" t="s">
        <v>35</v>
      </c>
      <c r="M409" s="7" t="s">
        <v>33</v>
      </c>
      <c r="N409" s="7" t="s">
        <v>33</v>
      </c>
      <c r="O409" s="7" t="s">
        <v>33</v>
      </c>
      <c r="P409" s="11" t="str">
        <f t="shared" si="12"/>
        <v>平</v>
      </c>
      <c r="Q409" s="11" t="str">
        <f t="shared" si="13"/>
        <v>平</v>
      </c>
    </row>
    <row r="410" spans="4:17" x14ac:dyDescent="0.15">
      <c r="D410" s="7" t="s">
        <v>6</v>
      </c>
      <c r="E410" s="7" t="s">
        <v>773</v>
      </c>
      <c r="F410" s="7" t="s">
        <v>773</v>
      </c>
      <c r="G410" s="7" t="s">
        <v>774</v>
      </c>
      <c r="H410" s="7" t="s">
        <v>40</v>
      </c>
      <c r="I410" s="7" t="s">
        <v>10</v>
      </c>
      <c r="J410" s="7" t="s">
        <v>9</v>
      </c>
      <c r="K410" s="7" t="s">
        <v>33</v>
      </c>
      <c r="L410" s="7" t="s">
        <v>48</v>
      </c>
      <c r="M410" s="7" t="s">
        <v>33</v>
      </c>
      <c r="N410" s="7" t="s">
        <v>33</v>
      </c>
      <c r="O410" s="7" t="s">
        <v>33</v>
      </c>
      <c r="P410" s="11" t="str">
        <f t="shared" si="12"/>
        <v>胜</v>
      </c>
      <c r="Q410" s="11" t="str">
        <f t="shared" si="13"/>
        <v>胜</v>
      </c>
    </row>
    <row r="411" spans="4:17" x14ac:dyDescent="0.15">
      <c r="D411" s="7" t="s">
        <v>6</v>
      </c>
      <c r="E411" s="7" t="s">
        <v>775</v>
      </c>
      <c r="F411" s="7" t="s">
        <v>775</v>
      </c>
      <c r="G411" s="7" t="s">
        <v>776</v>
      </c>
      <c r="H411" s="7" t="s">
        <v>46</v>
      </c>
      <c r="I411" s="7" t="s">
        <v>10</v>
      </c>
      <c r="J411" s="7" t="s">
        <v>10</v>
      </c>
      <c r="K411" s="7" t="s">
        <v>33</v>
      </c>
      <c r="L411" s="7" t="s">
        <v>32</v>
      </c>
      <c r="M411" s="7" t="s">
        <v>33</v>
      </c>
      <c r="N411" s="7" t="s">
        <v>33</v>
      </c>
      <c r="O411" s="7" t="s">
        <v>33</v>
      </c>
      <c r="P411" s="11" t="str">
        <f t="shared" si="12"/>
        <v>胜</v>
      </c>
      <c r="Q411" s="11" t="str">
        <f t="shared" si="13"/>
        <v>胜</v>
      </c>
    </row>
    <row r="412" spans="4:17" x14ac:dyDescent="0.15">
      <c r="D412" s="7" t="s">
        <v>6</v>
      </c>
      <c r="E412" s="7" t="s">
        <v>777</v>
      </c>
      <c r="F412" s="7" t="s">
        <v>777</v>
      </c>
      <c r="G412" s="7" t="s">
        <v>778</v>
      </c>
      <c r="H412" s="7" t="s">
        <v>37</v>
      </c>
      <c r="I412" s="7" t="s">
        <v>33</v>
      </c>
      <c r="J412" s="7" t="s">
        <v>10</v>
      </c>
      <c r="K412" s="7" t="s">
        <v>33</v>
      </c>
      <c r="L412" s="7" t="s">
        <v>43</v>
      </c>
      <c r="M412" s="7" t="s">
        <v>33</v>
      </c>
      <c r="N412" s="7" t="s">
        <v>33</v>
      </c>
      <c r="O412" s="7" t="s">
        <v>33</v>
      </c>
      <c r="P412" s="11" t="str">
        <f t="shared" si="12"/>
        <v>平</v>
      </c>
      <c r="Q412" s="11" t="str">
        <f t="shared" si="13"/>
        <v>胜</v>
      </c>
    </row>
    <row r="413" spans="4:17" x14ac:dyDescent="0.15">
      <c r="D413" s="7" t="s">
        <v>6</v>
      </c>
      <c r="E413" s="7" t="s">
        <v>779</v>
      </c>
      <c r="F413" s="7" t="s">
        <v>779</v>
      </c>
      <c r="G413" s="7" t="s">
        <v>780</v>
      </c>
      <c r="H413" s="7" t="s">
        <v>36</v>
      </c>
      <c r="I413" s="7" t="s">
        <v>33</v>
      </c>
      <c r="J413" s="7" t="s">
        <v>10</v>
      </c>
      <c r="K413" s="7" t="s">
        <v>33</v>
      </c>
      <c r="L413" s="7" t="s">
        <v>38</v>
      </c>
      <c r="M413" s="7" t="s">
        <v>33</v>
      </c>
      <c r="N413" s="7" t="s">
        <v>10</v>
      </c>
      <c r="O413" s="7" t="s">
        <v>33</v>
      </c>
      <c r="P413" s="11" t="str">
        <f t="shared" si="12"/>
        <v>平</v>
      </c>
      <c r="Q413" s="11" t="str">
        <f t="shared" si="13"/>
        <v>平</v>
      </c>
    </row>
    <row r="414" spans="4:17" x14ac:dyDescent="0.15">
      <c r="D414" s="7" t="s">
        <v>6</v>
      </c>
      <c r="E414" s="7" t="s">
        <v>781</v>
      </c>
      <c r="F414" s="7" t="s">
        <v>781</v>
      </c>
      <c r="G414" s="7" t="s">
        <v>778</v>
      </c>
      <c r="H414" s="7" t="s">
        <v>53</v>
      </c>
      <c r="I414" s="7" t="s">
        <v>10</v>
      </c>
      <c r="J414" s="7" t="s">
        <v>9</v>
      </c>
      <c r="K414" s="7" t="s">
        <v>33</v>
      </c>
      <c r="L414" s="7" t="s">
        <v>40</v>
      </c>
      <c r="M414" s="7" t="s">
        <v>33</v>
      </c>
      <c r="N414" s="7" t="s">
        <v>33</v>
      </c>
      <c r="O414" s="7" t="s">
        <v>33</v>
      </c>
      <c r="P414" s="11" t="str">
        <f t="shared" si="12"/>
        <v>胜</v>
      </c>
      <c r="Q414" s="11" t="str">
        <f t="shared" si="13"/>
        <v>胜</v>
      </c>
    </row>
    <row r="415" spans="4:17" x14ac:dyDescent="0.15">
      <c r="D415" s="7" t="s">
        <v>6</v>
      </c>
      <c r="E415" s="7" t="s">
        <v>782</v>
      </c>
      <c r="F415" s="7" t="s">
        <v>782</v>
      </c>
      <c r="G415" s="7" t="s">
        <v>783</v>
      </c>
      <c r="H415" s="7" t="s">
        <v>45</v>
      </c>
      <c r="I415" s="7" t="s">
        <v>33</v>
      </c>
      <c r="J415" s="7" t="s">
        <v>33</v>
      </c>
      <c r="K415" s="7" t="s">
        <v>33</v>
      </c>
      <c r="L415" s="7" t="s">
        <v>54</v>
      </c>
      <c r="M415" s="7" t="s">
        <v>9</v>
      </c>
      <c r="N415" s="7" t="s">
        <v>9</v>
      </c>
      <c r="O415" s="7" t="s">
        <v>33</v>
      </c>
      <c r="P415" s="11" t="str">
        <f t="shared" si="12"/>
        <v>负</v>
      </c>
      <c r="Q415" s="11" t="str">
        <f t="shared" si="13"/>
        <v>负</v>
      </c>
    </row>
    <row r="416" spans="4:17" x14ac:dyDescent="0.15">
      <c r="D416" s="7" t="s">
        <v>6</v>
      </c>
      <c r="E416" s="7" t="s">
        <v>784</v>
      </c>
      <c r="F416" s="7" t="s">
        <v>784</v>
      </c>
      <c r="G416" s="7" t="s">
        <v>785</v>
      </c>
      <c r="H416" s="7" t="s">
        <v>42</v>
      </c>
      <c r="I416" s="7" t="s">
        <v>10</v>
      </c>
      <c r="J416" s="7" t="s">
        <v>9</v>
      </c>
      <c r="K416" s="7" t="s">
        <v>33</v>
      </c>
      <c r="L416" s="7" t="s">
        <v>49</v>
      </c>
      <c r="M416" s="7" t="s">
        <v>33</v>
      </c>
      <c r="N416" s="7" t="s">
        <v>10</v>
      </c>
      <c r="O416" s="7" t="s">
        <v>33</v>
      </c>
      <c r="P416" s="11" t="str">
        <f t="shared" si="12"/>
        <v>胜</v>
      </c>
      <c r="Q416" s="11" t="str">
        <f t="shared" si="13"/>
        <v>胜</v>
      </c>
    </row>
    <row r="417" spans="4:17" x14ac:dyDescent="0.15">
      <c r="D417" s="7" t="s">
        <v>6</v>
      </c>
      <c r="E417" s="7" t="s">
        <v>786</v>
      </c>
      <c r="F417" s="7" t="s">
        <v>786</v>
      </c>
      <c r="G417" s="7" t="s">
        <v>787</v>
      </c>
      <c r="H417" s="7" t="s">
        <v>35</v>
      </c>
      <c r="I417" s="7" t="s">
        <v>10</v>
      </c>
      <c r="J417" s="7" t="s">
        <v>10</v>
      </c>
      <c r="K417" s="7" t="s">
        <v>33</v>
      </c>
      <c r="L417" s="7" t="s">
        <v>48</v>
      </c>
      <c r="M417" s="7" t="s">
        <v>33</v>
      </c>
      <c r="N417" s="7" t="s">
        <v>33</v>
      </c>
      <c r="O417" s="7" t="s">
        <v>33</v>
      </c>
      <c r="P417" s="11" t="str">
        <f t="shared" si="12"/>
        <v>胜</v>
      </c>
      <c r="Q417" s="11" t="str">
        <f t="shared" si="13"/>
        <v>胜</v>
      </c>
    </row>
    <row r="418" spans="4:17" x14ac:dyDescent="0.15">
      <c r="D418" s="7" t="s">
        <v>6</v>
      </c>
      <c r="E418" s="7" t="s">
        <v>788</v>
      </c>
      <c r="F418" s="7" t="s">
        <v>788</v>
      </c>
      <c r="G418" s="7" t="s">
        <v>789</v>
      </c>
      <c r="H418" s="7" t="s">
        <v>44</v>
      </c>
      <c r="I418" s="7" t="s">
        <v>39</v>
      </c>
      <c r="J418" s="7" t="s">
        <v>50</v>
      </c>
      <c r="K418" s="7" t="s">
        <v>33</v>
      </c>
      <c r="L418" s="7" t="s">
        <v>41</v>
      </c>
      <c r="M418" s="7" t="s">
        <v>33</v>
      </c>
      <c r="N418" s="7" t="s">
        <v>33</v>
      </c>
      <c r="O418" s="7" t="s">
        <v>33</v>
      </c>
      <c r="P418" s="11" t="str">
        <f t="shared" si="12"/>
        <v>胜</v>
      </c>
      <c r="Q418" s="11" t="str">
        <f t="shared" si="13"/>
        <v>胜</v>
      </c>
    </row>
    <row r="419" spans="4:17" x14ac:dyDescent="0.15">
      <c r="D419" s="7" t="s">
        <v>6</v>
      </c>
      <c r="E419" s="7" t="s">
        <v>790</v>
      </c>
      <c r="F419" s="7" t="s">
        <v>790</v>
      </c>
      <c r="G419" s="7" t="s">
        <v>791</v>
      </c>
      <c r="H419" s="7" t="s">
        <v>48</v>
      </c>
      <c r="I419" s="7" t="s">
        <v>10</v>
      </c>
      <c r="J419" s="7" t="s">
        <v>9</v>
      </c>
      <c r="K419" s="7" t="s">
        <v>33</v>
      </c>
      <c r="L419" s="7" t="s">
        <v>44</v>
      </c>
      <c r="M419" s="7" t="s">
        <v>10</v>
      </c>
      <c r="N419" s="7" t="s">
        <v>9</v>
      </c>
      <c r="O419" s="7" t="s">
        <v>33</v>
      </c>
      <c r="P419" s="11" t="str">
        <f t="shared" si="12"/>
        <v>平</v>
      </c>
      <c r="Q419" s="11" t="str">
        <f t="shared" si="13"/>
        <v>平</v>
      </c>
    </row>
    <row r="420" spans="4:17" x14ac:dyDescent="0.15">
      <c r="D420" s="7" t="s">
        <v>6</v>
      </c>
      <c r="E420" s="7" t="s">
        <v>792</v>
      </c>
      <c r="F420" s="7" t="s">
        <v>792</v>
      </c>
      <c r="G420" s="7" t="s">
        <v>793</v>
      </c>
      <c r="H420" s="7" t="s">
        <v>32</v>
      </c>
      <c r="I420" s="11" t="s">
        <v>10</v>
      </c>
      <c r="J420" s="7" t="s">
        <v>10</v>
      </c>
      <c r="K420" s="7" t="s">
        <v>33</v>
      </c>
      <c r="L420" s="7" t="s">
        <v>38</v>
      </c>
      <c r="M420" s="7" t="s">
        <v>33</v>
      </c>
      <c r="N420" s="7" t="s">
        <v>9</v>
      </c>
      <c r="O420" s="7" t="s">
        <v>33</v>
      </c>
      <c r="P420" s="11" t="str">
        <f t="shared" si="12"/>
        <v>胜</v>
      </c>
      <c r="Q420" s="11" t="str">
        <f t="shared" si="13"/>
        <v>负</v>
      </c>
    </row>
    <row r="421" spans="4:17" x14ac:dyDescent="0.15">
      <c r="D421" s="7" t="s">
        <v>6</v>
      </c>
      <c r="E421" s="7" t="s">
        <v>794</v>
      </c>
      <c r="F421" s="7" t="s">
        <v>794</v>
      </c>
      <c r="G421" s="7" t="s">
        <v>795</v>
      </c>
      <c r="H421" s="7" t="s">
        <v>41</v>
      </c>
      <c r="I421" s="7" t="s">
        <v>10</v>
      </c>
      <c r="J421" s="7" t="s">
        <v>10</v>
      </c>
      <c r="K421" s="7" t="s">
        <v>33</v>
      </c>
      <c r="L421" s="7" t="s">
        <v>42</v>
      </c>
      <c r="M421" s="7" t="s">
        <v>33</v>
      </c>
      <c r="N421" s="7" t="s">
        <v>10</v>
      </c>
      <c r="O421" s="7" t="s">
        <v>33</v>
      </c>
      <c r="P421" s="11" t="str">
        <f t="shared" si="12"/>
        <v>胜</v>
      </c>
      <c r="Q421" s="11" t="str">
        <f t="shared" si="13"/>
        <v>平</v>
      </c>
    </row>
    <row r="422" spans="4:17" x14ac:dyDescent="0.15">
      <c r="D422" s="7" t="s">
        <v>6</v>
      </c>
      <c r="E422" s="7" t="s">
        <v>796</v>
      </c>
      <c r="F422" s="7" t="s">
        <v>796</v>
      </c>
      <c r="G422" s="7" t="s">
        <v>797</v>
      </c>
      <c r="H422" s="7" t="s">
        <v>49</v>
      </c>
      <c r="I422" s="7" t="s">
        <v>10</v>
      </c>
      <c r="J422" s="7" t="s">
        <v>50</v>
      </c>
      <c r="K422" s="7" t="s">
        <v>33</v>
      </c>
      <c r="L422" s="7" t="s">
        <v>53</v>
      </c>
      <c r="M422" s="7" t="s">
        <v>33</v>
      </c>
      <c r="N422" s="7" t="s">
        <v>33</v>
      </c>
      <c r="O422" s="7" t="s">
        <v>33</v>
      </c>
      <c r="P422" s="11" t="str">
        <f t="shared" si="12"/>
        <v>胜</v>
      </c>
      <c r="Q422" s="11" t="str">
        <f t="shared" si="13"/>
        <v>胜</v>
      </c>
    </row>
    <row r="423" spans="4:17" x14ac:dyDescent="0.15">
      <c r="D423" s="7" t="s">
        <v>6</v>
      </c>
      <c r="E423" s="7" t="s">
        <v>798</v>
      </c>
      <c r="F423" s="7" t="s">
        <v>798</v>
      </c>
      <c r="G423" s="7" t="s">
        <v>795</v>
      </c>
      <c r="H423" s="7" t="s">
        <v>43</v>
      </c>
      <c r="I423" s="7" t="s">
        <v>10</v>
      </c>
      <c r="J423" s="7" t="s">
        <v>10</v>
      </c>
      <c r="K423" s="7" t="s">
        <v>33</v>
      </c>
      <c r="L423" s="7" t="s">
        <v>45</v>
      </c>
      <c r="M423" s="7" t="s">
        <v>10</v>
      </c>
      <c r="N423" s="7" t="s">
        <v>9</v>
      </c>
      <c r="O423" s="7" t="s">
        <v>33</v>
      </c>
      <c r="P423" s="11" t="str">
        <f t="shared" si="12"/>
        <v>平</v>
      </c>
      <c r="Q423" s="11" t="str">
        <f t="shared" si="13"/>
        <v>负</v>
      </c>
    </row>
    <row r="424" spans="4:17" x14ac:dyDescent="0.15">
      <c r="D424" s="7" t="s">
        <v>6</v>
      </c>
      <c r="E424" s="7" t="s">
        <v>799</v>
      </c>
      <c r="F424" s="7" t="s">
        <v>799</v>
      </c>
      <c r="G424" s="7" t="s">
        <v>800</v>
      </c>
      <c r="H424" s="7" t="s">
        <v>54</v>
      </c>
      <c r="I424" s="7" t="s">
        <v>9</v>
      </c>
      <c r="J424" s="7" t="s">
        <v>39</v>
      </c>
      <c r="K424" s="7" t="s">
        <v>33</v>
      </c>
      <c r="L424" s="7" t="s">
        <v>36</v>
      </c>
      <c r="M424" s="7" t="s">
        <v>33</v>
      </c>
      <c r="N424" s="7" t="s">
        <v>33</v>
      </c>
      <c r="O424" s="7" t="s">
        <v>33</v>
      </c>
      <c r="P424" s="11" t="str">
        <f t="shared" si="12"/>
        <v>胜</v>
      </c>
      <c r="Q424" s="11" t="str">
        <f t="shared" si="13"/>
        <v>胜</v>
      </c>
    </row>
    <row r="425" spans="4:17" x14ac:dyDescent="0.15">
      <c r="D425" s="7" t="s">
        <v>6</v>
      </c>
      <c r="E425" s="7" t="s">
        <v>801</v>
      </c>
      <c r="F425" s="7" t="s">
        <v>801</v>
      </c>
      <c r="G425" s="7" t="s">
        <v>802</v>
      </c>
      <c r="H425" s="7" t="s">
        <v>40</v>
      </c>
      <c r="I425" s="7" t="s">
        <v>33</v>
      </c>
      <c r="J425" s="7" t="s">
        <v>9</v>
      </c>
      <c r="K425" s="7" t="s">
        <v>33</v>
      </c>
      <c r="L425" s="7" t="s">
        <v>35</v>
      </c>
      <c r="M425" s="7" t="s">
        <v>33</v>
      </c>
      <c r="N425" s="7" t="s">
        <v>10</v>
      </c>
      <c r="O425" s="7" t="s">
        <v>33</v>
      </c>
      <c r="P425" s="11" t="str">
        <f t="shared" si="12"/>
        <v>平</v>
      </c>
      <c r="Q425" s="11" t="str">
        <f t="shared" si="13"/>
        <v>胜</v>
      </c>
    </row>
    <row r="426" spans="4:17" x14ac:dyDescent="0.15">
      <c r="D426" s="7" t="s">
        <v>6</v>
      </c>
      <c r="E426" s="7" t="s">
        <v>803</v>
      </c>
      <c r="F426" s="7" t="s">
        <v>803</v>
      </c>
      <c r="G426" s="7" t="s">
        <v>804</v>
      </c>
      <c r="H426" s="7" t="s">
        <v>37</v>
      </c>
      <c r="I426" s="7" t="s">
        <v>10</v>
      </c>
      <c r="J426" s="7" t="s">
        <v>39</v>
      </c>
      <c r="K426" s="7" t="s">
        <v>33</v>
      </c>
      <c r="L426" s="7" t="s">
        <v>46</v>
      </c>
      <c r="M426" s="7" t="s">
        <v>33</v>
      </c>
      <c r="N426" s="7" t="s">
        <v>33</v>
      </c>
      <c r="O426" s="7" t="s">
        <v>33</v>
      </c>
      <c r="P426" s="11" t="str">
        <f t="shared" si="12"/>
        <v>胜</v>
      </c>
      <c r="Q426" s="11" t="str">
        <f t="shared" si="13"/>
        <v>胜</v>
      </c>
    </row>
    <row r="427" spans="4:17" x14ac:dyDescent="0.15">
      <c r="D427" s="7" t="s">
        <v>6</v>
      </c>
      <c r="E427" s="7" t="s">
        <v>805</v>
      </c>
      <c r="F427" s="7" t="s">
        <v>805</v>
      </c>
      <c r="G427" s="7" t="s">
        <v>806</v>
      </c>
      <c r="H427" s="7" t="s">
        <v>32</v>
      </c>
      <c r="I427" s="11" t="s">
        <v>9</v>
      </c>
      <c r="J427" s="7" t="s">
        <v>39</v>
      </c>
      <c r="K427" s="7" t="s">
        <v>33</v>
      </c>
      <c r="L427" s="7" t="s">
        <v>48</v>
      </c>
      <c r="M427" s="7" t="s">
        <v>9</v>
      </c>
      <c r="N427" s="7" t="s">
        <v>50</v>
      </c>
      <c r="O427" s="7" t="s">
        <v>33</v>
      </c>
      <c r="P427" s="11" t="str">
        <f t="shared" si="12"/>
        <v>平</v>
      </c>
      <c r="Q427" s="11" t="str">
        <f t="shared" si="13"/>
        <v>负</v>
      </c>
    </row>
    <row r="428" spans="4:17" x14ac:dyDescent="0.15">
      <c r="D428" s="7" t="s">
        <v>6</v>
      </c>
      <c r="E428" s="7" t="s">
        <v>807</v>
      </c>
      <c r="F428" s="7" t="s">
        <v>807</v>
      </c>
      <c r="G428" s="7" t="s">
        <v>806</v>
      </c>
      <c r="H428" s="7" t="s">
        <v>42</v>
      </c>
      <c r="I428" s="7" t="s">
        <v>33</v>
      </c>
      <c r="J428" s="7" t="s">
        <v>33</v>
      </c>
      <c r="K428" s="7" t="s">
        <v>33</v>
      </c>
      <c r="L428" s="7" t="s">
        <v>40</v>
      </c>
      <c r="M428" s="7" t="s">
        <v>10</v>
      </c>
      <c r="N428" s="7" t="s">
        <v>10</v>
      </c>
      <c r="O428" s="7" t="s">
        <v>33</v>
      </c>
      <c r="P428" s="11" t="str">
        <f t="shared" si="12"/>
        <v>负</v>
      </c>
      <c r="Q428" s="11" t="str">
        <f t="shared" si="13"/>
        <v>负</v>
      </c>
    </row>
    <row r="429" spans="4:17" x14ac:dyDescent="0.15">
      <c r="D429" s="7" t="s">
        <v>6</v>
      </c>
      <c r="E429" s="7" t="s">
        <v>808</v>
      </c>
      <c r="F429" s="7" t="s">
        <v>808</v>
      </c>
      <c r="G429" s="7" t="s">
        <v>809</v>
      </c>
      <c r="H429" s="7" t="s">
        <v>35</v>
      </c>
      <c r="I429" s="7" t="s">
        <v>33</v>
      </c>
      <c r="J429" s="7" t="s">
        <v>33</v>
      </c>
      <c r="K429" s="7" t="s">
        <v>33</v>
      </c>
      <c r="L429" s="7" t="s">
        <v>54</v>
      </c>
      <c r="M429" s="7" t="s">
        <v>33</v>
      </c>
      <c r="N429" s="7" t="s">
        <v>10</v>
      </c>
      <c r="O429" s="7" t="s">
        <v>33</v>
      </c>
      <c r="P429" s="11" t="str">
        <f t="shared" si="12"/>
        <v>平</v>
      </c>
      <c r="Q429" s="11" t="str">
        <f t="shared" si="13"/>
        <v>负</v>
      </c>
    </row>
    <row r="430" spans="4:17" x14ac:dyDescent="0.15">
      <c r="D430" s="7" t="s">
        <v>6</v>
      </c>
      <c r="E430" s="7" t="s">
        <v>810</v>
      </c>
      <c r="F430" s="7" t="s">
        <v>810</v>
      </c>
      <c r="G430" s="7" t="s">
        <v>811</v>
      </c>
      <c r="H430" s="7" t="s">
        <v>36</v>
      </c>
      <c r="I430" s="7" t="s">
        <v>10</v>
      </c>
      <c r="J430" s="7" t="s">
        <v>10</v>
      </c>
      <c r="K430" s="7" t="s">
        <v>33</v>
      </c>
      <c r="L430" s="7" t="s">
        <v>41</v>
      </c>
      <c r="M430" s="7" t="s">
        <v>39</v>
      </c>
      <c r="N430" s="7" t="s">
        <v>50</v>
      </c>
      <c r="O430" s="7" t="s">
        <v>33</v>
      </c>
      <c r="P430" s="11" t="str">
        <f t="shared" si="12"/>
        <v>负</v>
      </c>
      <c r="Q430" s="11" t="str">
        <f t="shared" si="13"/>
        <v>负</v>
      </c>
    </row>
    <row r="431" spans="4:17" x14ac:dyDescent="0.15">
      <c r="D431" s="7" t="s">
        <v>6</v>
      </c>
      <c r="E431" s="7" t="s">
        <v>812</v>
      </c>
      <c r="F431" s="7" t="s">
        <v>812</v>
      </c>
      <c r="G431" s="7" t="s">
        <v>806</v>
      </c>
      <c r="H431" s="7" t="s">
        <v>45</v>
      </c>
      <c r="I431" s="7" t="s">
        <v>33</v>
      </c>
      <c r="J431" s="7" t="s">
        <v>33</v>
      </c>
      <c r="K431" s="7" t="s">
        <v>33</v>
      </c>
      <c r="L431" s="7" t="s">
        <v>46</v>
      </c>
      <c r="M431" s="7" t="s">
        <v>33</v>
      </c>
      <c r="N431" s="7" t="s">
        <v>10</v>
      </c>
      <c r="O431" s="7" t="s">
        <v>33</v>
      </c>
      <c r="P431" s="11" t="str">
        <f t="shared" si="12"/>
        <v>平</v>
      </c>
      <c r="Q431" s="11" t="str">
        <f t="shared" si="13"/>
        <v>负</v>
      </c>
    </row>
    <row r="432" spans="4:17" x14ac:dyDescent="0.15">
      <c r="D432" s="7" t="s">
        <v>6</v>
      </c>
      <c r="E432" s="7" t="s">
        <v>813</v>
      </c>
      <c r="F432" s="7" t="s">
        <v>813</v>
      </c>
      <c r="G432" s="7" t="s">
        <v>811</v>
      </c>
      <c r="H432" s="7" t="s">
        <v>44</v>
      </c>
      <c r="I432" s="7" t="s">
        <v>10</v>
      </c>
      <c r="J432" s="7" t="s">
        <v>10</v>
      </c>
      <c r="K432" s="7" t="s">
        <v>33</v>
      </c>
      <c r="L432" s="7" t="s">
        <v>43</v>
      </c>
      <c r="M432" s="7" t="s">
        <v>10</v>
      </c>
      <c r="N432" s="7" t="s">
        <v>10</v>
      </c>
      <c r="O432" s="7" t="s">
        <v>33</v>
      </c>
      <c r="P432" s="11" t="str">
        <f t="shared" si="12"/>
        <v>平</v>
      </c>
      <c r="Q432" s="11" t="str">
        <f t="shared" si="13"/>
        <v>平</v>
      </c>
    </row>
    <row r="433" spans="4:17" x14ac:dyDescent="0.15">
      <c r="D433" s="7" t="s">
        <v>6</v>
      </c>
      <c r="E433" s="7" t="s">
        <v>814</v>
      </c>
      <c r="F433" s="7" t="s">
        <v>814</v>
      </c>
      <c r="G433" s="7" t="s">
        <v>815</v>
      </c>
      <c r="H433" s="7" t="s">
        <v>53</v>
      </c>
      <c r="I433" s="7" t="s">
        <v>10</v>
      </c>
      <c r="J433" s="7" t="s">
        <v>10</v>
      </c>
      <c r="K433" s="7" t="s">
        <v>33</v>
      </c>
      <c r="L433" s="7" t="s">
        <v>37</v>
      </c>
      <c r="M433" s="7" t="s">
        <v>10</v>
      </c>
      <c r="N433" s="7" t="s">
        <v>9</v>
      </c>
      <c r="O433" s="7" t="s">
        <v>33</v>
      </c>
      <c r="P433" s="11" t="str">
        <f t="shared" si="12"/>
        <v>平</v>
      </c>
      <c r="Q433" s="11" t="str">
        <f t="shared" si="13"/>
        <v>负</v>
      </c>
    </row>
    <row r="434" spans="4:17" x14ac:dyDescent="0.15">
      <c r="D434" s="7" t="s">
        <v>6</v>
      </c>
      <c r="E434" s="7" t="s">
        <v>816</v>
      </c>
      <c r="F434" s="7" t="s">
        <v>816</v>
      </c>
      <c r="G434" s="7" t="s">
        <v>811</v>
      </c>
      <c r="H434" s="7" t="s">
        <v>38</v>
      </c>
      <c r="I434" s="7" t="s">
        <v>9</v>
      </c>
      <c r="J434" s="7" t="s">
        <v>50</v>
      </c>
      <c r="K434" s="7" t="s">
        <v>33</v>
      </c>
      <c r="L434" s="7" t="s">
        <v>49</v>
      </c>
      <c r="M434" s="7" t="s">
        <v>33</v>
      </c>
      <c r="N434" s="7" t="s">
        <v>33</v>
      </c>
      <c r="O434" s="7" t="s">
        <v>33</v>
      </c>
      <c r="P434" s="11" t="str">
        <f t="shared" si="12"/>
        <v>胜</v>
      </c>
      <c r="Q434" s="11" t="str">
        <f t="shared" si="13"/>
        <v>胜</v>
      </c>
    </row>
    <row r="435" spans="4:17" x14ac:dyDescent="0.15">
      <c r="D435" s="7" t="s">
        <v>6</v>
      </c>
      <c r="E435" s="7" t="s">
        <v>817</v>
      </c>
      <c r="F435" s="7" t="s">
        <v>817</v>
      </c>
      <c r="G435" s="7" t="s">
        <v>818</v>
      </c>
      <c r="H435" s="7" t="s">
        <v>46</v>
      </c>
      <c r="I435" s="7" t="s">
        <v>10</v>
      </c>
      <c r="J435" s="7" t="s">
        <v>9</v>
      </c>
      <c r="K435" s="7" t="s">
        <v>33</v>
      </c>
      <c r="L435" s="7" t="s">
        <v>35</v>
      </c>
      <c r="M435" s="7" t="s">
        <v>33</v>
      </c>
      <c r="N435" s="7" t="s">
        <v>33</v>
      </c>
      <c r="O435" s="7" t="s">
        <v>33</v>
      </c>
      <c r="P435" s="11" t="str">
        <f t="shared" si="12"/>
        <v>胜</v>
      </c>
      <c r="Q435" s="11" t="str">
        <f t="shared" si="13"/>
        <v>胜</v>
      </c>
    </row>
    <row r="436" spans="4:17" x14ac:dyDescent="0.15">
      <c r="D436" s="7" t="s">
        <v>6</v>
      </c>
      <c r="E436" s="7" t="s">
        <v>819</v>
      </c>
      <c r="F436" s="7" t="s">
        <v>819</v>
      </c>
      <c r="G436" s="7" t="s">
        <v>820</v>
      </c>
      <c r="H436" s="7" t="s">
        <v>40</v>
      </c>
      <c r="I436" s="7" t="s">
        <v>10</v>
      </c>
      <c r="J436" s="7" t="s">
        <v>9</v>
      </c>
      <c r="K436" s="7" t="s">
        <v>33</v>
      </c>
      <c r="L436" s="7" t="s">
        <v>32</v>
      </c>
      <c r="M436" s="7" t="s">
        <v>33</v>
      </c>
      <c r="N436" s="7" t="s">
        <v>33</v>
      </c>
      <c r="O436" s="7" t="s">
        <v>33</v>
      </c>
      <c r="P436" s="11" t="str">
        <f t="shared" si="12"/>
        <v>胜</v>
      </c>
      <c r="Q436" s="11" t="str">
        <f t="shared" si="13"/>
        <v>胜</v>
      </c>
    </row>
    <row r="437" spans="4:17" x14ac:dyDescent="0.15">
      <c r="D437" s="7" t="s">
        <v>6</v>
      </c>
      <c r="E437" s="7" t="s">
        <v>821</v>
      </c>
      <c r="F437" s="7" t="s">
        <v>821</v>
      </c>
      <c r="G437" s="7" t="s">
        <v>822</v>
      </c>
      <c r="H437" s="7" t="s">
        <v>41</v>
      </c>
      <c r="I437" s="7" t="s">
        <v>9</v>
      </c>
      <c r="J437" s="7" t="s">
        <v>50</v>
      </c>
      <c r="K437" s="7" t="s">
        <v>33</v>
      </c>
      <c r="L437" s="7" t="s">
        <v>38</v>
      </c>
      <c r="M437" s="7" t="s">
        <v>33</v>
      </c>
      <c r="N437" s="7" t="s">
        <v>33</v>
      </c>
      <c r="O437" s="7" t="s">
        <v>33</v>
      </c>
      <c r="P437" s="11" t="str">
        <f t="shared" si="12"/>
        <v>胜</v>
      </c>
      <c r="Q437" s="11" t="str">
        <f t="shared" si="13"/>
        <v>胜</v>
      </c>
    </row>
    <row r="438" spans="4:17" x14ac:dyDescent="0.15">
      <c r="D438" s="7" t="s">
        <v>6</v>
      </c>
      <c r="E438" s="7" t="s">
        <v>823</v>
      </c>
      <c r="F438" s="7" t="s">
        <v>823</v>
      </c>
      <c r="G438" s="7" t="s">
        <v>824</v>
      </c>
      <c r="H438" s="7" t="s">
        <v>43</v>
      </c>
      <c r="I438" s="7" t="s">
        <v>9</v>
      </c>
      <c r="J438" s="7" t="s">
        <v>55</v>
      </c>
      <c r="K438" s="7" t="s">
        <v>33</v>
      </c>
      <c r="L438" s="7" t="s">
        <v>53</v>
      </c>
      <c r="M438" s="7" t="s">
        <v>33</v>
      </c>
      <c r="N438" s="7" t="s">
        <v>33</v>
      </c>
      <c r="O438" s="7" t="s">
        <v>33</v>
      </c>
      <c r="P438" s="11" t="str">
        <f t="shared" si="12"/>
        <v>胜</v>
      </c>
      <c r="Q438" s="11" t="str">
        <f t="shared" si="13"/>
        <v>胜</v>
      </c>
    </row>
    <row r="439" spans="4:17" x14ac:dyDescent="0.15">
      <c r="D439" s="7" t="s">
        <v>6</v>
      </c>
      <c r="E439" s="7" t="s">
        <v>825</v>
      </c>
      <c r="F439" s="7" t="s">
        <v>825</v>
      </c>
      <c r="G439" s="7" t="s">
        <v>826</v>
      </c>
      <c r="H439" s="7" t="s">
        <v>54</v>
      </c>
      <c r="I439" s="7" t="s">
        <v>33</v>
      </c>
      <c r="J439" s="7" t="s">
        <v>10</v>
      </c>
      <c r="K439" s="7" t="s">
        <v>33</v>
      </c>
      <c r="L439" s="7" t="s">
        <v>44</v>
      </c>
      <c r="M439" s="7" t="s">
        <v>10</v>
      </c>
      <c r="N439" s="7" t="s">
        <v>39</v>
      </c>
      <c r="O439" s="7" t="s">
        <v>33</v>
      </c>
      <c r="P439" s="11" t="str">
        <f t="shared" si="12"/>
        <v>负</v>
      </c>
      <c r="Q439" s="11" t="str">
        <f t="shared" si="13"/>
        <v>负</v>
      </c>
    </row>
    <row r="440" spans="4:17" x14ac:dyDescent="0.15">
      <c r="D440" s="7" t="s">
        <v>6</v>
      </c>
      <c r="E440" s="7" t="s">
        <v>827</v>
      </c>
      <c r="F440" s="7" t="s">
        <v>827</v>
      </c>
      <c r="G440" s="7" t="s">
        <v>826</v>
      </c>
      <c r="H440" s="7" t="s">
        <v>37</v>
      </c>
      <c r="I440" s="7" t="s">
        <v>10</v>
      </c>
      <c r="J440" s="7" t="s">
        <v>50</v>
      </c>
      <c r="K440" s="7" t="s">
        <v>33</v>
      </c>
      <c r="L440" s="7" t="s">
        <v>45</v>
      </c>
      <c r="M440" s="7" t="s">
        <v>33</v>
      </c>
      <c r="N440" s="7" t="s">
        <v>33</v>
      </c>
      <c r="O440" s="7" t="s">
        <v>33</v>
      </c>
      <c r="P440" s="11" t="str">
        <f t="shared" si="12"/>
        <v>胜</v>
      </c>
      <c r="Q440" s="11" t="str">
        <f t="shared" si="13"/>
        <v>胜</v>
      </c>
    </row>
    <row r="441" spans="4:17" x14ac:dyDescent="0.15">
      <c r="D441" s="7" t="s">
        <v>6</v>
      </c>
      <c r="E441" s="7" t="s">
        <v>828</v>
      </c>
      <c r="F441" s="7" t="s">
        <v>828</v>
      </c>
      <c r="G441" s="7" t="s">
        <v>829</v>
      </c>
      <c r="H441" s="7" t="s">
        <v>49</v>
      </c>
      <c r="I441" s="7" t="s">
        <v>10</v>
      </c>
      <c r="J441" s="7" t="s">
        <v>9</v>
      </c>
      <c r="K441" s="7" t="s">
        <v>33</v>
      </c>
      <c r="L441" s="7" t="s">
        <v>36</v>
      </c>
      <c r="M441" s="7" t="s">
        <v>33</v>
      </c>
      <c r="N441" s="7" t="s">
        <v>33</v>
      </c>
      <c r="O441" s="7" t="s">
        <v>33</v>
      </c>
      <c r="P441" s="11" t="str">
        <f t="shared" si="12"/>
        <v>胜</v>
      </c>
      <c r="Q441" s="11" t="str">
        <f t="shared" si="13"/>
        <v>胜</v>
      </c>
    </row>
    <row r="442" spans="4:17" x14ac:dyDescent="0.15">
      <c r="D442" s="7" t="s">
        <v>6</v>
      </c>
      <c r="E442" s="7" t="s">
        <v>830</v>
      </c>
      <c r="F442" s="7" t="s">
        <v>830</v>
      </c>
      <c r="G442" s="7" t="s">
        <v>831</v>
      </c>
      <c r="H442" s="7" t="s">
        <v>48</v>
      </c>
      <c r="I442" s="7" t="s">
        <v>10</v>
      </c>
      <c r="J442" s="7" t="s">
        <v>39</v>
      </c>
      <c r="K442" s="7" t="s">
        <v>33</v>
      </c>
      <c r="L442" s="7" t="s">
        <v>42</v>
      </c>
      <c r="M442" s="7" t="s">
        <v>33</v>
      </c>
      <c r="N442" s="7" t="s">
        <v>10</v>
      </c>
      <c r="O442" s="7" t="s">
        <v>33</v>
      </c>
      <c r="P442" s="11" t="str">
        <f t="shared" si="12"/>
        <v>胜</v>
      </c>
      <c r="Q442" s="11" t="str">
        <f t="shared" si="13"/>
        <v>胜</v>
      </c>
    </row>
    <row r="443" spans="4:17" x14ac:dyDescent="0.15">
      <c r="D443" s="7" t="s">
        <v>6</v>
      </c>
      <c r="E443" s="7" t="s">
        <v>832</v>
      </c>
      <c r="F443" s="7" t="s">
        <v>832</v>
      </c>
      <c r="G443" s="7" t="s">
        <v>833</v>
      </c>
      <c r="H443" s="7" t="s">
        <v>44</v>
      </c>
      <c r="I443" s="7" t="s">
        <v>9</v>
      </c>
      <c r="J443" s="7" t="s">
        <v>9</v>
      </c>
      <c r="K443" s="7" t="s">
        <v>33</v>
      </c>
      <c r="L443" s="7" t="s">
        <v>49</v>
      </c>
      <c r="M443" s="7" t="s">
        <v>33</v>
      </c>
      <c r="N443" s="7" t="s">
        <v>33</v>
      </c>
      <c r="O443" s="7" t="s">
        <v>33</v>
      </c>
      <c r="P443" s="11" t="str">
        <f t="shared" si="12"/>
        <v>胜</v>
      </c>
      <c r="Q443" s="11" t="str">
        <f t="shared" si="13"/>
        <v>胜</v>
      </c>
    </row>
    <row r="444" spans="4:17" x14ac:dyDescent="0.15">
      <c r="D444" s="7" t="s">
        <v>6</v>
      </c>
      <c r="E444" s="7" t="s">
        <v>834</v>
      </c>
      <c r="F444" s="7" t="s">
        <v>834</v>
      </c>
      <c r="G444" s="7" t="s">
        <v>835</v>
      </c>
      <c r="H444" s="7" t="s">
        <v>38</v>
      </c>
      <c r="I444" s="7" t="s">
        <v>33</v>
      </c>
      <c r="J444" s="7" t="s">
        <v>10</v>
      </c>
      <c r="K444" s="7" t="s">
        <v>33</v>
      </c>
      <c r="L444" s="7" t="s">
        <v>43</v>
      </c>
      <c r="M444" s="7" t="s">
        <v>33</v>
      </c>
      <c r="N444" s="7" t="s">
        <v>33</v>
      </c>
      <c r="O444" s="7" t="s">
        <v>33</v>
      </c>
      <c r="P444" s="11" t="str">
        <f t="shared" si="12"/>
        <v>平</v>
      </c>
      <c r="Q444" s="11" t="str">
        <f t="shared" si="13"/>
        <v>胜</v>
      </c>
    </row>
    <row r="445" spans="4:17" x14ac:dyDescent="0.15">
      <c r="D445" s="7" t="s">
        <v>6</v>
      </c>
      <c r="E445" s="7" t="s">
        <v>836</v>
      </c>
      <c r="F445" s="7" t="s">
        <v>836</v>
      </c>
      <c r="G445" s="7" t="s">
        <v>837</v>
      </c>
      <c r="H445" s="7" t="s">
        <v>45</v>
      </c>
      <c r="I445" s="7" t="s">
        <v>10</v>
      </c>
      <c r="J445" s="7" t="s">
        <v>39</v>
      </c>
      <c r="K445" s="7" t="s">
        <v>33</v>
      </c>
      <c r="L445" s="7" t="s">
        <v>48</v>
      </c>
      <c r="M445" s="7" t="s">
        <v>10</v>
      </c>
      <c r="N445" s="7" t="s">
        <v>9</v>
      </c>
      <c r="O445" s="7" t="s">
        <v>33</v>
      </c>
      <c r="P445" s="11" t="str">
        <f t="shared" si="12"/>
        <v>平</v>
      </c>
      <c r="Q445" s="11" t="str">
        <f t="shared" si="13"/>
        <v>胜</v>
      </c>
    </row>
    <row r="446" spans="4:17" x14ac:dyDescent="0.15">
      <c r="D446" s="7" t="s">
        <v>6</v>
      </c>
      <c r="E446" s="7" t="s">
        <v>838</v>
      </c>
      <c r="F446" s="7" t="s">
        <v>838</v>
      </c>
      <c r="G446" s="7" t="s">
        <v>839</v>
      </c>
      <c r="H446" s="7" t="s">
        <v>36</v>
      </c>
      <c r="I446" s="7" t="s">
        <v>33</v>
      </c>
      <c r="J446" s="7" t="s">
        <v>9</v>
      </c>
      <c r="K446" s="7" t="s">
        <v>33</v>
      </c>
      <c r="L446" s="7" t="s">
        <v>40</v>
      </c>
      <c r="M446" s="7" t="s">
        <v>10</v>
      </c>
      <c r="N446" s="7" t="s">
        <v>9</v>
      </c>
      <c r="O446" s="7" t="s">
        <v>33</v>
      </c>
      <c r="P446" s="11" t="str">
        <f t="shared" si="12"/>
        <v>负</v>
      </c>
      <c r="Q446" s="11" t="str">
        <f t="shared" si="13"/>
        <v>平</v>
      </c>
    </row>
    <row r="447" spans="4:17" x14ac:dyDescent="0.15">
      <c r="D447" s="7" t="s">
        <v>6</v>
      </c>
      <c r="E447" s="7" t="s">
        <v>840</v>
      </c>
      <c r="F447" s="7" t="s">
        <v>840</v>
      </c>
      <c r="G447" s="7" t="s">
        <v>839</v>
      </c>
      <c r="H447" s="7" t="s">
        <v>35</v>
      </c>
      <c r="I447" s="7" t="s">
        <v>10</v>
      </c>
      <c r="J447" s="7" t="s">
        <v>10</v>
      </c>
      <c r="K447" s="7" t="s">
        <v>33</v>
      </c>
      <c r="L447" s="7" t="s">
        <v>37</v>
      </c>
      <c r="M447" s="7" t="s">
        <v>33</v>
      </c>
      <c r="N447" s="7" t="s">
        <v>10</v>
      </c>
      <c r="O447" s="7" t="s">
        <v>33</v>
      </c>
      <c r="P447" s="11" t="str">
        <f t="shared" si="12"/>
        <v>胜</v>
      </c>
      <c r="Q447" s="11" t="str">
        <f t="shared" si="13"/>
        <v>平</v>
      </c>
    </row>
    <row r="448" spans="4:17" x14ac:dyDescent="0.15">
      <c r="D448" s="7" t="s">
        <v>6</v>
      </c>
      <c r="E448" s="7" t="s">
        <v>841</v>
      </c>
      <c r="F448" s="7" t="s">
        <v>841</v>
      </c>
      <c r="G448" s="7" t="s">
        <v>842</v>
      </c>
      <c r="H448" s="7" t="s">
        <v>53</v>
      </c>
      <c r="I448" s="7" t="s">
        <v>10</v>
      </c>
      <c r="J448" s="7" t="s">
        <v>10</v>
      </c>
      <c r="K448" s="7" t="s">
        <v>33</v>
      </c>
      <c r="L448" s="7" t="s">
        <v>46</v>
      </c>
      <c r="M448" s="7" t="s">
        <v>33</v>
      </c>
      <c r="N448" s="7" t="s">
        <v>33</v>
      </c>
      <c r="O448" s="7" t="s">
        <v>33</v>
      </c>
      <c r="P448" s="11" t="str">
        <f t="shared" si="12"/>
        <v>胜</v>
      </c>
      <c r="Q448" s="11" t="str">
        <f t="shared" si="13"/>
        <v>胜</v>
      </c>
    </row>
    <row r="449" spans="4:17" x14ac:dyDescent="0.15">
      <c r="D449" s="7" t="s">
        <v>6</v>
      </c>
      <c r="E449" s="7" t="s">
        <v>843</v>
      </c>
      <c r="F449" s="7" t="s">
        <v>843</v>
      </c>
      <c r="G449" s="7" t="s">
        <v>844</v>
      </c>
      <c r="H449" s="7" t="s">
        <v>42</v>
      </c>
      <c r="I449" s="7" t="s">
        <v>10</v>
      </c>
      <c r="J449" s="7" t="s">
        <v>10</v>
      </c>
      <c r="K449" s="7" t="s">
        <v>33</v>
      </c>
      <c r="L449" s="7" t="s">
        <v>54</v>
      </c>
      <c r="M449" s="7" t="s">
        <v>9</v>
      </c>
      <c r="N449" s="7" t="s">
        <v>9</v>
      </c>
      <c r="O449" s="7" t="s">
        <v>33</v>
      </c>
      <c r="P449" s="11" t="str">
        <f t="shared" si="12"/>
        <v>负</v>
      </c>
      <c r="Q449" s="11" t="str">
        <f t="shared" si="13"/>
        <v>负</v>
      </c>
    </row>
    <row r="450" spans="4:17" x14ac:dyDescent="0.15">
      <c r="D450" s="7" t="s">
        <v>6</v>
      </c>
      <c r="E450" s="7" t="s">
        <v>845</v>
      </c>
      <c r="F450" s="7" t="s">
        <v>845</v>
      </c>
      <c r="G450" s="7" t="s">
        <v>846</v>
      </c>
      <c r="H450" s="7" t="s">
        <v>32</v>
      </c>
      <c r="I450" s="11" t="s">
        <v>33</v>
      </c>
      <c r="J450" s="7" t="s">
        <v>33</v>
      </c>
      <c r="K450" s="7" t="s">
        <v>33</v>
      </c>
      <c r="L450" s="7" t="s">
        <v>41</v>
      </c>
      <c r="M450" s="7" t="s">
        <v>10</v>
      </c>
      <c r="N450" s="7" t="s">
        <v>9</v>
      </c>
      <c r="O450" s="7" t="s">
        <v>33</v>
      </c>
      <c r="P450" s="11" t="str">
        <f t="shared" si="12"/>
        <v>负</v>
      </c>
      <c r="Q450" s="11" t="str">
        <f t="shared" si="13"/>
        <v>负</v>
      </c>
    </row>
    <row r="451" spans="4:17" x14ac:dyDescent="0.15">
      <c r="D451" s="7" t="s">
        <v>6</v>
      </c>
      <c r="E451" s="7" t="s">
        <v>847</v>
      </c>
      <c r="F451" s="7" t="s">
        <v>847</v>
      </c>
      <c r="G451" s="7" t="s">
        <v>848</v>
      </c>
      <c r="H451" s="7" t="s">
        <v>45</v>
      </c>
      <c r="I451" s="7" t="s">
        <v>33</v>
      </c>
      <c r="J451" s="7" t="s">
        <v>9</v>
      </c>
      <c r="K451" s="7" t="s">
        <v>33</v>
      </c>
      <c r="L451" s="7" t="s">
        <v>53</v>
      </c>
      <c r="M451" s="7" t="s">
        <v>33</v>
      </c>
      <c r="N451" s="7" t="s">
        <v>33</v>
      </c>
      <c r="O451" s="7" t="s">
        <v>33</v>
      </c>
      <c r="P451" s="11" t="str">
        <f t="shared" si="12"/>
        <v>平</v>
      </c>
      <c r="Q451" s="11" t="str">
        <f t="shared" si="13"/>
        <v>胜</v>
      </c>
    </row>
    <row r="452" spans="4:17" x14ac:dyDescent="0.15">
      <c r="D452" s="7" t="s">
        <v>6</v>
      </c>
      <c r="E452" s="7" t="s">
        <v>849</v>
      </c>
      <c r="F452" s="7" t="s">
        <v>849</v>
      </c>
      <c r="G452" s="7" t="s">
        <v>850</v>
      </c>
      <c r="H452" s="7" t="s">
        <v>40</v>
      </c>
      <c r="I452" s="7" t="s">
        <v>10</v>
      </c>
      <c r="J452" s="7" t="s">
        <v>39</v>
      </c>
      <c r="K452" s="7" t="s">
        <v>33</v>
      </c>
      <c r="L452" s="7" t="s">
        <v>44</v>
      </c>
      <c r="M452" s="7" t="s">
        <v>33</v>
      </c>
      <c r="N452" s="7" t="s">
        <v>10</v>
      </c>
      <c r="O452" s="7" t="s">
        <v>33</v>
      </c>
      <c r="P452" s="11" t="str">
        <f t="shared" si="12"/>
        <v>胜</v>
      </c>
      <c r="Q452" s="11" t="str">
        <f t="shared" si="13"/>
        <v>胜</v>
      </c>
    </row>
    <row r="453" spans="4:17" x14ac:dyDescent="0.15">
      <c r="D453" s="7" t="s">
        <v>6</v>
      </c>
      <c r="E453" s="7" t="s">
        <v>851</v>
      </c>
      <c r="F453" s="7" t="s">
        <v>851</v>
      </c>
      <c r="G453" s="7" t="s">
        <v>852</v>
      </c>
      <c r="H453" s="7" t="s">
        <v>54</v>
      </c>
      <c r="I453" s="7" t="s">
        <v>10</v>
      </c>
      <c r="J453" s="7" t="s">
        <v>9</v>
      </c>
      <c r="K453" s="7" t="s">
        <v>33</v>
      </c>
      <c r="L453" s="7" t="s">
        <v>32</v>
      </c>
      <c r="M453" s="7" t="s">
        <v>33</v>
      </c>
      <c r="N453" s="7" t="s">
        <v>10</v>
      </c>
      <c r="O453" s="7" t="s">
        <v>33</v>
      </c>
      <c r="P453" s="11" t="str">
        <f t="shared" si="12"/>
        <v>胜</v>
      </c>
      <c r="Q453" s="11" t="str">
        <f t="shared" si="13"/>
        <v>胜</v>
      </c>
    </row>
    <row r="454" spans="4:17" x14ac:dyDescent="0.15">
      <c r="D454" s="7" t="s">
        <v>6</v>
      </c>
      <c r="E454" s="7" t="s">
        <v>853</v>
      </c>
      <c r="F454" s="7" t="s">
        <v>853</v>
      </c>
      <c r="G454" s="7" t="s">
        <v>854</v>
      </c>
      <c r="H454" s="7" t="s">
        <v>46</v>
      </c>
      <c r="I454" s="7" t="s">
        <v>33</v>
      </c>
      <c r="J454" s="7" t="s">
        <v>10</v>
      </c>
      <c r="K454" s="7" t="s">
        <v>33</v>
      </c>
      <c r="L454" s="7" t="s">
        <v>36</v>
      </c>
      <c r="M454" s="7" t="s">
        <v>33</v>
      </c>
      <c r="N454" s="7" t="s">
        <v>33</v>
      </c>
      <c r="O454" s="7" t="s">
        <v>33</v>
      </c>
      <c r="P454" s="11" t="str">
        <f t="shared" si="12"/>
        <v>平</v>
      </c>
      <c r="Q454" s="11" t="str">
        <f t="shared" si="13"/>
        <v>胜</v>
      </c>
    </row>
    <row r="455" spans="4:17" x14ac:dyDescent="0.15">
      <c r="D455" s="7" t="s">
        <v>6</v>
      </c>
      <c r="E455" s="7" t="s">
        <v>855</v>
      </c>
      <c r="F455" s="7" t="s">
        <v>855</v>
      </c>
      <c r="G455" s="7" t="s">
        <v>856</v>
      </c>
      <c r="H455" s="7" t="s">
        <v>37</v>
      </c>
      <c r="I455" s="7" t="s">
        <v>10</v>
      </c>
      <c r="J455" s="7" t="s">
        <v>39</v>
      </c>
      <c r="K455" s="7" t="s">
        <v>33</v>
      </c>
      <c r="L455" s="7" t="s">
        <v>42</v>
      </c>
      <c r="M455" s="7" t="s">
        <v>33</v>
      </c>
      <c r="N455" s="7" t="s">
        <v>10</v>
      </c>
      <c r="O455" s="7" t="s">
        <v>33</v>
      </c>
      <c r="P455" s="11" t="str">
        <f t="shared" si="12"/>
        <v>胜</v>
      </c>
      <c r="Q455" s="11" t="str">
        <f t="shared" si="13"/>
        <v>胜</v>
      </c>
    </row>
    <row r="456" spans="4:17" x14ac:dyDescent="0.15">
      <c r="D456" s="7" t="s">
        <v>6</v>
      </c>
      <c r="E456" s="7" t="s">
        <v>857</v>
      </c>
      <c r="F456" s="7" t="s">
        <v>857</v>
      </c>
      <c r="G456" s="7" t="s">
        <v>858</v>
      </c>
      <c r="H456" s="7" t="s">
        <v>49</v>
      </c>
      <c r="I456" s="7" t="s">
        <v>10</v>
      </c>
      <c r="J456" s="7" t="s">
        <v>39</v>
      </c>
      <c r="K456" s="7" t="s">
        <v>33</v>
      </c>
      <c r="L456" s="7" t="s">
        <v>41</v>
      </c>
      <c r="M456" s="7" t="s">
        <v>33</v>
      </c>
      <c r="N456" s="7" t="s">
        <v>33</v>
      </c>
      <c r="O456" s="7" t="s">
        <v>33</v>
      </c>
      <c r="P456" s="11" t="str">
        <f t="shared" si="12"/>
        <v>胜</v>
      </c>
      <c r="Q456" s="11" t="str">
        <f t="shared" si="13"/>
        <v>胜</v>
      </c>
    </row>
    <row r="457" spans="4:17" x14ac:dyDescent="0.15">
      <c r="D457" s="7" t="s">
        <v>6</v>
      </c>
      <c r="E457" s="7" t="s">
        <v>859</v>
      </c>
      <c r="F457" s="7" t="s">
        <v>859</v>
      </c>
      <c r="G457" s="7" t="s">
        <v>858</v>
      </c>
      <c r="H457" s="7" t="s">
        <v>43</v>
      </c>
      <c r="I457" s="7" t="s">
        <v>10</v>
      </c>
      <c r="J457" s="7" t="s">
        <v>10</v>
      </c>
      <c r="K457" s="7" t="s">
        <v>33</v>
      </c>
      <c r="L457" s="7" t="s">
        <v>35</v>
      </c>
      <c r="M457" s="7" t="s">
        <v>10</v>
      </c>
      <c r="N457" s="7" t="s">
        <v>50</v>
      </c>
      <c r="O457" s="7" t="s">
        <v>33</v>
      </c>
      <c r="P457" s="11" t="str">
        <f t="shared" si="12"/>
        <v>平</v>
      </c>
      <c r="Q457" s="11" t="str">
        <f t="shared" si="13"/>
        <v>负</v>
      </c>
    </row>
    <row r="458" spans="4:17" x14ac:dyDescent="0.15">
      <c r="D458" s="7" t="s">
        <v>6</v>
      </c>
      <c r="E458" s="7" t="s">
        <v>860</v>
      </c>
      <c r="F458" s="7" t="s">
        <v>860</v>
      </c>
      <c r="G458" s="7" t="s">
        <v>861</v>
      </c>
      <c r="H458" s="7" t="s">
        <v>48</v>
      </c>
      <c r="I458" s="7" t="s">
        <v>33</v>
      </c>
      <c r="J458" s="7" t="s">
        <v>39</v>
      </c>
      <c r="K458" s="7" t="s">
        <v>33</v>
      </c>
      <c r="L458" s="7" t="s">
        <v>38</v>
      </c>
      <c r="M458" s="7" t="s">
        <v>10</v>
      </c>
      <c r="N458" s="7" t="s">
        <v>39</v>
      </c>
      <c r="O458" s="7" t="s">
        <v>33</v>
      </c>
      <c r="P458" s="11" t="str">
        <f t="shared" si="12"/>
        <v>负</v>
      </c>
      <c r="Q458" s="11" t="str">
        <f t="shared" si="13"/>
        <v>平</v>
      </c>
    </row>
    <row r="459" spans="4:17" x14ac:dyDescent="0.15">
      <c r="D459" s="7" t="s">
        <v>6</v>
      </c>
      <c r="E459" s="7" t="s">
        <v>862</v>
      </c>
      <c r="F459" s="7" t="s">
        <v>862</v>
      </c>
      <c r="G459" s="7" t="s">
        <v>863</v>
      </c>
      <c r="H459" s="7" t="s">
        <v>48</v>
      </c>
      <c r="I459" s="7" t="s">
        <v>39</v>
      </c>
      <c r="J459" s="7" t="s">
        <v>39</v>
      </c>
      <c r="K459" s="7" t="s">
        <v>33</v>
      </c>
      <c r="L459" s="7" t="s">
        <v>54</v>
      </c>
      <c r="M459" s="7" t="s">
        <v>10</v>
      </c>
      <c r="N459" s="7" t="s">
        <v>10</v>
      </c>
      <c r="O459" s="7" t="s">
        <v>33</v>
      </c>
      <c r="P459" s="11" t="str">
        <f t="shared" si="12"/>
        <v>胜</v>
      </c>
      <c r="Q459" s="11" t="str">
        <f t="shared" si="13"/>
        <v>胜</v>
      </c>
    </row>
    <row r="460" spans="4:17" x14ac:dyDescent="0.15">
      <c r="D460" s="7" t="s">
        <v>6</v>
      </c>
      <c r="E460" s="7" t="s">
        <v>864</v>
      </c>
      <c r="F460" s="7" t="s">
        <v>864</v>
      </c>
      <c r="G460" s="7" t="s">
        <v>865</v>
      </c>
      <c r="H460" s="7" t="s">
        <v>32</v>
      </c>
      <c r="I460" s="11" t="s">
        <v>33</v>
      </c>
      <c r="J460" s="7" t="s">
        <v>33</v>
      </c>
      <c r="K460" s="7" t="s">
        <v>33</v>
      </c>
      <c r="L460" s="7" t="s">
        <v>49</v>
      </c>
      <c r="M460" s="7" t="s">
        <v>33</v>
      </c>
      <c r="N460" s="7" t="s">
        <v>33</v>
      </c>
      <c r="O460" s="7" t="s">
        <v>33</v>
      </c>
      <c r="P460" s="11" t="str">
        <f t="shared" si="12"/>
        <v>平</v>
      </c>
      <c r="Q460" s="11" t="str">
        <f t="shared" si="13"/>
        <v>平</v>
      </c>
    </row>
    <row r="461" spans="4:17" x14ac:dyDescent="0.15">
      <c r="D461" s="7" t="s">
        <v>6</v>
      </c>
      <c r="E461" s="7" t="s">
        <v>866</v>
      </c>
      <c r="F461" s="7" t="s">
        <v>866</v>
      </c>
      <c r="G461" s="7" t="s">
        <v>867</v>
      </c>
      <c r="H461" s="7" t="s">
        <v>44</v>
      </c>
      <c r="I461" s="7" t="s">
        <v>10</v>
      </c>
      <c r="J461" s="7" t="s">
        <v>10</v>
      </c>
      <c r="K461" s="7" t="s">
        <v>33</v>
      </c>
      <c r="L461" s="7" t="s">
        <v>46</v>
      </c>
      <c r="M461" s="7" t="s">
        <v>33</v>
      </c>
      <c r="N461" s="7" t="s">
        <v>33</v>
      </c>
      <c r="O461" s="7" t="s">
        <v>33</v>
      </c>
      <c r="P461" s="11" t="str">
        <f t="shared" ref="P461:P524" si="14">IF(I461=M461,"平",IF(I461&gt;M461,"胜","负"))</f>
        <v>胜</v>
      </c>
      <c r="Q461" s="11" t="str">
        <f t="shared" ref="Q461:Q524" si="15">IF(J461=N461,"平",IF(J461&gt;N461,"胜","负"))</f>
        <v>胜</v>
      </c>
    </row>
    <row r="462" spans="4:17" x14ac:dyDescent="0.15">
      <c r="D462" s="7" t="s">
        <v>6</v>
      </c>
      <c r="E462" s="7" t="s">
        <v>868</v>
      </c>
      <c r="F462" s="7" t="s">
        <v>868</v>
      </c>
      <c r="G462" s="7" t="s">
        <v>863</v>
      </c>
      <c r="H462" s="7" t="s">
        <v>38</v>
      </c>
      <c r="I462" s="7" t="s">
        <v>39</v>
      </c>
      <c r="J462" s="7" t="s">
        <v>50</v>
      </c>
      <c r="K462" s="7" t="s">
        <v>33</v>
      </c>
      <c r="L462" s="7" t="s">
        <v>40</v>
      </c>
      <c r="M462" s="7" t="s">
        <v>33</v>
      </c>
      <c r="N462" s="7" t="s">
        <v>9</v>
      </c>
      <c r="O462" s="7" t="s">
        <v>33</v>
      </c>
      <c r="P462" s="11" t="str">
        <f t="shared" si="14"/>
        <v>胜</v>
      </c>
      <c r="Q462" s="11" t="str">
        <f t="shared" si="15"/>
        <v>胜</v>
      </c>
    </row>
    <row r="463" spans="4:17" x14ac:dyDescent="0.15">
      <c r="D463" s="7" t="s">
        <v>6</v>
      </c>
      <c r="E463" s="7" t="s">
        <v>869</v>
      </c>
      <c r="F463" s="7" t="s">
        <v>869</v>
      </c>
      <c r="G463" s="7" t="s">
        <v>870</v>
      </c>
      <c r="H463" s="7" t="s">
        <v>36</v>
      </c>
      <c r="I463" s="7" t="s">
        <v>33</v>
      </c>
      <c r="J463" s="7" t="s">
        <v>33</v>
      </c>
      <c r="K463" s="7" t="s">
        <v>33</v>
      </c>
      <c r="L463" s="7" t="s">
        <v>37</v>
      </c>
      <c r="M463" s="7" t="s">
        <v>33</v>
      </c>
      <c r="N463" s="7" t="s">
        <v>9</v>
      </c>
      <c r="O463" s="7" t="s">
        <v>33</v>
      </c>
      <c r="P463" s="11" t="str">
        <f t="shared" si="14"/>
        <v>平</v>
      </c>
      <c r="Q463" s="11" t="str">
        <f t="shared" si="15"/>
        <v>负</v>
      </c>
    </row>
    <row r="464" spans="4:17" x14ac:dyDescent="0.15">
      <c r="D464" s="7" t="s">
        <v>6</v>
      </c>
      <c r="E464" s="7" t="s">
        <v>871</v>
      </c>
      <c r="F464" s="7" t="s">
        <v>871</v>
      </c>
      <c r="G464" s="7" t="s">
        <v>870</v>
      </c>
      <c r="H464" s="7" t="s">
        <v>35</v>
      </c>
      <c r="I464" s="7" t="s">
        <v>33</v>
      </c>
      <c r="J464" s="7" t="s">
        <v>33</v>
      </c>
      <c r="K464" s="7" t="s">
        <v>33</v>
      </c>
      <c r="L464" s="7" t="s">
        <v>53</v>
      </c>
      <c r="M464" s="7" t="s">
        <v>33</v>
      </c>
      <c r="N464" s="7" t="s">
        <v>33</v>
      </c>
      <c r="O464" s="7" t="s">
        <v>33</v>
      </c>
      <c r="P464" s="11" t="str">
        <f t="shared" si="14"/>
        <v>平</v>
      </c>
      <c r="Q464" s="11" t="str">
        <f t="shared" si="15"/>
        <v>平</v>
      </c>
    </row>
    <row r="465" spans="4:17" x14ac:dyDescent="0.15">
      <c r="D465" s="7" t="s">
        <v>6</v>
      </c>
      <c r="E465" s="7" t="s">
        <v>872</v>
      </c>
      <c r="F465" s="7" t="s">
        <v>872</v>
      </c>
      <c r="G465" s="7" t="s">
        <v>870</v>
      </c>
      <c r="H465" s="7" t="s">
        <v>42</v>
      </c>
      <c r="I465" s="7" t="s">
        <v>33</v>
      </c>
      <c r="J465" s="7" t="s">
        <v>10</v>
      </c>
      <c r="K465" s="7" t="s">
        <v>33</v>
      </c>
      <c r="L465" s="7" t="s">
        <v>45</v>
      </c>
      <c r="M465" s="7" t="s">
        <v>33</v>
      </c>
      <c r="N465" s="7" t="s">
        <v>33</v>
      </c>
      <c r="O465" s="7" t="s">
        <v>33</v>
      </c>
      <c r="P465" s="11" t="str">
        <f t="shared" si="14"/>
        <v>平</v>
      </c>
      <c r="Q465" s="11" t="str">
        <f t="shared" si="15"/>
        <v>胜</v>
      </c>
    </row>
    <row r="466" spans="4:17" x14ac:dyDescent="0.15">
      <c r="D466" s="7" t="s">
        <v>6</v>
      </c>
      <c r="E466" s="7" t="s">
        <v>873</v>
      </c>
      <c r="F466" s="7" t="s">
        <v>873</v>
      </c>
      <c r="G466" s="7" t="s">
        <v>870</v>
      </c>
      <c r="H466" s="7" t="s">
        <v>41</v>
      </c>
      <c r="I466" s="7" t="s">
        <v>10</v>
      </c>
      <c r="J466" s="7" t="s">
        <v>10</v>
      </c>
      <c r="K466" s="7" t="s">
        <v>33</v>
      </c>
      <c r="L466" s="7" t="s">
        <v>43</v>
      </c>
      <c r="M466" s="7" t="s">
        <v>33</v>
      </c>
      <c r="N466" s="7" t="s">
        <v>33</v>
      </c>
      <c r="O466" s="7" t="s">
        <v>33</v>
      </c>
      <c r="P466" s="11" t="str">
        <f t="shared" si="14"/>
        <v>胜</v>
      </c>
      <c r="Q466" s="11" t="str">
        <f t="shared" si="15"/>
        <v>胜</v>
      </c>
    </row>
    <row r="467" spans="4:17" x14ac:dyDescent="0.15">
      <c r="D467" s="7" t="s">
        <v>6</v>
      </c>
      <c r="E467" s="7" t="s">
        <v>874</v>
      </c>
      <c r="F467" s="7" t="s">
        <v>874</v>
      </c>
      <c r="G467" s="7" t="s">
        <v>875</v>
      </c>
      <c r="H467" s="7" t="s">
        <v>43</v>
      </c>
      <c r="I467" s="7" t="s">
        <v>33</v>
      </c>
      <c r="J467" s="7" t="s">
        <v>10</v>
      </c>
      <c r="K467" s="7" t="s">
        <v>33</v>
      </c>
      <c r="L467" s="7" t="s">
        <v>36</v>
      </c>
      <c r="M467" s="7" t="s">
        <v>33</v>
      </c>
      <c r="N467" s="7" t="s">
        <v>10</v>
      </c>
      <c r="O467" s="7" t="s">
        <v>33</v>
      </c>
      <c r="P467" s="11" t="str">
        <f t="shared" si="14"/>
        <v>平</v>
      </c>
      <c r="Q467" s="11" t="str">
        <f t="shared" si="15"/>
        <v>平</v>
      </c>
    </row>
    <row r="468" spans="4:17" x14ac:dyDescent="0.15">
      <c r="D468" s="7" t="s">
        <v>6</v>
      </c>
      <c r="E468" s="7" t="s">
        <v>876</v>
      </c>
      <c r="F468" s="7" t="s">
        <v>876</v>
      </c>
      <c r="G468" s="7" t="s">
        <v>875</v>
      </c>
      <c r="H468" s="7" t="s">
        <v>53</v>
      </c>
      <c r="I468" s="7" t="s">
        <v>33</v>
      </c>
      <c r="J468" s="7" t="s">
        <v>10</v>
      </c>
      <c r="K468" s="7" t="s">
        <v>33</v>
      </c>
      <c r="L468" s="7" t="s">
        <v>32</v>
      </c>
      <c r="M468" s="7" t="s">
        <v>33</v>
      </c>
      <c r="N468" s="7" t="s">
        <v>9</v>
      </c>
      <c r="O468" s="7" t="s">
        <v>33</v>
      </c>
      <c r="P468" s="11" t="str">
        <f t="shared" si="14"/>
        <v>平</v>
      </c>
      <c r="Q468" s="11" t="str">
        <f t="shared" si="15"/>
        <v>负</v>
      </c>
    </row>
    <row r="469" spans="4:17" x14ac:dyDescent="0.15">
      <c r="D469" s="7" t="s">
        <v>6</v>
      </c>
      <c r="E469" s="7" t="s">
        <v>877</v>
      </c>
      <c r="F469" s="7" t="s">
        <v>877</v>
      </c>
      <c r="G469" s="7" t="s">
        <v>878</v>
      </c>
      <c r="H469" s="7" t="s">
        <v>54</v>
      </c>
      <c r="I469" s="7" t="s">
        <v>33</v>
      </c>
      <c r="J469" s="7" t="s">
        <v>9</v>
      </c>
      <c r="K469" s="7" t="s">
        <v>33</v>
      </c>
      <c r="L469" s="7" t="s">
        <v>38</v>
      </c>
      <c r="M469" s="7" t="s">
        <v>33</v>
      </c>
      <c r="N469" s="7" t="s">
        <v>33</v>
      </c>
      <c r="O469" s="7" t="s">
        <v>33</v>
      </c>
      <c r="P469" s="11" t="str">
        <f t="shared" si="14"/>
        <v>平</v>
      </c>
      <c r="Q469" s="11" t="str">
        <f t="shared" si="15"/>
        <v>胜</v>
      </c>
    </row>
    <row r="470" spans="4:17" x14ac:dyDescent="0.15">
      <c r="D470" s="7" t="s">
        <v>6</v>
      </c>
      <c r="E470" s="7" t="s">
        <v>879</v>
      </c>
      <c r="F470" s="7" t="s">
        <v>879</v>
      </c>
      <c r="G470" s="7" t="s">
        <v>880</v>
      </c>
      <c r="H470" s="7" t="s">
        <v>46</v>
      </c>
      <c r="I470" s="7" t="s">
        <v>33</v>
      </c>
      <c r="J470" s="7" t="s">
        <v>10</v>
      </c>
      <c r="K470" s="7" t="s">
        <v>33</v>
      </c>
      <c r="L470" s="7" t="s">
        <v>42</v>
      </c>
      <c r="M470" s="7" t="s">
        <v>33</v>
      </c>
      <c r="N470" s="7" t="s">
        <v>33</v>
      </c>
      <c r="O470" s="7" t="s">
        <v>33</v>
      </c>
      <c r="P470" s="11" t="str">
        <f t="shared" si="14"/>
        <v>平</v>
      </c>
      <c r="Q470" s="11" t="str">
        <f t="shared" si="15"/>
        <v>胜</v>
      </c>
    </row>
    <row r="471" spans="4:17" x14ac:dyDescent="0.15">
      <c r="D471" s="7" t="s">
        <v>6</v>
      </c>
      <c r="E471" s="7" t="s">
        <v>881</v>
      </c>
      <c r="F471" s="7" t="s">
        <v>881</v>
      </c>
      <c r="G471" s="7" t="s">
        <v>882</v>
      </c>
      <c r="H471" s="7" t="s">
        <v>49</v>
      </c>
      <c r="I471" s="7" t="s">
        <v>33</v>
      </c>
      <c r="J471" s="7" t="s">
        <v>33</v>
      </c>
      <c r="K471" s="7" t="s">
        <v>33</v>
      </c>
      <c r="L471" s="7" t="s">
        <v>48</v>
      </c>
      <c r="M471" s="7" t="s">
        <v>10</v>
      </c>
      <c r="N471" s="7" t="s">
        <v>10</v>
      </c>
      <c r="O471" s="7" t="s">
        <v>33</v>
      </c>
      <c r="P471" s="11" t="str">
        <f t="shared" si="14"/>
        <v>负</v>
      </c>
      <c r="Q471" s="11" t="str">
        <f t="shared" si="15"/>
        <v>负</v>
      </c>
    </row>
    <row r="472" spans="4:17" x14ac:dyDescent="0.15">
      <c r="D472" s="7" t="s">
        <v>6</v>
      </c>
      <c r="E472" s="7" t="s">
        <v>883</v>
      </c>
      <c r="F472" s="7" t="s">
        <v>883</v>
      </c>
      <c r="G472" s="7" t="s">
        <v>882</v>
      </c>
      <c r="H472" s="7" t="s">
        <v>37</v>
      </c>
      <c r="I472" s="7" t="s">
        <v>10</v>
      </c>
      <c r="J472" s="7" t="s">
        <v>9</v>
      </c>
      <c r="K472" s="7" t="s">
        <v>33</v>
      </c>
      <c r="L472" s="7" t="s">
        <v>44</v>
      </c>
      <c r="M472" s="7" t="s">
        <v>33</v>
      </c>
      <c r="N472" s="7" t="s">
        <v>10</v>
      </c>
      <c r="O472" s="7" t="s">
        <v>33</v>
      </c>
      <c r="P472" s="11" t="str">
        <f t="shared" si="14"/>
        <v>胜</v>
      </c>
      <c r="Q472" s="11" t="str">
        <f t="shared" si="15"/>
        <v>胜</v>
      </c>
    </row>
    <row r="473" spans="4:17" x14ac:dyDescent="0.15">
      <c r="D473" s="7" t="s">
        <v>6</v>
      </c>
      <c r="E473" s="7" t="s">
        <v>884</v>
      </c>
      <c r="F473" s="7" t="s">
        <v>884</v>
      </c>
      <c r="G473" s="7" t="s">
        <v>878</v>
      </c>
      <c r="H473" s="7" t="s">
        <v>45</v>
      </c>
      <c r="I473" s="7" t="s">
        <v>33</v>
      </c>
      <c r="J473" s="7" t="s">
        <v>33</v>
      </c>
      <c r="K473" s="7" t="s">
        <v>33</v>
      </c>
      <c r="L473" s="7" t="s">
        <v>35</v>
      </c>
      <c r="M473" s="7" t="s">
        <v>33</v>
      </c>
      <c r="N473" s="7" t="s">
        <v>33</v>
      </c>
      <c r="O473" s="7" t="s">
        <v>33</v>
      </c>
      <c r="P473" s="11" t="str">
        <f t="shared" si="14"/>
        <v>平</v>
      </c>
      <c r="Q473" s="11" t="str">
        <f t="shared" si="15"/>
        <v>平</v>
      </c>
    </row>
    <row r="474" spans="4:17" x14ac:dyDescent="0.15">
      <c r="D474" s="7" t="s">
        <v>6</v>
      </c>
      <c r="E474" s="7" t="s">
        <v>885</v>
      </c>
      <c r="F474" s="7" t="s">
        <v>885</v>
      </c>
      <c r="G474" s="7" t="s">
        <v>886</v>
      </c>
      <c r="H474" s="7" t="s">
        <v>40</v>
      </c>
      <c r="I474" s="7" t="s">
        <v>10</v>
      </c>
      <c r="J474" s="7" t="s">
        <v>50</v>
      </c>
      <c r="K474" s="7" t="s">
        <v>33</v>
      </c>
      <c r="L474" s="7" t="s">
        <v>41</v>
      </c>
      <c r="M474" s="7" t="s">
        <v>33</v>
      </c>
      <c r="N474" s="7" t="s">
        <v>33</v>
      </c>
      <c r="O474" s="7" t="s">
        <v>33</v>
      </c>
      <c r="P474" s="11" t="str">
        <f t="shared" si="14"/>
        <v>胜</v>
      </c>
      <c r="Q474" s="11" t="str">
        <f t="shared" si="15"/>
        <v>胜</v>
      </c>
    </row>
    <row r="475" spans="4:17" x14ac:dyDescent="0.15">
      <c r="D475" s="7" t="s">
        <v>6</v>
      </c>
      <c r="E475" s="7" t="s">
        <v>887</v>
      </c>
      <c r="F475" s="7" t="s">
        <v>887</v>
      </c>
      <c r="G475" s="7" t="s">
        <v>888</v>
      </c>
      <c r="H475" s="7" t="s">
        <v>41</v>
      </c>
      <c r="I475" s="7" t="s">
        <v>33</v>
      </c>
      <c r="J475" s="7" t="s">
        <v>33</v>
      </c>
      <c r="K475" s="7" t="s">
        <v>33</v>
      </c>
      <c r="L475" s="7" t="s">
        <v>54</v>
      </c>
      <c r="M475" s="7" t="s">
        <v>33</v>
      </c>
      <c r="N475" s="7" t="s">
        <v>33</v>
      </c>
      <c r="O475" s="7" t="s">
        <v>33</v>
      </c>
      <c r="P475" s="11" t="str">
        <f t="shared" si="14"/>
        <v>平</v>
      </c>
      <c r="Q475" s="11" t="str">
        <f t="shared" si="15"/>
        <v>平</v>
      </c>
    </row>
    <row r="476" spans="4:17" x14ac:dyDescent="0.15">
      <c r="D476" s="7" t="s">
        <v>6</v>
      </c>
      <c r="E476" s="7" t="s">
        <v>889</v>
      </c>
      <c r="F476" s="7" t="s">
        <v>889</v>
      </c>
      <c r="G476" s="7" t="s">
        <v>890</v>
      </c>
      <c r="H476" s="7" t="s">
        <v>48</v>
      </c>
      <c r="I476" s="7" t="s">
        <v>10</v>
      </c>
      <c r="J476" s="7" t="s">
        <v>10</v>
      </c>
      <c r="K476" s="7" t="s">
        <v>33</v>
      </c>
      <c r="L476" s="7" t="s">
        <v>37</v>
      </c>
      <c r="M476" s="7" t="s">
        <v>10</v>
      </c>
      <c r="N476" s="7" t="s">
        <v>10</v>
      </c>
      <c r="O476" s="7" t="s">
        <v>33</v>
      </c>
      <c r="P476" s="11" t="str">
        <f t="shared" si="14"/>
        <v>平</v>
      </c>
      <c r="Q476" s="11" t="str">
        <f t="shared" si="15"/>
        <v>平</v>
      </c>
    </row>
    <row r="477" spans="4:17" x14ac:dyDescent="0.15">
      <c r="D477" s="7" t="s">
        <v>6</v>
      </c>
      <c r="E477" s="7" t="s">
        <v>891</v>
      </c>
      <c r="F477" s="7" t="s">
        <v>891</v>
      </c>
      <c r="G477" s="7" t="s">
        <v>892</v>
      </c>
      <c r="H477" s="7" t="s">
        <v>40</v>
      </c>
      <c r="I477" s="7" t="s">
        <v>33</v>
      </c>
      <c r="J477" s="7" t="s">
        <v>39</v>
      </c>
      <c r="K477" s="7" t="s">
        <v>33</v>
      </c>
      <c r="L477" s="7" t="s">
        <v>49</v>
      </c>
      <c r="M477" s="7" t="s">
        <v>9</v>
      </c>
      <c r="N477" s="7" t="s">
        <v>9</v>
      </c>
      <c r="O477" s="7" t="s">
        <v>33</v>
      </c>
      <c r="P477" s="11" t="str">
        <f t="shared" si="14"/>
        <v>负</v>
      </c>
      <c r="Q477" s="11" t="str">
        <f t="shared" si="15"/>
        <v>胜</v>
      </c>
    </row>
    <row r="478" spans="4:17" x14ac:dyDescent="0.15">
      <c r="D478" s="7" t="s">
        <v>6</v>
      </c>
      <c r="E478" s="7" t="s">
        <v>893</v>
      </c>
      <c r="F478" s="7" t="s">
        <v>893</v>
      </c>
      <c r="G478" s="7" t="s">
        <v>894</v>
      </c>
      <c r="H478" s="7" t="s">
        <v>44</v>
      </c>
      <c r="I478" s="7" t="s">
        <v>33</v>
      </c>
      <c r="J478" s="7" t="s">
        <v>10</v>
      </c>
      <c r="K478" s="7" t="s">
        <v>33</v>
      </c>
      <c r="L478" s="7" t="s">
        <v>45</v>
      </c>
      <c r="M478" s="7" t="s">
        <v>10</v>
      </c>
      <c r="N478" s="7" t="s">
        <v>9</v>
      </c>
      <c r="O478" s="7" t="s">
        <v>33</v>
      </c>
      <c r="P478" s="11" t="str">
        <f t="shared" si="14"/>
        <v>负</v>
      </c>
      <c r="Q478" s="11" t="str">
        <f t="shared" si="15"/>
        <v>负</v>
      </c>
    </row>
    <row r="479" spans="4:17" x14ac:dyDescent="0.15">
      <c r="D479" s="7" t="s">
        <v>6</v>
      </c>
      <c r="E479" s="7" t="s">
        <v>895</v>
      </c>
      <c r="F479" s="7" t="s">
        <v>895</v>
      </c>
      <c r="G479" s="7" t="s">
        <v>896</v>
      </c>
      <c r="H479" s="7" t="s">
        <v>38</v>
      </c>
      <c r="I479" s="7" t="s">
        <v>33</v>
      </c>
      <c r="J479" s="7" t="s">
        <v>9</v>
      </c>
      <c r="K479" s="7" t="s">
        <v>33</v>
      </c>
      <c r="L479" s="7" t="s">
        <v>46</v>
      </c>
      <c r="M479" s="7" t="s">
        <v>33</v>
      </c>
      <c r="N479" s="7" t="s">
        <v>33</v>
      </c>
      <c r="O479" s="7" t="s">
        <v>33</v>
      </c>
      <c r="P479" s="11" t="str">
        <f t="shared" si="14"/>
        <v>平</v>
      </c>
      <c r="Q479" s="11" t="str">
        <f t="shared" si="15"/>
        <v>胜</v>
      </c>
    </row>
    <row r="480" spans="4:17" x14ac:dyDescent="0.15">
      <c r="D480" s="7" t="s">
        <v>6</v>
      </c>
      <c r="E480" s="7" t="s">
        <v>897</v>
      </c>
      <c r="F480" s="7" t="s">
        <v>897</v>
      </c>
      <c r="G480" s="7" t="s">
        <v>898</v>
      </c>
      <c r="H480" s="7" t="s">
        <v>32</v>
      </c>
      <c r="I480" s="11" t="s">
        <v>33</v>
      </c>
      <c r="J480" s="7" t="s">
        <v>33</v>
      </c>
      <c r="K480" s="7" t="s">
        <v>33</v>
      </c>
      <c r="L480" s="7" t="s">
        <v>43</v>
      </c>
      <c r="M480" s="7" t="s">
        <v>10</v>
      </c>
      <c r="N480" s="7" t="s">
        <v>10</v>
      </c>
      <c r="O480" s="7" t="s">
        <v>33</v>
      </c>
      <c r="P480" s="11" t="str">
        <f t="shared" si="14"/>
        <v>负</v>
      </c>
      <c r="Q480" s="11" t="str">
        <f t="shared" si="15"/>
        <v>负</v>
      </c>
    </row>
    <row r="481" spans="4:17" x14ac:dyDescent="0.15">
      <c r="D481" s="7" t="s">
        <v>6</v>
      </c>
      <c r="E481" s="7" t="s">
        <v>899</v>
      </c>
      <c r="F481" s="7" t="s">
        <v>899</v>
      </c>
      <c r="G481" s="7" t="s">
        <v>892</v>
      </c>
      <c r="H481" s="7" t="s">
        <v>35</v>
      </c>
      <c r="I481" s="7" t="s">
        <v>10</v>
      </c>
      <c r="J481" s="7" t="s">
        <v>9</v>
      </c>
      <c r="K481" s="7" t="s">
        <v>33</v>
      </c>
      <c r="L481" s="7" t="s">
        <v>36</v>
      </c>
      <c r="M481" s="7" t="s">
        <v>33</v>
      </c>
      <c r="N481" s="7" t="s">
        <v>9</v>
      </c>
      <c r="O481" s="7" t="s">
        <v>33</v>
      </c>
      <c r="P481" s="11" t="str">
        <f t="shared" si="14"/>
        <v>胜</v>
      </c>
      <c r="Q481" s="11" t="str">
        <f t="shared" si="15"/>
        <v>平</v>
      </c>
    </row>
    <row r="482" spans="4:17" x14ac:dyDescent="0.15">
      <c r="D482" s="7" t="s">
        <v>6</v>
      </c>
      <c r="E482" s="7" t="s">
        <v>900</v>
      </c>
      <c r="F482" s="7" t="s">
        <v>900</v>
      </c>
      <c r="G482" s="7" t="s">
        <v>901</v>
      </c>
      <c r="H482" s="7" t="s">
        <v>42</v>
      </c>
      <c r="I482" s="7" t="s">
        <v>33</v>
      </c>
      <c r="J482" s="7" t="s">
        <v>33</v>
      </c>
      <c r="K482" s="7" t="s">
        <v>33</v>
      </c>
      <c r="L482" s="7" t="s">
        <v>53</v>
      </c>
      <c r="M482" s="7" t="s">
        <v>9</v>
      </c>
      <c r="N482" s="7" t="s">
        <v>39</v>
      </c>
      <c r="O482" s="7" t="s">
        <v>33</v>
      </c>
      <c r="P482" s="11" t="str">
        <f t="shared" si="14"/>
        <v>负</v>
      </c>
      <c r="Q482" s="11" t="str">
        <f t="shared" si="15"/>
        <v>负</v>
      </c>
    </row>
    <row r="483" spans="4:17" x14ac:dyDescent="0.15">
      <c r="D483" s="7" t="s">
        <v>6</v>
      </c>
      <c r="E483" s="7" t="s">
        <v>902</v>
      </c>
      <c r="F483" s="7" t="s">
        <v>902</v>
      </c>
      <c r="G483" s="7" t="s">
        <v>903</v>
      </c>
      <c r="H483" s="7" t="s">
        <v>54</v>
      </c>
      <c r="I483" s="7" t="s">
        <v>10</v>
      </c>
      <c r="J483" s="7" t="s">
        <v>9</v>
      </c>
      <c r="K483" s="7" t="s">
        <v>33</v>
      </c>
      <c r="L483" s="7" t="s">
        <v>40</v>
      </c>
      <c r="M483" s="7" t="s">
        <v>10</v>
      </c>
      <c r="N483" s="7" t="s">
        <v>10</v>
      </c>
      <c r="O483" s="7" t="s">
        <v>33</v>
      </c>
      <c r="P483" s="11" t="str">
        <f t="shared" si="14"/>
        <v>平</v>
      </c>
      <c r="Q483" s="11" t="str">
        <f t="shared" si="15"/>
        <v>胜</v>
      </c>
    </row>
    <row r="484" spans="4:17" x14ac:dyDescent="0.15">
      <c r="D484" s="7" t="s">
        <v>6</v>
      </c>
      <c r="E484" s="7" t="s">
        <v>904</v>
      </c>
      <c r="F484" s="7" t="s">
        <v>904</v>
      </c>
      <c r="G484" s="7" t="s">
        <v>905</v>
      </c>
      <c r="H484" s="7" t="s">
        <v>35</v>
      </c>
      <c r="I484" s="7" t="s">
        <v>33</v>
      </c>
      <c r="J484" s="7" t="s">
        <v>9</v>
      </c>
      <c r="K484" s="7" t="s">
        <v>33</v>
      </c>
      <c r="L484" s="7" t="s">
        <v>44</v>
      </c>
      <c r="M484" s="7" t="s">
        <v>9</v>
      </c>
      <c r="N484" s="7" t="s">
        <v>9</v>
      </c>
      <c r="O484" s="7" t="s">
        <v>33</v>
      </c>
      <c r="P484" s="11" t="str">
        <f t="shared" si="14"/>
        <v>负</v>
      </c>
      <c r="Q484" s="11" t="str">
        <f t="shared" si="15"/>
        <v>平</v>
      </c>
    </row>
    <row r="485" spans="4:17" x14ac:dyDescent="0.15">
      <c r="D485" s="7" t="s">
        <v>6</v>
      </c>
      <c r="E485" s="7" t="s">
        <v>906</v>
      </c>
      <c r="F485" s="7" t="s">
        <v>906</v>
      </c>
      <c r="G485" s="7" t="s">
        <v>907</v>
      </c>
      <c r="H485" s="7" t="s">
        <v>36</v>
      </c>
      <c r="I485" s="7" t="s">
        <v>33</v>
      </c>
      <c r="J485" s="7" t="s">
        <v>33</v>
      </c>
      <c r="K485" s="7" t="s">
        <v>33</v>
      </c>
      <c r="L485" s="7" t="s">
        <v>42</v>
      </c>
      <c r="M485" s="7" t="s">
        <v>9</v>
      </c>
      <c r="N485" s="7" t="s">
        <v>47</v>
      </c>
      <c r="O485" s="7" t="s">
        <v>33</v>
      </c>
      <c r="P485" s="11" t="str">
        <f t="shared" si="14"/>
        <v>负</v>
      </c>
      <c r="Q485" s="11" t="str">
        <f t="shared" si="15"/>
        <v>负</v>
      </c>
    </row>
    <row r="486" spans="4:17" x14ac:dyDescent="0.15">
      <c r="D486" s="7" t="s">
        <v>6</v>
      </c>
      <c r="E486" s="7" t="s">
        <v>908</v>
      </c>
      <c r="F486" s="7" t="s">
        <v>908</v>
      </c>
      <c r="G486" s="7" t="s">
        <v>909</v>
      </c>
      <c r="H486" s="7" t="s">
        <v>45</v>
      </c>
      <c r="I486" s="7" t="s">
        <v>9</v>
      </c>
      <c r="J486" s="7" t="s">
        <v>9</v>
      </c>
      <c r="K486" s="7" t="s">
        <v>33</v>
      </c>
      <c r="L486" s="7" t="s">
        <v>32</v>
      </c>
      <c r="M486" s="7" t="s">
        <v>33</v>
      </c>
      <c r="N486" s="7" t="s">
        <v>33</v>
      </c>
      <c r="O486" s="7" t="s">
        <v>33</v>
      </c>
      <c r="P486" s="11" t="str">
        <f t="shared" si="14"/>
        <v>胜</v>
      </c>
      <c r="Q486" s="11" t="str">
        <f t="shared" si="15"/>
        <v>胜</v>
      </c>
    </row>
    <row r="487" spans="4:17" x14ac:dyDescent="0.15">
      <c r="D487" s="7" t="s">
        <v>6</v>
      </c>
      <c r="E487" s="7" t="s">
        <v>910</v>
      </c>
      <c r="F487" s="7" t="s">
        <v>910</v>
      </c>
      <c r="G487" s="7" t="s">
        <v>907</v>
      </c>
      <c r="H487" s="7" t="s">
        <v>46</v>
      </c>
      <c r="I487" s="7" t="s">
        <v>33</v>
      </c>
      <c r="J487" s="7" t="s">
        <v>10</v>
      </c>
      <c r="K487" s="7" t="s">
        <v>33</v>
      </c>
      <c r="L487" s="7" t="s">
        <v>48</v>
      </c>
      <c r="M487" s="7" t="s">
        <v>33</v>
      </c>
      <c r="N487" s="7" t="s">
        <v>33</v>
      </c>
      <c r="O487" s="7" t="s">
        <v>33</v>
      </c>
      <c r="P487" s="11" t="str">
        <f t="shared" si="14"/>
        <v>平</v>
      </c>
      <c r="Q487" s="11" t="str">
        <f t="shared" si="15"/>
        <v>胜</v>
      </c>
    </row>
    <row r="488" spans="4:17" x14ac:dyDescent="0.15">
      <c r="D488" s="7" t="s">
        <v>6</v>
      </c>
      <c r="E488" s="7" t="s">
        <v>911</v>
      </c>
      <c r="F488" s="7" t="s">
        <v>911</v>
      </c>
      <c r="G488" s="7" t="s">
        <v>912</v>
      </c>
      <c r="H488" s="7" t="s">
        <v>43</v>
      </c>
      <c r="I488" s="7" t="s">
        <v>10</v>
      </c>
      <c r="J488" s="7" t="s">
        <v>9</v>
      </c>
      <c r="K488" s="7" t="s">
        <v>33</v>
      </c>
      <c r="L488" s="7" t="s">
        <v>49</v>
      </c>
      <c r="M488" s="7" t="s">
        <v>33</v>
      </c>
      <c r="N488" s="7" t="s">
        <v>9</v>
      </c>
      <c r="O488" s="7" t="s">
        <v>33</v>
      </c>
      <c r="P488" s="11" t="str">
        <f t="shared" si="14"/>
        <v>胜</v>
      </c>
      <c r="Q488" s="11" t="str">
        <f t="shared" si="15"/>
        <v>平</v>
      </c>
    </row>
    <row r="489" spans="4:17" x14ac:dyDescent="0.15">
      <c r="D489" s="7" t="s">
        <v>6</v>
      </c>
      <c r="E489" s="7" t="s">
        <v>913</v>
      </c>
      <c r="F489" s="7" t="s">
        <v>913</v>
      </c>
      <c r="G489" s="7" t="s">
        <v>914</v>
      </c>
      <c r="H489" s="7" t="s">
        <v>53</v>
      </c>
      <c r="I489" s="7" t="s">
        <v>10</v>
      </c>
      <c r="J489" s="7" t="s">
        <v>10</v>
      </c>
      <c r="K489" s="7" t="s">
        <v>33</v>
      </c>
      <c r="L489" s="7" t="s">
        <v>41</v>
      </c>
      <c r="M489" s="7" t="s">
        <v>9</v>
      </c>
      <c r="N489" s="7" t="s">
        <v>9</v>
      </c>
      <c r="O489" s="7" t="s">
        <v>33</v>
      </c>
      <c r="P489" s="11" t="str">
        <f t="shared" si="14"/>
        <v>负</v>
      </c>
      <c r="Q489" s="11" t="str">
        <f t="shared" si="15"/>
        <v>负</v>
      </c>
    </row>
    <row r="490" spans="4:17" x14ac:dyDescent="0.15">
      <c r="D490" s="7" t="s">
        <v>6</v>
      </c>
      <c r="E490" s="7" t="s">
        <v>915</v>
      </c>
      <c r="F490" s="7" t="s">
        <v>915</v>
      </c>
      <c r="G490" s="7" t="s">
        <v>916</v>
      </c>
      <c r="H490" s="7" t="s">
        <v>37</v>
      </c>
      <c r="I490" s="7" t="s">
        <v>39</v>
      </c>
      <c r="J490" s="7" t="s">
        <v>39</v>
      </c>
      <c r="K490" s="7" t="s">
        <v>33</v>
      </c>
      <c r="L490" s="7" t="s">
        <v>38</v>
      </c>
      <c r="M490" s="7" t="s">
        <v>10</v>
      </c>
      <c r="N490" s="7" t="s">
        <v>10</v>
      </c>
      <c r="O490" s="7" t="s">
        <v>33</v>
      </c>
      <c r="P490" s="11" t="str">
        <f t="shared" si="14"/>
        <v>胜</v>
      </c>
      <c r="Q490" s="11" t="str">
        <f t="shared" si="15"/>
        <v>胜</v>
      </c>
    </row>
    <row r="491" spans="4:17" x14ac:dyDescent="0.15">
      <c r="D491" s="7" t="s">
        <v>6</v>
      </c>
      <c r="E491" s="7" t="s">
        <v>917</v>
      </c>
      <c r="F491" s="7" t="s">
        <v>917</v>
      </c>
      <c r="G491" s="7" t="s">
        <v>918</v>
      </c>
      <c r="H491" s="7" t="s">
        <v>44</v>
      </c>
      <c r="I491" s="7" t="s">
        <v>10</v>
      </c>
      <c r="J491" s="7" t="s">
        <v>9</v>
      </c>
      <c r="K491" s="7" t="s">
        <v>33</v>
      </c>
      <c r="L491" s="7" t="s">
        <v>53</v>
      </c>
      <c r="M491" s="7" t="s">
        <v>9</v>
      </c>
      <c r="N491" s="7" t="s">
        <v>50</v>
      </c>
      <c r="O491" s="7" t="s">
        <v>33</v>
      </c>
      <c r="P491" s="11" t="str">
        <f t="shared" si="14"/>
        <v>负</v>
      </c>
      <c r="Q491" s="11" t="str">
        <f t="shared" si="15"/>
        <v>负</v>
      </c>
    </row>
    <row r="492" spans="4:17" x14ac:dyDescent="0.15">
      <c r="D492" s="7" t="s">
        <v>6</v>
      </c>
      <c r="E492" s="7" t="s">
        <v>919</v>
      </c>
      <c r="F492" s="7" t="s">
        <v>919</v>
      </c>
      <c r="G492" s="7" t="s">
        <v>920</v>
      </c>
      <c r="H492" s="7" t="s">
        <v>48</v>
      </c>
      <c r="I492" s="7" t="s">
        <v>33</v>
      </c>
      <c r="J492" s="7" t="s">
        <v>9</v>
      </c>
      <c r="K492" s="7" t="s">
        <v>33</v>
      </c>
      <c r="L492" s="7" t="s">
        <v>36</v>
      </c>
      <c r="M492" s="7" t="s">
        <v>10</v>
      </c>
      <c r="N492" s="7" t="s">
        <v>10</v>
      </c>
      <c r="O492" s="7" t="s">
        <v>33</v>
      </c>
      <c r="P492" s="11" t="str">
        <f t="shared" si="14"/>
        <v>负</v>
      </c>
      <c r="Q492" s="11" t="str">
        <f t="shared" si="15"/>
        <v>胜</v>
      </c>
    </row>
    <row r="493" spans="4:17" x14ac:dyDescent="0.15">
      <c r="D493" s="7" t="s">
        <v>6</v>
      </c>
      <c r="E493" s="7" t="s">
        <v>921</v>
      </c>
      <c r="F493" s="7" t="s">
        <v>921</v>
      </c>
      <c r="G493" s="7" t="s">
        <v>922</v>
      </c>
      <c r="H493" s="7" t="s">
        <v>32</v>
      </c>
      <c r="I493" s="11" t="s">
        <v>33</v>
      </c>
      <c r="J493" s="7" t="s">
        <v>33</v>
      </c>
      <c r="K493" s="7" t="s">
        <v>33</v>
      </c>
      <c r="L493" s="7" t="s">
        <v>37</v>
      </c>
      <c r="M493" s="7" t="s">
        <v>33</v>
      </c>
      <c r="N493" s="7" t="s">
        <v>33</v>
      </c>
      <c r="O493" s="7" t="s">
        <v>33</v>
      </c>
      <c r="P493" s="11" t="str">
        <f t="shared" si="14"/>
        <v>平</v>
      </c>
      <c r="Q493" s="11" t="str">
        <f t="shared" si="15"/>
        <v>平</v>
      </c>
    </row>
    <row r="494" spans="4:17" x14ac:dyDescent="0.15">
      <c r="D494" s="7" t="s">
        <v>6</v>
      </c>
      <c r="E494" s="7" t="s">
        <v>923</v>
      </c>
      <c r="F494" s="7" t="s">
        <v>923</v>
      </c>
      <c r="G494" s="7" t="s">
        <v>924</v>
      </c>
      <c r="H494" s="7" t="s">
        <v>49</v>
      </c>
      <c r="I494" s="7" t="s">
        <v>33</v>
      </c>
      <c r="J494" s="7" t="s">
        <v>33</v>
      </c>
      <c r="K494" s="7" t="s">
        <v>33</v>
      </c>
      <c r="L494" s="7" t="s">
        <v>54</v>
      </c>
      <c r="M494" s="7" t="s">
        <v>10</v>
      </c>
      <c r="N494" s="7" t="s">
        <v>10</v>
      </c>
      <c r="O494" s="7" t="s">
        <v>33</v>
      </c>
      <c r="P494" s="11" t="str">
        <f t="shared" si="14"/>
        <v>负</v>
      </c>
      <c r="Q494" s="11" t="str">
        <f t="shared" si="15"/>
        <v>负</v>
      </c>
    </row>
    <row r="495" spans="4:17" x14ac:dyDescent="0.15">
      <c r="D495" s="7" t="s">
        <v>6</v>
      </c>
      <c r="E495" s="7" t="s">
        <v>925</v>
      </c>
      <c r="F495" s="7" t="s">
        <v>925</v>
      </c>
      <c r="G495" s="7" t="s">
        <v>926</v>
      </c>
      <c r="H495" s="7" t="s">
        <v>42</v>
      </c>
      <c r="I495" s="7" t="s">
        <v>33</v>
      </c>
      <c r="J495" s="7" t="s">
        <v>33</v>
      </c>
      <c r="K495" s="7" t="s">
        <v>33</v>
      </c>
      <c r="L495" s="7" t="s">
        <v>35</v>
      </c>
      <c r="M495" s="7" t="s">
        <v>33</v>
      </c>
      <c r="N495" s="7" t="s">
        <v>10</v>
      </c>
      <c r="O495" s="7" t="s">
        <v>33</v>
      </c>
      <c r="P495" s="11" t="str">
        <f t="shared" si="14"/>
        <v>平</v>
      </c>
      <c r="Q495" s="11" t="str">
        <f t="shared" si="15"/>
        <v>负</v>
      </c>
    </row>
    <row r="496" spans="4:17" x14ac:dyDescent="0.15">
      <c r="D496" s="7" t="s">
        <v>6</v>
      </c>
      <c r="E496" s="7" t="s">
        <v>927</v>
      </c>
      <c r="F496" s="7" t="s">
        <v>927</v>
      </c>
      <c r="G496" s="7" t="s">
        <v>928</v>
      </c>
      <c r="H496" s="7" t="s">
        <v>38</v>
      </c>
      <c r="I496" s="7" t="s">
        <v>33</v>
      </c>
      <c r="J496" s="7" t="s">
        <v>33</v>
      </c>
      <c r="K496" s="7" t="s">
        <v>33</v>
      </c>
      <c r="L496" s="7" t="s">
        <v>45</v>
      </c>
      <c r="M496" s="7" t="s">
        <v>33</v>
      </c>
      <c r="N496" s="7" t="s">
        <v>10</v>
      </c>
      <c r="O496" s="7" t="s">
        <v>33</v>
      </c>
      <c r="P496" s="11" t="str">
        <f t="shared" si="14"/>
        <v>平</v>
      </c>
      <c r="Q496" s="11" t="str">
        <f t="shared" si="15"/>
        <v>负</v>
      </c>
    </row>
    <row r="497" spans="4:17" x14ac:dyDescent="0.15">
      <c r="D497" s="7" t="s">
        <v>6</v>
      </c>
      <c r="E497" s="7" t="s">
        <v>929</v>
      </c>
      <c r="F497" s="7" t="s">
        <v>929</v>
      </c>
      <c r="G497" s="7" t="s">
        <v>926</v>
      </c>
      <c r="H497" s="7" t="s">
        <v>41</v>
      </c>
      <c r="I497" s="7" t="s">
        <v>33</v>
      </c>
      <c r="J497" s="7" t="s">
        <v>10</v>
      </c>
      <c r="K497" s="7" t="s">
        <v>33</v>
      </c>
      <c r="L497" s="7" t="s">
        <v>46</v>
      </c>
      <c r="M497" s="7" t="s">
        <v>33</v>
      </c>
      <c r="N497" s="7" t="s">
        <v>33</v>
      </c>
      <c r="O497" s="7" t="s">
        <v>33</v>
      </c>
      <c r="P497" s="11" t="str">
        <f t="shared" si="14"/>
        <v>平</v>
      </c>
      <c r="Q497" s="11" t="str">
        <f t="shared" si="15"/>
        <v>胜</v>
      </c>
    </row>
    <row r="498" spans="4:17" x14ac:dyDescent="0.15">
      <c r="D498" s="7" t="s">
        <v>6</v>
      </c>
      <c r="E498" s="7" t="s">
        <v>930</v>
      </c>
      <c r="F498" s="7" t="s">
        <v>930</v>
      </c>
      <c r="G498" s="7" t="s">
        <v>931</v>
      </c>
      <c r="H498" s="7" t="s">
        <v>40</v>
      </c>
      <c r="I498" s="7" t="s">
        <v>9</v>
      </c>
      <c r="J498" s="7" t="s">
        <v>50</v>
      </c>
      <c r="K498" s="7" t="s">
        <v>33</v>
      </c>
      <c r="L498" s="7" t="s">
        <v>43</v>
      </c>
      <c r="M498" s="7" t="s">
        <v>9</v>
      </c>
      <c r="N498" s="7" t="s">
        <v>9</v>
      </c>
      <c r="O498" s="7" t="s">
        <v>33</v>
      </c>
      <c r="P498" s="11" t="str">
        <f t="shared" si="14"/>
        <v>平</v>
      </c>
      <c r="Q498" s="11" t="str">
        <f t="shared" si="15"/>
        <v>胜</v>
      </c>
    </row>
    <row r="499" spans="4:17" x14ac:dyDescent="0.15">
      <c r="D499" s="7" t="s">
        <v>6</v>
      </c>
      <c r="E499" s="7" t="s">
        <v>932</v>
      </c>
      <c r="F499" s="7" t="s">
        <v>932</v>
      </c>
      <c r="G499" s="7" t="s">
        <v>933</v>
      </c>
      <c r="H499" s="7" t="s">
        <v>45</v>
      </c>
      <c r="I499" s="7" t="s">
        <v>33</v>
      </c>
      <c r="J499" s="7" t="s">
        <v>33</v>
      </c>
      <c r="K499" s="7" t="s">
        <v>33</v>
      </c>
      <c r="L499" s="7" t="s">
        <v>40</v>
      </c>
      <c r="M499" s="7" t="s">
        <v>33</v>
      </c>
      <c r="N499" s="7" t="s">
        <v>10</v>
      </c>
      <c r="O499" s="7" t="s">
        <v>33</v>
      </c>
      <c r="P499" s="11" t="str">
        <f t="shared" si="14"/>
        <v>平</v>
      </c>
      <c r="Q499" s="11" t="str">
        <f t="shared" si="15"/>
        <v>负</v>
      </c>
    </row>
    <row r="500" spans="4:17" x14ac:dyDescent="0.15">
      <c r="D500" s="7" t="s">
        <v>6</v>
      </c>
      <c r="E500" s="7" t="s">
        <v>934</v>
      </c>
      <c r="F500" s="7" t="s">
        <v>934</v>
      </c>
      <c r="G500" s="7" t="s">
        <v>935</v>
      </c>
      <c r="H500" s="7" t="s">
        <v>46</v>
      </c>
      <c r="I500" s="7" t="s">
        <v>10</v>
      </c>
      <c r="J500" s="7" t="s">
        <v>50</v>
      </c>
      <c r="K500" s="7" t="s">
        <v>33</v>
      </c>
      <c r="L500" s="7" t="s">
        <v>49</v>
      </c>
      <c r="M500" s="7" t="s">
        <v>10</v>
      </c>
      <c r="N500" s="7" t="s">
        <v>10</v>
      </c>
      <c r="O500" s="7" t="s">
        <v>33</v>
      </c>
      <c r="P500" s="11" t="str">
        <f t="shared" si="14"/>
        <v>平</v>
      </c>
      <c r="Q500" s="11" t="str">
        <f t="shared" si="15"/>
        <v>胜</v>
      </c>
    </row>
    <row r="501" spans="4:17" x14ac:dyDescent="0.15">
      <c r="D501" s="7" t="s">
        <v>6</v>
      </c>
      <c r="E501" s="7" t="s">
        <v>936</v>
      </c>
      <c r="F501" s="7" t="s">
        <v>936</v>
      </c>
      <c r="G501" s="7" t="s">
        <v>935</v>
      </c>
      <c r="H501" s="7" t="s">
        <v>37</v>
      </c>
      <c r="I501" s="7" t="s">
        <v>10</v>
      </c>
      <c r="J501" s="7" t="s">
        <v>47</v>
      </c>
      <c r="K501" s="7" t="s">
        <v>33</v>
      </c>
      <c r="L501" s="7" t="s">
        <v>41</v>
      </c>
      <c r="M501" s="7" t="s">
        <v>10</v>
      </c>
      <c r="N501" s="7" t="s">
        <v>9</v>
      </c>
      <c r="O501" s="7" t="s">
        <v>33</v>
      </c>
      <c r="P501" s="11" t="str">
        <f t="shared" si="14"/>
        <v>平</v>
      </c>
      <c r="Q501" s="11" t="str">
        <f t="shared" si="15"/>
        <v>胜</v>
      </c>
    </row>
    <row r="502" spans="4:17" x14ac:dyDescent="0.15">
      <c r="D502" s="7" t="s">
        <v>6</v>
      </c>
      <c r="E502" s="7" t="s">
        <v>937</v>
      </c>
      <c r="F502" s="7" t="s">
        <v>937</v>
      </c>
      <c r="G502" s="7" t="s">
        <v>935</v>
      </c>
      <c r="H502" s="7" t="s">
        <v>53</v>
      </c>
      <c r="I502" s="7" t="s">
        <v>10</v>
      </c>
      <c r="J502" s="7" t="s">
        <v>9</v>
      </c>
      <c r="K502" s="7" t="s">
        <v>33</v>
      </c>
      <c r="L502" s="7" t="s">
        <v>48</v>
      </c>
      <c r="M502" s="7" t="s">
        <v>10</v>
      </c>
      <c r="N502" s="7" t="s">
        <v>9</v>
      </c>
      <c r="O502" s="7" t="s">
        <v>33</v>
      </c>
      <c r="P502" s="11" t="str">
        <f t="shared" si="14"/>
        <v>平</v>
      </c>
      <c r="Q502" s="11" t="str">
        <f t="shared" si="15"/>
        <v>平</v>
      </c>
    </row>
    <row r="503" spans="4:17" x14ac:dyDescent="0.15">
      <c r="D503" s="7" t="s">
        <v>6</v>
      </c>
      <c r="E503" s="7" t="s">
        <v>938</v>
      </c>
      <c r="F503" s="7" t="s">
        <v>938</v>
      </c>
      <c r="G503" s="7" t="s">
        <v>939</v>
      </c>
      <c r="H503" s="7" t="s">
        <v>35</v>
      </c>
      <c r="I503" s="7" t="s">
        <v>39</v>
      </c>
      <c r="J503" s="7" t="s">
        <v>50</v>
      </c>
      <c r="K503" s="7" t="s">
        <v>33</v>
      </c>
      <c r="L503" s="7" t="s">
        <v>38</v>
      </c>
      <c r="M503" s="7" t="s">
        <v>10</v>
      </c>
      <c r="N503" s="7" t="s">
        <v>39</v>
      </c>
      <c r="O503" s="7" t="s">
        <v>33</v>
      </c>
      <c r="P503" s="11" t="str">
        <f t="shared" si="14"/>
        <v>胜</v>
      </c>
      <c r="Q503" s="11" t="str">
        <f t="shared" si="15"/>
        <v>胜</v>
      </c>
    </row>
    <row r="504" spans="4:17" x14ac:dyDescent="0.15">
      <c r="D504" s="7" t="s">
        <v>6</v>
      </c>
      <c r="E504" s="7" t="s">
        <v>940</v>
      </c>
      <c r="F504" s="7" t="s">
        <v>940</v>
      </c>
      <c r="G504" s="7" t="s">
        <v>941</v>
      </c>
      <c r="H504" s="7" t="s">
        <v>54</v>
      </c>
      <c r="I504" s="7" t="s">
        <v>9</v>
      </c>
      <c r="J504" s="7" t="s">
        <v>50</v>
      </c>
      <c r="K504" s="7" t="s">
        <v>33</v>
      </c>
      <c r="L504" s="7" t="s">
        <v>43</v>
      </c>
      <c r="M504" s="7" t="s">
        <v>33</v>
      </c>
      <c r="N504" s="7" t="s">
        <v>10</v>
      </c>
      <c r="O504" s="7" t="s">
        <v>33</v>
      </c>
      <c r="P504" s="11" t="str">
        <f t="shared" si="14"/>
        <v>胜</v>
      </c>
      <c r="Q504" s="11" t="str">
        <f t="shared" si="15"/>
        <v>胜</v>
      </c>
    </row>
    <row r="505" spans="4:17" x14ac:dyDescent="0.15">
      <c r="D505" s="7" t="s">
        <v>6</v>
      </c>
      <c r="E505" s="7" t="s">
        <v>942</v>
      </c>
      <c r="F505" s="7" t="s">
        <v>942</v>
      </c>
      <c r="G505" s="7" t="s">
        <v>943</v>
      </c>
      <c r="H505" s="7" t="s">
        <v>44</v>
      </c>
      <c r="I505" s="7" t="s">
        <v>33</v>
      </c>
      <c r="J505" s="7" t="s">
        <v>10</v>
      </c>
      <c r="K505" s="7" t="s">
        <v>33</v>
      </c>
      <c r="L505" s="7" t="s">
        <v>42</v>
      </c>
      <c r="M505" s="7" t="s">
        <v>10</v>
      </c>
      <c r="N505" s="7" t="s">
        <v>9</v>
      </c>
      <c r="O505" s="7" t="s">
        <v>33</v>
      </c>
      <c r="P505" s="11" t="str">
        <f t="shared" si="14"/>
        <v>负</v>
      </c>
      <c r="Q505" s="11" t="str">
        <f t="shared" si="15"/>
        <v>负</v>
      </c>
    </row>
    <row r="506" spans="4:17" x14ac:dyDescent="0.15">
      <c r="D506" s="7" t="s">
        <v>6</v>
      </c>
      <c r="E506" s="7" t="s">
        <v>944</v>
      </c>
      <c r="F506" s="7" t="s">
        <v>944</v>
      </c>
      <c r="G506" s="7" t="s">
        <v>945</v>
      </c>
      <c r="H506" s="7" t="s">
        <v>36</v>
      </c>
      <c r="I506" s="7" t="s">
        <v>33</v>
      </c>
      <c r="J506" s="7" t="s">
        <v>10</v>
      </c>
      <c r="K506" s="7" t="s">
        <v>33</v>
      </c>
      <c r="L506" s="7" t="s">
        <v>32</v>
      </c>
      <c r="M506" s="7" t="s">
        <v>10</v>
      </c>
      <c r="N506" s="7" t="s">
        <v>50</v>
      </c>
      <c r="O506" s="7" t="s">
        <v>33</v>
      </c>
      <c r="P506" s="11" t="str">
        <f t="shared" si="14"/>
        <v>负</v>
      </c>
      <c r="Q506" s="11" t="str">
        <f t="shared" si="15"/>
        <v>负</v>
      </c>
    </row>
    <row r="507" spans="4:17" x14ac:dyDescent="0.15">
      <c r="D507" s="7" t="s">
        <v>6</v>
      </c>
      <c r="E507" s="7" t="s">
        <v>946</v>
      </c>
      <c r="F507" s="7" t="s">
        <v>946</v>
      </c>
      <c r="G507" s="7" t="s">
        <v>947</v>
      </c>
      <c r="H507" s="7" t="s">
        <v>48</v>
      </c>
      <c r="I507" s="7" t="s">
        <v>10</v>
      </c>
      <c r="J507" s="7" t="s">
        <v>50</v>
      </c>
      <c r="K507" s="7" t="s">
        <v>33</v>
      </c>
      <c r="L507" s="7" t="s">
        <v>45</v>
      </c>
      <c r="M507" s="7" t="s">
        <v>10</v>
      </c>
      <c r="N507" s="7" t="s">
        <v>10</v>
      </c>
      <c r="O507" s="7" t="s">
        <v>33</v>
      </c>
      <c r="P507" s="11" t="str">
        <f t="shared" si="14"/>
        <v>平</v>
      </c>
      <c r="Q507" s="11" t="str">
        <f t="shared" si="15"/>
        <v>胜</v>
      </c>
    </row>
    <row r="508" spans="4:17" x14ac:dyDescent="0.15">
      <c r="D508" s="7" t="s">
        <v>6</v>
      </c>
      <c r="E508" s="7" t="s">
        <v>948</v>
      </c>
      <c r="F508" s="7" t="s">
        <v>948</v>
      </c>
      <c r="G508" s="7" t="s">
        <v>949</v>
      </c>
      <c r="H508" s="7" t="s">
        <v>49</v>
      </c>
      <c r="I508" s="7" t="s">
        <v>10</v>
      </c>
      <c r="J508" s="7" t="s">
        <v>10</v>
      </c>
      <c r="K508" s="7" t="s">
        <v>33</v>
      </c>
      <c r="L508" s="7" t="s">
        <v>35</v>
      </c>
      <c r="M508" s="7" t="s">
        <v>33</v>
      </c>
      <c r="N508" s="7" t="s">
        <v>10</v>
      </c>
      <c r="O508" s="7" t="s">
        <v>33</v>
      </c>
      <c r="P508" s="11" t="str">
        <f t="shared" si="14"/>
        <v>胜</v>
      </c>
      <c r="Q508" s="11" t="str">
        <f t="shared" si="15"/>
        <v>平</v>
      </c>
    </row>
    <row r="509" spans="4:17" x14ac:dyDescent="0.15">
      <c r="D509" s="7" t="s">
        <v>6</v>
      </c>
      <c r="E509" s="7" t="s">
        <v>950</v>
      </c>
      <c r="F509" s="7" t="s">
        <v>950</v>
      </c>
      <c r="G509" s="7" t="s">
        <v>951</v>
      </c>
      <c r="H509" s="7" t="s">
        <v>40</v>
      </c>
      <c r="I509" s="7" t="s">
        <v>33</v>
      </c>
      <c r="J509" s="7" t="s">
        <v>10</v>
      </c>
      <c r="K509" s="7" t="s">
        <v>33</v>
      </c>
      <c r="L509" s="7" t="s">
        <v>53</v>
      </c>
      <c r="M509" s="7" t="s">
        <v>33</v>
      </c>
      <c r="N509" s="7" t="s">
        <v>33</v>
      </c>
      <c r="O509" s="7" t="s">
        <v>33</v>
      </c>
      <c r="P509" s="11" t="str">
        <f t="shared" si="14"/>
        <v>平</v>
      </c>
      <c r="Q509" s="11" t="str">
        <f t="shared" si="15"/>
        <v>胜</v>
      </c>
    </row>
    <row r="510" spans="4:17" x14ac:dyDescent="0.15">
      <c r="D510" s="7" t="s">
        <v>6</v>
      </c>
      <c r="E510" s="7" t="s">
        <v>952</v>
      </c>
      <c r="F510" s="7" t="s">
        <v>952</v>
      </c>
      <c r="G510" s="7" t="s">
        <v>953</v>
      </c>
      <c r="H510" s="7" t="s">
        <v>38</v>
      </c>
      <c r="I510" s="7" t="s">
        <v>10</v>
      </c>
      <c r="J510" s="7" t="s">
        <v>9</v>
      </c>
      <c r="K510" s="7" t="s">
        <v>33</v>
      </c>
      <c r="L510" s="7" t="s">
        <v>36</v>
      </c>
      <c r="M510" s="7" t="s">
        <v>10</v>
      </c>
      <c r="N510" s="7" t="s">
        <v>9</v>
      </c>
      <c r="O510" s="7" t="s">
        <v>33</v>
      </c>
      <c r="P510" s="11" t="str">
        <f t="shared" si="14"/>
        <v>平</v>
      </c>
      <c r="Q510" s="11" t="str">
        <f t="shared" si="15"/>
        <v>平</v>
      </c>
    </row>
    <row r="511" spans="4:17" x14ac:dyDescent="0.15">
      <c r="D511" s="7" t="s">
        <v>6</v>
      </c>
      <c r="E511" s="7" t="s">
        <v>954</v>
      </c>
      <c r="F511" s="7" t="s">
        <v>954</v>
      </c>
      <c r="G511" s="7" t="s">
        <v>955</v>
      </c>
      <c r="H511" s="7" t="s">
        <v>42</v>
      </c>
      <c r="I511" s="7" t="s">
        <v>33</v>
      </c>
      <c r="J511" s="7" t="s">
        <v>10</v>
      </c>
      <c r="K511" s="7" t="s">
        <v>33</v>
      </c>
      <c r="L511" s="7" t="s">
        <v>46</v>
      </c>
      <c r="M511" s="7" t="s">
        <v>33</v>
      </c>
      <c r="N511" s="7" t="s">
        <v>10</v>
      </c>
      <c r="O511" s="7" t="s">
        <v>33</v>
      </c>
      <c r="P511" s="11" t="str">
        <f t="shared" si="14"/>
        <v>平</v>
      </c>
      <c r="Q511" s="11" t="str">
        <f t="shared" si="15"/>
        <v>平</v>
      </c>
    </row>
    <row r="512" spans="4:17" x14ac:dyDescent="0.15">
      <c r="D512" s="7" t="s">
        <v>6</v>
      </c>
      <c r="E512" s="7" t="s">
        <v>956</v>
      </c>
      <c r="F512" s="7" t="s">
        <v>956</v>
      </c>
      <c r="G512" s="7" t="s">
        <v>955</v>
      </c>
      <c r="H512" s="7" t="s">
        <v>32</v>
      </c>
      <c r="I512" s="11" t="s">
        <v>10</v>
      </c>
      <c r="J512" s="7" t="s">
        <v>9</v>
      </c>
      <c r="K512" s="7" t="s">
        <v>33</v>
      </c>
      <c r="L512" s="7" t="s">
        <v>54</v>
      </c>
      <c r="M512" s="7" t="s">
        <v>10</v>
      </c>
      <c r="N512" s="7" t="s">
        <v>10</v>
      </c>
      <c r="O512" s="7" t="s">
        <v>33</v>
      </c>
      <c r="P512" s="11" t="str">
        <f t="shared" si="14"/>
        <v>平</v>
      </c>
      <c r="Q512" s="11" t="str">
        <f t="shared" si="15"/>
        <v>胜</v>
      </c>
    </row>
    <row r="513" spans="4:17" x14ac:dyDescent="0.15">
      <c r="D513" s="7" t="s">
        <v>6</v>
      </c>
      <c r="E513" s="7" t="s">
        <v>957</v>
      </c>
      <c r="F513" s="7" t="s">
        <v>957</v>
      </c>
      <c r="G513" s="7" t="s">
        <v>958</v>
      </c>
      <c r="H513" s="7" t="s">
        <v>41</v>
      </c>
      <c r="I513" s="7" t="s">
        <v>10</v>
      </c>
      <c r="J513" s="7" t="s">
        <v>39</v>
      </c>
      <c r="K513" s="7" t="s">
        <v>33</v>
      </c>
      <c r="L513" s="7" t="s">
        <v>44</v>
      </c>
      <c r="M513" s="7" t="s">
        <v>33</v>
      </c>
      <c r="N513" s="7" t="s">
        <v>33</v>
      </c>
      <c r="O513" s="7" t="s">
        <v>33</v>
      </c>
      <c r="P513" s="11" t="str">
        <f t="shared" si="14"/>
        <v>胜</v>
      </c>
      <c r="Q513" s="11" t="str">
        <f t="shared" si="15"/>
        <v>胜</v>
      </c>
    </row>
    <row r="514" spans="4:17" x14ac:dyDescent="0.15">
      <c r="D514" s="7" t="s">
        <v>6</v>
      </c>
      <c r="E514" s="7" t="s">
        <v>959</v>
      </c>
      <c r="F514" s="7" t="s">
        <v>959</v>
      </c>
      <c r="G514" s="7" t="s">
        <v>960</v>
      </c>
      <c r="H514" s="7" t="s">
        <v>43</v>
      </c>
      <c r="I514" s="7" t="s">
        <v>33</v>
      </c>
      <c r="J514" s="7" t="s">
        <v>10</v>
      </c>
      <c r="K514" s="7" t="s">
        <v>33</v>
      </c>
      <c r="L514" s="7" t="s">
        <v>37</v>
      </c>
      <c r="M514" s="7" t="s">
        <v>10</v>
      </c>
      <c r="N514" s="7" t="s">
        <v>10</v>
      </c>
      <c r="O514" s="7" t="s">
        <v>33</v>
      </c>
      <c r="P514" s="11" t="str">
        <f t="shared" si="14"/>
        <v>负</v>
      </c>
      <c r="Q514" s="11" t="str">
        <f t="shared" si="15"/>
        <v>平</v>
      </c>
    </row>
    <row r="515" spans="4:17" x14ac:dyDescent="0.15">
      <c r="D515" s="7" t="s">
        <v>6</v>
      </c>
      <c r="E515" s="7" t="s">
        <v>961</v>
      </c>
      <c r="F515" s="7" t="s">
        <v>961</v>
      </c>
      <c r="G515" s="7" t="s">
        <v>962</v>
      </c>
      <c r="H515" s="7" t="s">
        <v>46</v>
      </c>
      <c r="I515" s="7" t="s">
        <v>9</v>
      </c>
      <c r="J515" s="7" t="s">
        <v>55</v>
      </c>
      <c r="K515" s="7" t="s">
        <v>33</v>
      </c>
      <c r="L515" s="7" t="s">
        <v>43</v>
      </c>
      <c r="M515" s="7" t="s">
        <v>33</v>
      </c>
      <c r="N515" s="7" t="s">
        <v>33</v>
      </c>
      <c r="O515" s="7" t="s">
        <v>33</v>
      </c>
      <c r="P515" s="11" t="str">
        <f t="shared" si="14"/>
        <v>胜</v>
      </c>
      <c r="Q515" s="11" t="str">
        <f t="shared" si="15"/>
        <v>胜</v>
      </c>
    </row>
    <row r="516" spans="4:17" x14ac:dyDescent="0.15">
      <c r="D516" s="7" t="s">
        <v>6</v>
      </c>
      <c r="E516" s="7" t="s">
        <v>963</v>
      </c>
      <c r="F516" s="7" t="s">
        <v>963</v>
      </c>
      <c r="G516" s="7" t="s">
        <v>964</v>
      </c>
      <c r="H516" s="7" t="s">
        <v>36</v>
      </c>
      <c r="I516" s="7" t="s">
        <v>33</v>
      </c>
      <c r="J516" s="7" t="s">
        <v>9</v>
      </c>
      <c r="K516" s="7" t="s">
        <v>33</v>
      </c>
      <c r="L516" s="7" t="s">
        <v>49</v>
      </c>
      <c r="M516" s="7" t="s">
        <v>10</v>
      </c>
      <c r="N516" s="7" t="s">
        <v>50</v>
      </c>
      <c r="O516" s="7" t="s">
        <v>33</v>
      </c>
      <c r="P516" s="11" t="str">
        <f t="shared" si="14"/>
        <v>负</v>
      </c>
      <c r="Q516" s="11" t="str">
        <f t="shared" si="15"/>
        <v>负</v>
      </c>
    </row>
    <row r="517" spans="4:17" x14ac:dyDescent="0.15">
      <c r="D517" s="7" t="s">
        <v>6</v>
      </c>
      <c r="E517" s="7" t="s">
        <v>965</v>
      </c>
      <c r="F517" s="7" t="s">
        <v>965</v>
      </c>
      <c r="G517" s="7" t="s">
        <v>966</v>
      </c>
      <c r="H517" s="7" t="s">
        <v>35</v>
      </c>
      <c r="I517" s="7" t="s">
        <v>33</v>
      </c>
      <c r="J517" s="7" t="s">
        <v>9</v>
      </c>
      <c r="K517" s="7" t="s">
        <v>33</v>
      </c>
      <c r="L517" s="7" t="s">
        <v>32</v>
      </c>
      <c r="M517" s="7" t="s">
        <v>10</v>
      </c>
      <c r="N517" s="7" t="s">
        <v>9</v>
      </c>
      <c r="O517" s="7" t="s">
        <v>33</v>
      </c>
      <c r="P517" s="11" t="str">
        <f t="shared" si="14"/>
        <v>负</v>
      </c>
      <c r="Q517" s="11" t="str">
        <f t="shared" si="15"/>
        <v>平</v>
      </c>
    </row>
    <row r="518" spans="4:17" x14ac:dyDescent="0.15">
      <c r="D518" s="7" t="s">
        <v>6</v>
      </c>
      <c r="E518" s="7" t="s">
        <v>967</v>
      </c>
      <c r="F518" s="7" t="s">
        <v>967</v>
      </c>
      <c r="G518" s="7" t="s">
        <v>968</v>
      </c>
      <c r="H518" s="7" t="s">
        <v>54</v>
      </c>
      <c r="I518" s="7" t="s">
        <v>33</v>
      </c>
      <c r="J518" s="7" t="s">
        <v>9</v>
      </c>
      <c r="K518" s="7" t="s">
        <v>33</v>
      </c>
      <c r="L518" s="7" t="s">
        <v>45</v>
      </c>
      <c r="M518" s="7" t="s">
        <v>10</v>
      </c>
      <c r="N518" s="7" t="s">
        <v>9</v>
      </c>
      <c r="O518" s="7" t="s">
        <v>33</v>
      </c>
      <c r="P518" s="11" t="str">
        <f t="shared" si="14"/>
        <v>负</v>
      </c>
      <c r="Q518" s="11" t="str">
        <f t="shared" si="15"/>
        <v>平</v>
      </c>
    </row>
    <row r="519" spans="4:17" x14ac:dyDescent="0.15">
      <c r="D519" s="7" t="s">
        <v>6</v>
      </c>
      <c r="E519" s="7" t="s">
        <v>969</v>
      </c>
      <c r="F519" s="7" t="s">
        <v>969</v>
      </c>
      <c r="G519" s="7" t="s">
        <v>970</v>
      </c>
      <c r="H519" s="7" t="s">
        <v>53</v>
      </c>
      <c r="I519" s="7" t="s">
        <v>33</v>
      </c>
      <c r="J519" s="7" t="s">
        <v>9</v>
      </c>
      <c r="K519" s="7" t="s">
        <v>33</v>
      </c>
      <c r="L519" s="7" t="s">
        <v>42</v>
      </c>
      <c r="M519" s="7" t="s">
        <v>10</v>
      </c>
      <c r="N519" s="7" t="s">
        <v>9</v>
      </c>
      <c r="O519" s="7" t="s">
        <v>33</v>
      </c>
      <c r="P519" s="11" t="str">
        <f t="shared" si="14"/>
        <v>负</v>
      </c>
      <c r="Q519" s="11" t="str">
        <f t="shared" si="15"/>
        <v>平</v>
      </c>
    </row>
    <row r="520" spans="4:17" x14ac:dyDescent="0.15">
      <c r="D520" s="7" t="s">
        <v>6</v>
      </c>
      <c r="E520" s="7" t="s">
        <v>971</v>
      </c>
      <c r="F520" s="7" t="s">
        <v>971</v>
      </c>
      <c r="G520" s="7" t="s">
        <v>972</v>
      </c>
      <c r="H520" s="7" t="s">
        <v>44</v>
      </c>
      <c r="I520" s="7" t="s">
        <v>10</v>
      </c>
      <c r="J520" s="7" t="s">
        <v>9</v>
      </c>
      <c r="K520" s="7" t="s">
        <v>33</v>
      </c>
      <c r="L520" s="7" t="s">
        <v>40</v>
      </c>
      <c r="M520" s="7" t="s">
        <v>33</v>
      </c>
      <c r="N520" s="7" t="s">
        <v>33</v>
      </c>
      <c r="O520" s="7" t="s">
        <v>33</v>
      </c>
      <c r="P520" s="11" t="str">
        <f t="shared" si="14"/>
        <v>胜</v>
      </c>
      <c r="Q520" s="11" t="str">
        <f t="shared" si="15"/>
        <v>胜</v>
      </c>
    </row>
    <row r="521" spans="4:17" x14ac:dyDescent="0.15">
      <c r="D521" s="7" t="s">
        <v>6</v>
      </c>
      <c r="E521" s="7" t="s">
        <v>973</v>
      </c>
      <c r="F521" s="7" t="s">
        <v>973</v>
      </c>
      <c r="G521" s="7" t="s">
        <v>974</v>
      </c>
      <c r="H521" s="7" t="s">
        <v>37</v>
      </c>
      <c r="I521" s="7" t="s">
        <v>10</v>
      </c>
      <c r="J521" s="7" t="s">
        <v>55</v>
      </c>
      <c r="K521" s="7" t="s">
        <v>33</v>
      </c>
      <c r="L521" s="7" t="s">
        <v>48</v>
      </c>
      <c r="M521" s="7" t="s">
        <v>33</v>
      </c>
      <c r="N521" s="7" t="s">
        <v>33</v>
      </c>
      <c r="O521" s="7" t="s">
        <v>33</v>
      </c>
      <c r="P521" s="11" t="str">
        <f t="shared" si="14"/>
        <v>胜</v>
      </c>
      <c r="Q521" s="11" t="str">
        <f t="shared" si="15"/>
        <v>胜</v>
      </c>
    </row>
    <row r="522" spans="4:17" x14ac:dyDescent="0.15">
      <c r="D522" s="7" t="s">
        <v>6</v>
      </c>
      <c r="E522" s="7" t="s">
        <v>975</v>
      </c>
      <c r="F522" s="7" t="s">
        <v>975</v>
      </c>
      <c r="G522" s="7" t="s">
        <v>976</v>
      </c>
      <c r="H522" s="7" t="s">
        <v>38</v>
      </c>
      <c r="I522" s="7" t="s">
        <v>33</v>
      </c>
      <c r="J522" s="7" t="s">
        <v>33</v>
      </c>
      <c r="K522" s="7" t="s">
        <v>33</v>
      </c>
      <c r="L522" s="7" t="s">
        <v>41</v>
      </c>
      <c r="M522" s="7" t="s">
        <v>10</v>
      </c>
      <c r="N522" s="7" t="s">
        <v>10</v>
      </c>
      <c r="O522" s="7" t="s">
        <v>33</v>
      </c>
      <c r="P522" s="11" t="str">
        <f t="shared" si="14"/>
        <v>负</v>
      </c>
      <c r="Q522" s="11" t="str">
        <f t="shared" si="15"/>
        <v>负</v>
      </c>
    </row>
    <row r="523" spans="4:17" x14ac:dyDescent="0.15">
      <c r="D523" s="7" t="s">
        <v>6</v>
      </c>
      <c r="E523" s="7" t="s">
        <v>977</v>
      </c>
      <c r="F523" s="7" t="s">
        <v>977</v>
      </c>
      <c r="G523" s="7" t="s">
        <v>978</v>
      </c>
      <c r="H523" s="7" t="s">
        <v>41</v>
      </c>
      <c r="I523" s="7" t="s">
        <v>33</v>
      </c>
      <c r="J523" s="7" t="s">
        <v>10</v>
      </c>
      <c r="K523" s="7" t="s">
        <v>33</v>
      </c>
      <c r="L523" s="7" t="s">
        <v>36</v>
      </c>
      <c r="M523" s="7" t="s">
        <v>33</v>
      </c>
      <c r="N523" s="7" t="s">
        <v>33</v>
      </c>
      <c r="O523" s="7" t="s">
        <v>33</v>
      </c>
      <c r="P523" s="11" t="str">
        <f t="shared" si="14"/>
        <v>平</v>
      </c>
      <c r="Q523" s="11" t="str">
        <f t="shared" si="15"/>
        <v>胜</v>
      </c>
    </row>
    <row r="524" spans="4:17" x14ac:dyDescent="0.15">
      <c r="D524" s="7" t="s">
        <v>6</v>
      </c>
      <c r="E524" s="7" t="s">
        <v>979</v>
      </c>
      <c r="F524" s="7" t="s">
        <v>979</v>
      </c>
      <c r="G524" s="7" t="s">
        <v>980</v>
      </c>
      <c r="H524" s="7" t="s">
        <v>32</v>
      </c>
      <c r="I524" s="11" t="s">
        <v>33</v>
      </c>
      <c r="J524" s="7" t="s">
        <v>33</v>
      </c>
      <c r="K524" s="7" t="s">
        <v>33</v>
      </c>
      <c r="L524" s="7" t="s">
        <v>53</v>
      </c>
      <c r="M524" s="7" t="s">
        <v>10</v>
      </c>
      <c r="N524" s="7" t="s">
        <v>39</v>
      </c>
      <c r="O524" s="7" t="s">
        <v>33</v>
      </c>
      <c r="P524" s="11" t="str">
        <f t="shared" si="14"/>
        <v>负</v>
      </c>
      <c r="Q524" s="11" t="str">
        <f t="shared" si="15"/>
        <v>负</v>
      </c>
    </row>
    <row r="525" spans="4:17" x14ac:dyDescent="0.15">
      <c r="D525" s="7" t="s">
        <v>6</v>
      </c>
      <c r="E525" s="7" t="s">
        <v>981</v>
      </c>
      <c r="F525" s="7" t="s">
        <v>981</v>
      </c>
      <c r="G525" s="7" t="s">
        <v>982</v>
      </c>
      <c r="H525" s="7" t="s">
        <v>48</v>
      </c>
      <c r="I525" s="7" t="s">
        <v>33</v>
      </c>
      <c r="J525" s="7" t="s">
        <v>33</v>
      </c>
      <c r="K525" s="7" t="s">
        <v>33</v>
      </c>
      <c r="L525" s="7" t="s">
        <v>35</v>
      </c>
      <c r="M525" s="7" t="s">
        <v>33</v>
      </c>
      <c r="N525" s="7" t="s">
        <v>10</v>
      </c>
      <c r="O525" s="7" t="s">
        <v>33</v>
      </c>
      <c r="P525" s="11" t="str">
        <f t="shared" ref="P525:P588" si="16">IF(I525=M525,"平",IF(I525&gt;M525,"胜","负"))</f>
        <v>平</v>
      </c>
      <c r="Q525" s="11" t="str">
        <f t="shared" ref="Q525:Q588" si="17">IF(J525=N525,"平",IF(J525&gt;N525,"胜","负"))</f>
        <v>负</v>
      </c>
    </row>
    <row r="526" spans="4:17" x14ac:dyDescent="0.15">
      <c r="D526" s="7" t="s">
        <v>6</v>
      </c>
      <c r="E526" s="7" t="s">
        <v>983</v>
      </c>
      <c r="F526" s="7" t="s">
        <v>983</v>
      </c>
      <c r="G526" s="7" t="s">
        <v>982</v>
      </c>
      <c r="H526" s="7" t="s">
        <v>54</v>
      </c>
      <c r="I526" s="7" t="s">
        <v>33</v>
      </c>
      <c r="J526" s="7" t="s">
        <v>10</v>
      </c>
      <c r="K526" s="7" t="s">
        <v>33</v>
      </c>
      <c r="L526" s="7" t="s">
        <v>46</v>
      </c>
      <c r="M526" s="7" t="s">
        <v>10</v>
      </c>
      <c r="N526" s="7" t="s">
        <v>39</v>
      </c>
      <c r="O526" s="7" t="s">
        <v>33</v>
      </c>
      <c r="P526" s="11" t="str">
        <f t="shared" si="16"/>
        <v>负</v>
      </c>
      <c r="Q526" s="11" t="str">
        <f t="shared" si="17"/>
        <v>负</v>
      </c>
    </row>
    <row r="527" spans="4:17" x14ac:dyDescent="0.15">
      <c r="D527" s="7" t="s">
        <v>6</v>
      </c>
      <c r="E527" s="7" t="s">
        <v>984</v>
      </c>
      <c r="F527" s="7" t="s">
        <v>984</v>
      </c>
      <c r="G527" s="7" t="s">
        <v>985</v>
      </c>
      <c r="H527" s="7" t="s">
        <v>40</v>
      </c>
      <c r="I527" s="7" t="s">
        <v>9</v>
      </c>
      <c r="J527" s="7" t="s">
        <v>9</v>
      </c>
      <c r="K527" s="7" t="s">
        <v>33</v>
      </c>
      <c r="L527" s="7" t="s">
        <v>42</v>
      </c>
      <c r="M527" s="7" t="s">
        <v>9</v>
      </c>
      <c r="N527" s="7" t="s">
        <v>9</v>
      </c>
      <c r="O527" s="7" t="s">
        <v>33</v>
      </c>
      <c r="P527" s="11" t="str">
        <f t="shared" si="16"/>
        <v>平</v>
      </c>
      <c r="Q527" s="11" t="str">
        <f t="shared" si="17"/>
        <v>平</v>
      </c>
    </row>
    <row r="528" spans="4:17" x14ac:dyDescent="0.15">
      <c r="D528" s="7" t="s">
        <v>6</v>
      </c>
      <c r="E528" s="7" t="s">
        <v>986</v>
      </c>
      <c r="F528" s="7" t="s">
        <v>986</v>
      </c>
      <c r="G528" s="7" t="s">
        <v>987</v>
      </c>
      <c r="H528" s="7" t="s">
        <v>43</v>
      </c>
      <c r="I528" s="7" t="s">
        <v>33</v>
      </c>
      <c r="J528" s="7" t="s">
        <v>9</v>
      </c>
      <c r="K528" s="7" t="s">
        <v>33</v>
      </c>
      <c r="L528" s="7" t="s">
        <v>44</v>
      </c>
      <c r="M528" s="7" t="s">
        <v>33</v>
      </c>
      <c r="N528" s="7" t="s">
        <v>33</v>
      </c>
      <c r="O528" s="7" t="s">
        <v>33</v>
      </c>
      <c r="P528" s="11" t="str">
        <f t="shared" si="16"/>
        <v>平</v>
      </c>
      <c r="Q528" s="11" t="str">
        <f t="shared" si="17"/>
        <v>胜</v>
      </c>
    </row>
    <row r="529" spans="4:17" x14ac:dyDescent="0.15">
      <c r="D529" s="7" t="s">
        <v>6</v>
      </c>
      <c r="E529" s="7" t="s">
        <v>988</v>
      </c>
      <c r="F529" s="7" t="s">
        <v>988</v>
      </c>
      <c r="G529" s="7" t="s">
        <v>989</v>
      </c>
      <c r="H529" s="7" t="s">
        <v>49</v>
      </c>
      <c r="I529" s="7" t="s">
        <v>9</v>
      </c>
      <c r="J529" s="7" t="s">
        <v>39</v>
      </c>
      <c r="K529" s="7" t="s">
        <v>33</v>
      </c>
      <c r="L529" s="7" t="s">
        <v>38</v>
      </c>
      <c r="M529" s="7" t="s">
        <v>33</v>
      </c>
      <c r="N529" s="7" t="s">
        <v>33</v>
      </c>
      <c r="O529" s="7" t="s">
        <v>33</v>
      </c>
      <c r="P529" s="11" t="str">
        <f t="shared" si="16"/>
        <v>胜</v>
      </c>
      <c r="Q529" s="11" t="str">
        <f t="shared" si="17"/>
        <v>胜</v>
      </c>
    </row>
    <row r="530" spans="4:17" x14ac:dyDescent="0.15">
      <c r="D530" s="7" t="s">
        <v>6</v>
      </c>
      <c r="E530" s="7" t="s">
        <v>990</v>
      </c>
      <c r="F530" s="7" t="s">
        <v>990</v>
      </c>
      <c r="G530" s="7" t="s">
        <v>991</v>
      </c>
      <c r="H530" s="7" t="s">
        <v>53</v>
      </c>
      <c r="I530" s="7" t="s">
        <v>10</v>
      </c>
      <c r="J530" s="7" t="s">
        <v>10</v>
      </c>
      <c r="K530" s="7" t="s">
        <v>33</v>
      </c>
      <c r="L530" s="7" t="s">
        <v>43</v>
      </c>
      <c r="M530" s="7" t="s">
        <v>9</v>
      </c>
      <c r="N530" s="7" t="s">
        <v>9</v>
      </c>
      <c r="O530" s="7" t="s">
        <v>33</v>
      </c>
      <c r="P530" s="11" t="str">
        <f t="shared" si="16"/>
        <v>负</v>
      </c>
      <c r="Q530" s="11" t="str">
        <f t="shared" si="17"/>
        <v>负</v>
      </c>
    </row>
    <row r="531" spans="4:17" x14ac:dyDescent="0.15">
      <c r="D531" s="7" t="s">
        <v>6</v>
      </c>
      <c r="E531" s="7" t="s">
        <v>992</v>
      </c>
      <c r="F531" s="7" t="s">
        <v>992</v>
      </c>
      <c r="G531" s="7" t="s">
        <v>993</v>
      </c>
      <c r="H531" s="7" t="s">
        <v>36</v>
      </c>
      <c r="I531" s="7" t="s">
        <v>10</v>
      </c>
      <c r="J531" s="7" t="s">
        <v>10</v>
      </c>
      <c r="K531" s="7" t="s">
        <v>33</v>
      </c>
      <c r="L531" s="7" t="s">
        <v>54</v>
      </c>
      <c r="M531" s="7" t="s">
        <v>33</v>
      </c>
      <c r="N531" s="7" t="s">
        <v>9</v>
      </c>
      <c r="O531" s="7" t="s">
        <v>33</v>
      </c>
      <c r="P531" s="11" t="str">
        <f t="shared" si="16"/>
        <v>胜</v>
      </c>
      <c r="Q531" s="11" t="str">
        <f t="shared" si="17"/>
        <v>负</v>
      </c>
    </row>
    <row r="532" spans="4:17" x14ac:dyDescent="0.15">
      <c r="D532" s="7" t="s">
        <v>6</v>
      </c>
      <c r="E532" s="7" t="s">
        <v>994</v>
      </c>
      <c r="F532" s="7" t="s">
        <v>994</v>
      </c>
      <c r="G532" s="7" t="s">
        <v>995</v>
      </c>
      <c r="H532" s="7" t="s">
        <v>46</v>
      </c>
      <c r="I532" s="7" t="s">
        <v>10</v>
      </c>
      <c r="J532" s="7" t="s">
        <v>10</v>
      </c>
      <c r="K532" s="7" t="s">
        <v>33</v>
      </c>
      <c r="L532" s="7" t="s">
        <v>40</v>
      </c>
      <c r="M532" s="7" t="s">
        <v>33</v>
      </c>
      <c r="N532" s="7" t="s">
        <v>33</v>
      </c>
      <c r="O532" s="7" t="s">
        <v>33</v>
      </c>
      <c r="P532" s="11" t="str">
        <f t="shared" si="16"/>
        <v>胜</v>
      </c>
      <c r="Q532" s="11" t="str">
        <f t="shared" si="17"/>
        <v>胜</v>
      </c>
    </row>
    <row r="533" spans="4:17" x14ac:dyDescent="0.15">
      <c r="D533" s="7" t="s">
        <v>6</v>
      </c>
      <c r="E533" s="7" t="s">
        <v>996</v>
      </c>
      <c r="F533" s="7" t="s">
        <v>996</v>
      </c>
      <c r="G533" s="7" t="s">
        <v>997</v>
      </c>
      <c r="H533" s="7" t="s">
        <v>41</v>
      </c>
      <c r="I533" s="7" t="s">
        <v>33</v>
      </c>
      <c r="J533" s="7" t="s">
        <v>33</v>
      </c>
      <c r="K533" s="7" t="s">
        <v>33</v>
      </c>
      <c r="L533" s="7" t="s">
        <v>49</v>
      </c>
      <c r="M533" s="7" t="s">
        <v>10</v>
      </c>
      <c r="N533" s="7" t="s">
        <v>9</v>
      </c>
      <c r="O533" s="7" t="s">
        <v>33</v>
      </c>
      <c r="P533" s="11" t="str">
        <f t="shared" si="16"/>
        <v>负</v>
      </c>
      <c r="Q533" s="11" t="str">
        <f t="shared" si="17"/>
        <v>负</v>
      </c>
    </row>
    <row r="534" spans="4:17" x14ac:dyDescent="0.15">
      <c r="D534" s="7" t="s">
        <v>6</v>
      </c>
      <c r="E534" s="7" t="s">
        <v>998</v>
      </c>
      <c r="F534" s="7" t="s">
        <v>998</v>
      </c>
      <c r="G534" s="7" t="s">
        <v>999</v>
      </c>
      <c r="H534" s="7" t="s">
        <v>35</v>
      </c>
      <c r="I534" s="7" t="s">
        <v>33</v>
      </c>
      <c r="J534" s="7" t="s">
        <v>10</v>
      </c>
      <c r="K534" s="7" t="s">
        <v>33</v>
      </c>
      <c r="L534" s="7" t="s">
        <v>45</v>
      </c>
      <c r="M534" s="7" t="s">
        <v>10</v>
      </c>
      <c r="N534" s="7" t="s">
        <v>9</v>
      </c>
      <c r="O534" s="7" t="s">
        <v>33</v>
      </c>
      <c r="P534" s="11" t="str">
        <f t="shared" si="16"/>
        <v>负</v>
      </c>
      <c r="Q534" s="11" t="str">
        <f t="shared" si="17"/>
        <v>负</v>
      </c>
    </row>
    <row r="535" spans="4:17" x14ac:dyDescent="0.15">
      <c r="D535" s="7" t="s">
        <v>6</v>
      </c>
      <c r="E535" s="7" t="s">
        <v>1000</v>
      </c>
      <c r="F535" s="7" t="s">
        <v>1000</v>
      </c>
      <c r="G535" s="7" t="s">
        <v>1001</v>
      </c>
      <c r="H535" s="7" t="s">
        <v>38</v>
      </c>
      <c r="I535" s="7" t="s">
        <v>9</v>
      </c>
      <c r="J535" s="7" t="s">
        <v>39</v>
      </c>
      <c r="K535" s="7" t="s">
        <v>33</v>
      </c>
      <c r="L535" s="7" t="s">
        <v>32</v>
      </c>
      <c r="M535" s="7" t="s">
        <v>10</v>
      </c>
      <c r="N535" s="7" t="s">
        <v>9</v>
      </c>
      <c r="O535" s="7" t="s">
        <v>33</v>
      </c>
      <c r="P535" s="11" t="str">
        <f t="shared" si="16"/>
        <v>胜</v>
      </c>
      <c r="Q535" s="11" t="str">
        <f t="shared" si="17"/>
        <v>胜</v>
      </c>
    </row>
    <row r="536" spans="4:17" x14ac:dyDescent="0.15">
      <c r="D536" s="7" t="s">
        <v>6</v>
      </c>
      <c r="E536" s="7" t="s">
        <v>1002</v>
      </c>
      <c r="F536" s="7" t="s">
        <v>1002</v>
      </c>
      <c r="G536" s="7" t="s">
        <v>1003</v>
      </c>
      <c r="H536" s="7" t="s">
        <v>44</v>
      </c>
      <c r="I536" s="7" t="s">
        <v>33</v>
      </c>
      <c r="J536" s="7" t="s">
        <v>39</v>
      </c>
      <c r="K536" s="7" t="s">
        <v>33</v>
      </c>
      <c r="L536" s="7" t="s">
        <v>37</v>
      </c>
      <c r="M536" s="7" t="s">
        <v>50</v>
      </c>
      <c r="N536" s="7" t="s">
        <v>50</v>
      </c>
      <c r="O536" s="7" t="s">
        <v>33</v>
      </c>
      <c r="P536" s="11" t="str">
        <f t="shared" si="16"/>
        <v>负</v>
      </c>
      <c r="Q536" s="11" t="str">
        <f t="shared" si="17"/>
        <v>负</v>
      </c>
    </row>
    <row r="537" spans="4:17" x14ac:dyDescent="0.15">
      <c r="D537" s="7" t="s">
        <v>6</v>
      </c>
      <c r="E537" s="7" t="s">
        <v>1004</v>
      </c>
      <c r="F537" s="7" t="s">
        <v>1004</v>
      </c>
      <c r="G537" s="7" t="s">
        <v>1005</v>
      </c>
      <c r="H537" s="7" t="s">
        <v>42</v>
      </c>
      <c r="I537" s="7" t="s">
        <v>33</v>
      </c>
      <c r="J537" s="7" t="s">
        <v>33</v>
      </c>
      <c r="K537" s="7" t="s">
        <v>33</v>
      </c>
      <c r="L537" s="7" t="s">
        <v>48</v>
      </c>
      <c r="M537" s="7" t="s">
        <v>10</v>
      </c>
      <c r="N537" s="7" t="s">
        <v>10</v>
      </c>
      <c r="O537" s="7" t="s">
        <v>33</v>
      </c>
      <c r="P537" s="11" t="str">
        <f t="shared" si="16"/>
        <v>负</v>
      </c>
      <c r="Q537" s="11" t="str">
        <f t="shared" si="17"/>
        <v>负</v>
      </c>
    </row>
    <row r="538" spans="4:17" x14ac:dyDescent="0.15">
      <c r="D538" s="7" t="s">
        <v>6</v>
      </c>
      <c r="E538" s="7" t="s">
        <v>1006</v>
      </c>
      <c r="F538" s="7" t="s">
        <v>1006</v>
      </c>
      <c r="G538" s="7" t="s">
        <v>1007</v>
      </c>
      <c r="H538" s="7" t="s">
        <v>32</v>
      </c>
      <c r="I538" s="11" t="s">
        <v>33</v>
      </c>
      <c r="J538" s="7" t="s">
        <v>10</v>
      </c>
      <c r="K538" s="7" t="s">
        <v>33</v>
      </c>
      <c r="L538" s="7" t="s">
        <v>44</v>
      </c>
      <c r="M538" s="7" t="s">
        <v>33</v>
      </c>
      <c r="N538" s="7" t="s">
        <v>10</v>
      </c>
      <c r="O538" s="7" t="s">
        <v>33</v>
      </c>
      <c r="P538" s="11" t="str">
        <f t="shared" si="16"/>
        <v>平</v>
      </c>
      <c r="Q538" s="11" t="str">
        <f t="shared" si="17"/>
        <v>平</v>
      </c>
    </row>
    <row r="539" spans="4:17" x14ac:dyDescent="0.15">
      <c r="D539" s="7" t="s">
        <v>6</v>
      </c>
      <c r="E539" s="7" t="s">
        <v>1008</v>
      </c>
      <c r="F539" s="7" t="s">
        <v>1008</v>
      </c>
      <c r="G539" s="7" t="s">
        <v>1009</v>
      </c>
      <c r="H539" s="7" t="s">
        <v>48</v>
      </c>
      <c r="I539" s="7" t="s">
        <v>10</v>
      </c>
      <c r="J539" s="7" t="s">
        <v>9</v>
      </c>
      <c r="K539" s="7" t="s">
        <v>33</v>
      </c>
      <c r="L539" s="7" t="s">
        <v>53</v>
      </c>
      <c r="M539" s="7" t="s">
        <v>33</v>
      </c>
      <c r="N539" s="7" t="s">
        <v>10</v>
      </c>
      <c r="O539" s="7" t="s">
        <v>33</v>
      </c>
      <c r="P539" s="11" t="str">
        <f t="shared" si="16"/>
        <v>胜</v>
      </c>
      <c r="Q539" s="11" t="str">
        <f t="shared" si="17"/>
        <v>胜</v>
      </c>
    </row>
    <row r="540" spans="4:17" x14ac:dyDescent="0.15">
      <c r="D540" s="7" t="s">
        <v>6</v>
      </c>
      <c r="E540" s="7" t="s">
        <v>1010</v>
      </c>
      <c r="F540" s="7" t="s">
        <v>1010</v>
      </c>
      <c r="G540" s="7" t="s">
        <v>1009</v>
      </c>
      <c r="H540" s="7" t="s">
        <v>54</v>
      </c>
      <c r="I540" s="7" t="s">
        <v>33</v>
      </c>
      <c r="J540" s="7" t="s">
        <v>33</v>
      </c>
      <c r="K540" s="7" t="s">
        <v>33</v>
      </c>
      <c r="L540" s="7" t="s">
        <v>41</v>
      </c>
      <c r="M540" s="7" t="s">
        <v>33</v>
      </c>
      <c r="N540" s="7" t="s">
        <v>33</v>
      </c>
      <c r="O540" s="7" t="s">
        <v>33</v>
      </c>
      <c r="P540" s="11" t="str">
        <f t="shared" si="16"/>
        <v>平</v>
      </c>
      <c r="Q540" s="11" t="str">
        <f t="shared" si="17"/>
        <v>平</v>
      </c>
    </row>
    <row r="541" spans="4:17" x14ac:dyDescent="0.15">
      <c r="D541" s="7" t="s">
        <v>6</v>
      </c>
      <c r="E541" s="7" t="s">
        <v>1011</v>
      </c>
      <c r="F541" s="7" t="s">
        <v>1011</v>
      </c>
      <c r="G541" s="7" t="s">
        <v>1012</v>
      </c>
      <c r="H541" s="7" t="s">
        <v>40</v>
      </c>
      <c r="I541" s="7" t="s">
        <v>10</v>
      </c>
      <c r="J541" s="7" t="s">
        <v>10</v>
      </c>
      <c r="K541" s="7" t="s">
        <v>33</v>
      </c>
      <c r="L541" s="7" t="s">
        <v>36</v>
      </c>
      <c r="M541" s="7" t="s">
        <v>33</v>
      </c>
      <c r="N541" s="7" t="s">
        <v>10</v>
      </c>
      <c r="O541" s="7" t="s">
        <v>33</v>
      </c>
      <c r="P541" s="11" t="str">
        <f t="shared" si="16"/>
        <v>胜</v>
      </c>
      <c r="Q541" s="11" t="str">
        <f t="shared" si="17"/>
        <v>平</v>
      </c>
    </row>
    <row r="542" spans="4:17" x14ac:dyDescent="0.15">
      <c r="D542" s="7" t="s">
        <v>6</v>
      </c>
      <c r="E542" s="7" t="s">
        <v>1013</v>
      </c>
      <c r="F542" s="7" t="s">
        <v>1013</v>
      </c>
      <c r="G542" s="7" t="s">
        <v>1012</v>
      </c>
      <c r="H542" s="7" t="s">
        <v>37</v>
      </c>
      <c r="I542" s="7" t="s">
        <v>39</v>
      </c>
      <c r="J542" s="7" t="s">
        <v>39</v>
      </c>
      <c r="K542" s="7" t="s">
        <v>33</v>
      </c>
      <c r="L542" s="7" t="s">
        <v>35</v>
      </c>
      <c r="M542" s="7" t="s">
        <v>33</v>
      </c>
      <c r="N542" s="7" t="s">
        <v>10</v>
      </c>
      <c r="O542" s="7" t="s">
        <v>33</v>
      </c>
      <c r="P542" s="11" t="str">
        <f t="shared" si="16"/>
        <v>胜</v>
      </c>
      <c r="Q542" s="11" t="str">
        <f t="shared" si="17"/>
        <v>胜</v>
      </c>
    </row>
    <row r="543" spans="4:17" x14ac:dyDescent="0.15">
      <c r="D543" s="7" t="s">
        <v>6</v>
      </c>
      <c r="E543" s="7" t="s">
        <v>1014</v>
      </c>
      <c r="F543" s="7" t="s">
        <v>1014</v>
      </c>
      <c r="G543" s="7" t="s">
        <v>1015</v>
      </c>
      <c r="H543" s="7" t="s">
        <v>45</v>
      </c>
      <c r="I543" s="7" t="s">
        <v>33</v>
      </c>
      <c r="J543" s="7" t="s">
        <v>9</v>
      </c>
      <c r="K543" s="7" t="s">
        <v>33</v>
      </c>
      <c r="L543" s="7" t="s">
        <v>42</v>
      </c>
      <c r="M543" s="7" t="s">
        <v>10</v>
      </c>
      <c r="N543" s="7" t="s">
        <v>9</v>
      </c>
      <c r="O543" s="7" t="s">
        <v>33</v>
      </c>
      <c r="P543" s="11" t="str">
        <f t="shared" si="16"/>
        <v>负</v>
      </c>
      <c r="Q543" s="11" t="str">
        <f t="shared" si="17"/>
        <v>平</v>
      </c>
    </row>
    <row r="544" spans="4:17" x14ac:dyDescent="0.15">
      <c r="D544" s="7" t="s">
        <v>6</v>
      </c>
      <c r="E544" s="7" t="s">
        <v>1016</v>
      </c>
      <c r="F544" s="7" t="s">
        <v>1016</v>
      </c>
      <c r="G544" s="7" t="s">
        <v>1017</v>
      </c>
      <c r="H544" s="7" t="s">
        <v>45</v>
      </c>
      <c r="I544" s="7" t="s">
        <v>33</v>
      </c>
      <c r="J544" s="7" t="s">
        <v>33</v>
      </c>
      <c r="K544" s="7" t="s">
        <v>33</v>
      </c>
      <c r="L544" s="7" t="s">
        <v>37</v>
      </c>
      <c r="M544" s="7" t="s">
        <v>33</v>
      </c>
      <c r="N544" s="7" t="s">
        <v>9</v>
      </c>
      <c r="O544" s="7" t="s">
        <v>33</v>
      </c>
      <c r="P544" s="11" t="str">
        <f t="shared" si="16"/>
        <v>平</v>
      </c>
      <c r="Q544" s="11" t="str">
        <f t="shared" si="17"/>
        <v>负</v>
      </c>
    </row>
    <row r="545" spans="4:17" x14ac:dyDescent="0.15">
      <c r="D545" s="7" t="s">
        <v>6</v>
      </c>
      <c r="E545" s="7" t="s">
        <v>1018</v>
      </c>
      <c r="F545" s="7" t="s">
        <v>1018</v>
      </c>
      <c r="G545" s="7" t="s">
        <v>1019</v>
      </c>
      <c r="H545" s="7" t="s">
        <v>49</v>
      </c>
      <c r="I545" s="7" t="s">
        <v>9</v>
      </c>
      <c r="J545" s="7" t="s">
        <v>39</v>
      </c>
      <c r="K545" s="7" t="s">
        <v>33</v>
      </c>
      <c r="L545" s="7" t="s">
        <v>46</v>
      </c>
      <c r="M545" s="7" t="s">
        <v>10</v>
      </c>
      <c r="N545" s="7" t="s">
        <v>9</v>
      </c>
      <c r="O545" s="7" t="s">
        <v>33</v>
      </c>
      <c r="P545" s="11" t="str">
        <f t="shared" si="16"/>
        <v>胜</v>
      </c>
      <c r="Q545" s="11" t="str">
        <f t="shared" si="17"/>
        <v>胜</v>
      </c>
    </row>
    <row r="546" spans="4:17" x14ac:dyDescent="0.15">
      <c r="D546" s="7" t="s">
        <v>6</v>
      </c>
      <c r="E546" s="7" t="s">
        <v>1020</v>
      </c>
      <c r="F546" s="7" t="s">
        <v>1020</v>
      </c>
      <c r="G546" s="7" t="s">
        <v>1021</v>
      </c>
      <c r="H546" s="7" t="s">
        <v>43</v>
      </c>
      <c r="I546" s="7" t="s">
        <v>33</v>
      </c>
      <c r="J546" s="7" t="s">
        <v>33</v>
      </c>
      <c r="K546" s="7" t="s">
        <v>33</v>
      </c>
      <c r="L546" s="7" t="s">
        <v>38</v>
      </c>
      <c r="M546" s="7" t="s">
        <v>10</v>
      </c>
      <c r="N546" s="7" t="s">
        <v>9</v>
      </c>
      <c r="O546" s="7" t="s">
        <v>33</v>
      </c>
      <c r="P546" s="11" t="str">
        <f t="shared" si="16"/>
        <v>负</v>
      </c>
      <c r="Q546" s="11" t="str">
        <f t="shared" si="17"/>
        <v>负</v>
      </c>
    </row>
    <row r="547" spans="4:17" x14ac:dyDescent="0.15">
      <c r="D547" s="7" t="s">
        <v>6</v>
      </c>
      <c r="E547" s="7" t="s">
        <v>1022</v>
      </c>
      <c r="F547" s="7" t="s">
        <v>1022</v>
      </c>
      <c r="G547" s="7" t="s">
        <v>1023</v>
      </c>
      <c r="H547" s="7" t="s">
        <v>49</v>
      </c>
      <c r="I547" s="7" t="s">
        <v>33</v>
      </c>
      <c r="J547" s="7" t="s">
        <v>10</v>
      </c>
      <c r="K547" s="7" t="s">
        <v>33</v>
      </c>
      <c r="L547" s="7" t="s">
        <v>32</v>
      </c>
      <c r="M547" s="7" t="s">
        <v>10</v>
      </c>
      <c r="N547" s="7" t="s">
        <v>10</v>
      </c>
      <c r="O547" s="7" t="s">
        <v>33</v>
      </c>
      <c r="P547" s="11" t="str">
        <f t="shared" si="16"/>
        <v>负</v>
      </c>
      <c r="Q547" s="11" t="str">
        <f t="shared" si="17"/>
        <v>平</v>
      </c>
    </row>
    <row r="548" spans="4:17" x14ac:dyDescent="0.15">
      <c r="D548" s="7" t="s">
        <v>6</v>
      </c>
      <c r="E548" s="7" t="s">
        <v>1024</v>
      </c>
      <c r="F548" s="7" t="s">
        <v>1024</v>
      </c>
      <c r="G548" s="7" t="s">
        <v>1025</v>
      </c>
      <c r="H548" s="7" t="s">
        <v>44</v>
      </c>
      <c r="I548" s="7" t="s">
        <v>33</v>
      </c>
      <c r="J548" s="7" t="s">
        <v>10</v>
      </c>
      <c r="K548" s="7" t="s">
        <v>33</v>
      </c>
      <c r="L548" s="7" t="s">
        <v>48</v>
      </c>
      <c r="M548" s="7" t="s">
        <v>10</v>
      </c>
      <c r="N548" s="7" t="s">
        <v>10</v>
      </c>
      <c r="O548" s="7" t="s">
        <v>33</v>
      </c>
      <c r="P548" s="11" t="str">
        <f t="shared" si="16"/>
        <v>负</v>
      </c>
      <c r="Q548" s="11" t="str">
        <f t="shared" si="17"/>
        <v>平</v>
      </c>
    </row>
    <row r="549" spans="4:17" x14ac:dyDescent="0.15">
      <c r="D549" s="7" t="s">
        <v>6</v>
      </c>
      <c r="E549" s="7" t="s">
        <v>1026</v>
      </c>
      <c r="F549" s="7" t="s">
        <v>1026</v>
      </c>
      <c r="G549" s="7" t="s">
        <v>1027</v>
      </c>
      <c r="H549" s="7" t="s">
        <v>41</v>
      </c>
      <c r="I549" s="7" t="s">
        <v>33</v>
      </c>
      <c r="J549" s="7" t="s">
        <v>10</v>
      </c>
      <c r="K549" s="7" t="s">
        <v>33</v>
      </c>
      <c r="L549" s="7" t="s">
        <v>40</v>
      </c>
      <c r="M549" s="7" t="s">
        <v>33</v>
      </c>
      <c r="N549" s="7" t="s">
        <v>33</v>
      </c>
      <c r="O549" s="7" t="s">
        <v>33</v>
      </c>
      <c r="P549" s="11" t="str">
        <f t="shared" si="16"/>
        <v>平</v>
      </c>
      <c r="Q549" s="11" t="str">
        <f t="shared" si="17"/>
        <v>胜</v>
      </c>
    </row>
    <row r="550" spans="4:17" x14ac:dyDescent="0.15">
      <c r="D550" s="7" t="s">
        <v>6</v>
      </c>
      <c r="E550" s="7" t="s">
        <v>1028</v>
      </c>
      <c r="F550" s="7" t="s">
        <v>1028</v>
      </c>
      <c r="G550" s="7" t="s">
        <v>1029</v>
      </c>
      <c r="H550" s="7" t="s">
        <v>46</v>
      </c>
      <c r="I550" s="7" t="s">
        <v>10</v>
      </c>
      <c r="J550" s="7" t="s">
        <v>10</v>
      </c>
      <c r="K550" s="7" t="s">
        <v>33</v>
      </c>
      <c r="L550" s="7" t="s">
        <v>37</v>
      </c>
      <c r="M550" s="7" t="s">
        <v>33</v>
      </c>
      <c r="N550" s="7" t="s">
        <v>10</v>
      </c>
      <c r="O550" s="7" t="s">
        <v>33</v>
      </c>
      <c r="P550" s="11" t="str">
        <f t="shared" si="16"/>
        <v>胜</v>
      </c>
      <c r="Q550" s="11" t="str">
        <f t="shared" si="17"/>
        <v>平</v>
      </c>
    </row>
    <row r="551" spans="4:17" x14ac:dyDescent="0.15">
      <c r="D551" s="7" t="s">
        <v>6</v>
      </c>
      <c r="E551" s="7" t="s">
        <v>1030</v>
      </c>
      <c r="F551" s="7" t="s">
        <v>1030</v>
      </c>
      <c r="G551" s="7" t="s">
        <v>1031</v>
      </c>
      <c r="H551" s="7" t="s">
        <v>36</v>
      </c>
      <c r="I551" s="7" t="s">
        <v>33</v>
      </c>
      <c r="J551" s="7" t="s">
        <v>10</v>
      </c>
      <c r="K551" s="7" t="s">
        <v>33</v>
      </c>
      <c r="L551" s="7" t="s">
        <v>35</v>
      </c>
      <c r="M551" s="7" t="s">
        <v>10</v>
      </c>
      <c r="N551" s="7" t="s">
        <v>10</v>
      </c>
      <c r="O551" s="7" t="s">
        <v>33</v>
      </c>
      <c r="P551" s="11" t="str">
        <f t="shared" si="16"/>
        <v>负</v>
      </c>
      <c r="Q551" s="11" t="str">
        <f t="shared" si="17"/>
        <v>平</v>
      </c>
    </row>
    <row r="552" spans="4:17" x14ac:dyDescent="0.15">
      <c r="D552" s="7" t="s">
        <v>6</v>
      </c>
      <c r="E552" s="7" t="s">
        <v>1032</v>
      </c>
      <c r="F552" s="7" t="s">
        <v>1032</v>
      </c>
      <c r="G552" s="7" t="s">
        <v>1031</v>
      </c>
      <c r="H552" s="7" t="s">
        <v>38</v>
      </c>
      <c r="I552" s="7" t="s">
        <v>10</v>
      </c>
      <c r="J552" s="7" t="s">
        <v>50</v>
      </c>
      <c r="K552" s="7" t="s">
        <v>33</v>
      </c>
      <c r="L552" s="7" t="s">
        <v>54</v>
      </c>
      <c r="M552" s="7" t="s">
        <v>33</v>
      </c>
      <c r="N552" s="7" t="s">
        <v>9</v>
      </c>
      <c r="O552" s="7" t="s">
        <v>33</v>
      </c>
      <c r="P552" s="11" t="str">
        <f t="shared" si="16"/>
        <v>胜</v>
      </c>
      <c r="Q552" s="11" t="str">
        <f t="shared" si="17"/>
        <v>胜</v>
      </c>
    </row>
    <row r="553" spans="4:17" x14ac:dyDescent="0.15">
      <c r="D553" s="7" t="s">
        <v>6</v>
      </c>
      <c r="E553" s="7" t="s">
        <v>1033</v>
      </c>
      <c r="F553" s="7" t="s">
        <v>1033</v>
      </c>
      <c r="G553" s="7" t="s">
        <v>1031</v>
      </c>
      <c r="H553" s="7" t="s">
        <v>42</v>
      </c>
      <c r="I553" s="7" t="s">
        <v>9</v>
      </c>
      <c r="J553" s="7" t="s">
        <v>39</v>
      </c>
      <c r="K553" s="7" t="s">
        <v>33</v>
      </c>
      <c r="L553" s="7" t="s">
        <v>43</v>
      </c>
      <c r="M553" s="7" t="s">
        <v>33</v>
      </c>
      <c r="N553" s="7" t="s">
        <v>33</v>
      </c>
      <c r="O553" s="7" t="s">
        <v>33</v>
      </c>
      <c r="P553" s="11" t="str">
        <f t="shared" si="16"/>
        <v>胜</v>
      </c>
      <c r="Q553" s="11" t="str">
        <f t="shared" si="17"/>
        <v>胜</v>
      </c>
    </row>
    <row r="554" spans="4:17" x14ac:dyDescent="0.15">
      <c r="D554" s="7" t="s">
        <v>6</v>
      </c>
      <c r="E554" s="7" t="s">
        <v>1034</v>
      </c>
      <c r="F554" s="7" t="s">
        <v>1034</v>
      </c>
      <c r="G554" s="7" t="s">
        <v>1035</v>
      </c>
      <c r="H554" s="7" t="s">
        <v>53</v>
      </c>
      <c r="I554" s="7" t="s">
        <v>10</v>
      </c>
      <c r="J554" s="7" t="s">
        <v>9</v>
      </c>
      <c r="K554" s="7" t="s">
        <v>33</v>
      </c>
      <c r="L554" s="7" t="s">
        <v>45</v>
      </c>
      <c r="M554" s="7" t="s">
        <v>33</v>
      </c>
      <c r="N554" s="7" t="s">
        <v>10</v>
      </c>
      <c r="O554" s="7" t="s">
        <v>33</v>
      </c>
      <c r="P554" s="11" t="str">
        <f t="shared" si="16"/>
        <v>胜</v>
      </c>
      <c r="Q554" s="11" t="str">
        <f t="shared" si="17"/>
        <v>胜</v>
      </c>
    </row>
    <row r="555" spans="4:17" x14ac:dyDescent="0.15">
      <c r="D555" s="7" t="s">
        <v>6</v>
      </c>
      <c r="E555" s="7" t="s">
        <v>1036</v>
      </c>
      <c r="F555" s="7" t="s">
        <v>1036</v>
      </c>
      <c r="G555" s="7" t="s">
        <v>1037</v>
      </c>
      <c r="H555" s="7" t="s">
        <v>43</v>
      </c>
      <c r="I555" s="7" t="s">
        <v>10</v>
      </c>
      <c r="J555" s="7" t="s">
        <v>9</v>
      </c>
      <c r="K555" s="7" t="s">
        <v>33</v>
      </c>
      <c r="L555" s="7" t="s">
        <v>41</v>
      </c>
      <c r="M555" s="7" t="s">
        <v>9</v>
      </c>
      <c r="N555" s="7" t="s">
        <v>9</v>
      </c>
      <c r="O555" s="7" t="s">
        <v>33</v>
      </c>
      <c r="P555" s="11" t="str">
        <f t="shared" si="16"/>
        <v>负</v>
      </c>
      <c r="Q555" s="11" t="str">
        <f t="shared" si="17"/>
        <v>平</v>
      </c>
    </row>
    <row r="556" spans="4:17" x14ac:dyDescent="0.15">
      <c r="D556" s="7" t="s">
        <v>6</v>
      </c>
      <c r="E556" s="7" t="s">
        <v>1038</v>
      </c>
      <c r="F556" s="7" t="s">
        <v>1038</v>
      </c>
      <c r="G556" s="7" t="s">
        <v>1039</v>
      </c>
      <c r="H556" s="7" t="s">
        <v>40</v>
      </c>
      <c r="I556" s="7" t="s">
        <v>33</v>
      </c>
      <c r="J556" s="7" t="s">
        <v>33</v>
      </c>
      <c r="K556" s="7" t="s">
        <v>33</v>
      </c>
      <c r="L556" s="7" t="s">
        <v>38</v>
      </c>
      <c r="M556" s="7" t="s">
        <v>10</v>
      </c>
      <c r="N556" s="7" t="s">
        <v>9</v>
      </c>
      <c r="O556" s="7" t="s">
        <v>33</v>
      </c>
      <c r="P556" s="11" t="str">
        <f t="shared" si="16"/>
        <v>负</v>
      </c>
      <c r="Q556" s="11" t="str">
        <f t="shared" si="17"/>
        <v>负</v>
      </c>
    </row>
    <row r="557" spans="4:17" x14ac:dyDescent="0.15">
      <c r="D557" s="7" t="s">
        <v>6</v>
      </c>
      <c r="E557" s="7" t="s">
        <v>1040</v>
      </c>
      <c r="F557" s="7" t="s">
        <v>1040</v>
      </c>
      <c r="G557" s="7" t="s">
        <v>1041</v>
      </c>
      <c r="H557" s="7" t="s">
        <v>48</v>
      </c>
      <c r="I557" s="7" t="s">
        <v>9</v>
      </c>
      <c r="J557" s="7" t="s">
        <v>39</v>
      </c>
      <c r="K557" s="7" t="s">
        <v>33</v>
      </c>
      <c r="L557" s="7" t="s">
        <v>46</v>
      </c>
      <c r="M557" s="7" t="s">
        <v>9</v>
      </c>
      <c r="N557" s="7" t="s">
        <v>9</v>
      </c>
      <c r="O557" s="7" t="s">
        <v>33</v>
      </c>
      <c r="P557" s="11" t="str">
        <f t="shared" si="16"/>
        <v>平</v>
      </c>
      <c r="Q557" s="11" t="str">
        <f t="shared" si="17"/>
        <v>胜</v>
      </c>
    </row>
    <row r="558" spans="4:17" x14ac:dyDescent="0.15">
      <c r="D558" s="7" t="s">
        <v>6</v>
      </c>
      <c r="E558" s="7" t="s">
        <v>1042</v>
      </c>
      <c r="F558" s="7" t="s">
        <v>1042</v>
      </c>
      <c r="G558" s="7" t="s">
        <v>1043</v>
      </c>
      <c r="H558" s="7" t="s">
        <v>35</v>
      </c>
      <c r="I558" s="7" t="s">
        <v>33</v>
      </c>
      <c r="J558" s="7" t="s">
        <v>10</v>
      </c>
      <c r="K558" s="7" t="s">
        <v>33</v>
      </c>
      <c r="L558" s="7" t="s">
        <v>42</v>
      </c>
      <c r="M558" s="7" t="s">
        <v>33</v>
      </c>
      <c r="N558" s="7" t="s">
        <v>10</v>
      </c>
      <c r="O558" s="7" t="s">
        <v>33</v>
      </c>
      <c r="P558" s="11" t="str">
        <f t="shared" si="16"/>
        <v>平</v>
      </c>
      <c r="Q558" s="11" t="str">
        <f t="shared" si="17"/>
        <v>平</v>
      </c>
    </row>
    <row r="559" spans="4:17" x14ac:dyDescent="0.15">
      <c r="D559" s="7" t="s">
        <v>6</v>
      </c>
      <c r="E559" s="7" t="s">
        <v>1044</v>
      </c>
      <c r="F559" s="7" t="s">
        <v>1044</v>
      </c>
      <c r="G559" s="7" t="s">
        <v>1045</v>
      </c>
      <c r="H559" s="7" t="s">
        <v>32</v>
      </c>
      <c r="I559" s="11" t="s">
        <v>33</v>
      </c>
      <c r="J559" s="7" t="s">
        <v>9</v>
      </c>
      <c r="K559" s="7" t="s">
        <v>33</v>
      </c>
      <c r="L559" s="7" t="s">
        <v>36</v>
      </c>
      <c r="M559" s="7" t="s">
        <v>33</v>
      </c>
      <c r="N559" s="7" t="s">
        <v>33</v>
      </c>
      <c r="O559" s="7" t="s">
        <v>33</v>
      </c>
      <c r="P559" s="11" t="str">
        <f t="shared" si="16"/>
        <v>平</v>
      </c>
      <c r="Q559" s="11" t="str">
        <f t="shared" si="17"/>
        <v>胜</v>
      </c>
    </row>
    <row r="560" spans="4:17" x14ac:dyDescent="0.15">
      <c r="D560" s="7" t="s">
        <v>6</v>
      </c>
      <c r="E560" s="7" t="s">
        <v>1046</v>
      </c>
      <c r="F560" s="7" t="s">
        <v>1046</v>
      </c>
      <c r="G560" s="7" t="s">
        <v>1047</v>
      </c>
      <c r="H560" s="7" t="s">
        <v>37</v>
      </c>
      <c r="I560" s="7" t="s">
        <v>10</v>
      </c>
      <c r="J560" s="7" t="s">
        <v>39</v>
      </c>
      <c r="K560" s="7" t="s">
        <v>33</v>
      </c>
      <c r="L560" s="7" t="s">
        <v>53</v>
      </c>
      <c r="M560" s="7" t="s">
        <v>33</v>
      </c>
      <c r="N560" s="7" t="s">
        <v>10</v>
      </c>
      <c r="O560" s="7" t="s">
        <v>33</v>
      </c>
      <c r="P560" s="11" t="str">
        <f t="shared" si="16"/>
        <v>胜</v>
      </c>
      <c r="Q560" s="11" t="str">
        <f t="shared" si="17"/>
        <v>胜</v>
      </c>
    </row>
    <row r="561" spans="4:17" x14ac:dyDescent="0.15">
      <c r="D561" s="7" t="s">
        <v>6</v>
      </c>
      <c r="E561" s="7" t="s">
        <v>1048</v>
      </c>
      <c r="F561" s="7" t="s">
        <v>1048</v>
      </c>
      <c r="G561" s="7" t="s">
        <v>1047</v>
      </c>
      <c r="H561" s="7" t="s">
        <v>45</v>
      </c>
      <c r="I561" s="7" t="s">
        <v>10</v>
      </c>
      <c r="J561" s="7" t="s">
        <v>9</v>
      </c>
      <c r="K561" s="7" t="s">
        <v>33</v>
      </c>
      <c r="L561" s="7" t="s">
        <v>44</v>
      </c>
      <c r="M561" s="7" t="s">
        <v>10</v>
      </c>
      <c r="N561" s="7" t="s">
        <v>9</v>
      </c>
      <c r="O561" s="7" t="s">
        <v>33</v>
      </c>
      <c r="P561" s="11" t="str">
        <f t="shared" si="16"/>
        <v>平</v>
      </c>
      <c r="Q561" s="11" t="str">
        <f t="shared" si="17"/>
        <v>平</v>
      </c>
    </row>
    <row r="562" spans="4:17" x14ac:dyDescent="0.15">
      <c r="D562" s="7" t="s">
        <v>6</v>
      </c>
      <c r="E562" s="7" t="s">
        <v>1049</v>
      </c>
      <c r="F562" s="7" t="s">
        <v>1049</v>
      </c>
      <c r="G562" s="7" t="s">
        <v>1050</v>
      </c>
      <c r="H562" s="7" t="s">
        <v>54</v>
      </c>
      <c r="I562" s="7" t="s">
        <v>33</v>
      </c>
      <c r="J562" s="7" t="s">
        <v>10</v>
      </c>
      <c r="K562" s="7" t="s">
        <v>33</v>
      </c>
      <c r="L562" s="7" t="s">
        <v>49</v>
      </c>
      <c r="M562" s="7" t="s">
        <v>10</v>
      </c>
      <c r="N562" s="7" t="s">
        <v>9</v>
      </c>
      <c r="O562" s="7" t="s">
        <v>33</v>
      </c>
      <c r="P562" s="11" t="str">
        <f t="shared" si="16"/>
        <v>负</v>
      </c>
      <c r="Q562" s="11" t="str">
        <f t="shared" si="17"/>
        <v>负</v>
      </c>
    </row>
    <row r="563" spans="4:17" x14ac:dyDescent="0.15">
      <c r="D563" s="7" t="s">
        <v>6</v>
      </c>
      <c r="E563" s="7" t="s">
        <v>1051</v>
      </c>
      <c r="F563" s="7" t="s">
        <v>1051</v>
      </c>
      <c r="G563" s="7" t="s">
        <v>1052</v>
      </c>
      <c r="H563" s="7" t="s">
        <v>36</v>
      </c>
      <c r="I563" s="7" t="s">
        <v>10</v>
      </c>
      <c r="J563" s="7" t="s">
        <v>10</v>
      </c>
      <c r="K563" s="7" t="s">
        <v>33</v>
      </c>
      <c r="L563" s="7" t="s">
        <v>43</v>
      </c>
      <c r="M563" s="7" t="s">
        <v>33</v>
      </c>
      <c r="N563" s="7" t="s">
        <v>50</v>
      </c>
      <c r="O563" s="7" t="s">
        <v>33</v>
      </c>
      <c r="P563" s="11" t="str">
        <f t="shared" si="16"/>
        <v>胜</v>
      </c>
      <c r="Q563" s="11" t="str">
        <f t="shared" si="17"/>
        <v>负</v>
      </c>
    </row>
    <row r="564" spans="4:17" x14ac:dyDescent="0.15">
      <c r="D564" s="7" t="s">
        <v>6</v>
      </c>
      <c r="E564" s="7" t="s">
        <v>1053</v>
      </c>
      <c r="F564" s="7" t="s">
        <v>1053</v>
      </c>
      <c r="G564" s="7" t="s">
        <v>1054</v>
      </c>
      <c r="H564" s="7" t="s">
        <v>49</v>
      </c>
      <c r="I564" s="7" t="s">
        <v>33</v>
      </c>
      <c r="J564" s="7" t="s">
        <v>10</v>
      </c>
      <c r="K564" s="7" t="s">
        <v>33</v>
      </c>
      <c r="L564" s="7" t="s">
        <v>40</v>
      </c>
      <c r="M564" s="7" t="s">
        <v>33</v>
      </c>
      <c r="N564" s="7" t="s">
        <v>10</v>
      </c>
      <c r="O564" s="7" t="s">
        <v>33</v>
      </c>
      <c r="P564" s="11" t="str">
        <f t="shared" si="16"/>
        <v>平</v>
      </c>
      <c r="Q564" s="11" t="str">
        <f t="shared" si="17"/>
        <v>平</v>
      </c>
    </row>
    <row r="565" spans="4:17" x14ac:dyDescent="0.15">
      <c r="D565" s="7" t="s">
        <v>6</v>
      </c>
      <c r="E565" s="7" t="s">
        <v>1055</v>
      </c>
      <c r="F565" s="7" t="s">
        <v>1055</v>
      </c>
      <c r="G565" s="7" t="s">
        <v>1056</v>
      </c>
      <c r="H565" s="7" t="s">
        <v>46</v>
      </c>
      <c r="I565" s="7" t="s">
        <v>33</v>
      </c>
      <c r="J565" s="7" t="s">
        <v>33</v>
      </c>
      <c r="K565" s="7" t="s">
        <v>33</v>
      </c>
      <c r="L565" s="7" t="s">
        <v>45</v>
      </c>
      <c r="M565" s="7" t="s">
        <v>33</v>
      </c>
      <c r="N565" s="7" t="s">
        <v>33</v>
      </c>
      <c r="O565" s="7" t="s">
        <v>33</v>
      </c>
      <c r="P565" s="11" t="str">
        <f t="shared" si="16"/>
        <v>平</v>
      </c>
      <c r="Q565" s="11" t="str">
        <f t="shared" si="17"/>
        <v>平</v>
      </c>
    </row>
    <row r="566" spans="4:17" x14ac:dyDescent="0.15">
      <c r="D566" s="7" t="s">
        <v>6</v>
      </c>
      <c r="E566" s="7" t="s">
        <v>1057</v>
      </c>
      <c r="F566" s="7" t="s">
        <v>1057</v>
      </c>
      <c r="G566" s="7" t="s">
        <v>1058</v>
      </c>
      <c r="H566" s="7" t="s">
        <v>53</v>
      </c>
      <c r="I566" s="7" t="s">
        <v>9</v>
      </c>
      <c r="J566" s="7" t="s">
        <v>9</v>
      </c>
      <c r="K566" s="7" t="s">
        <v>33</v>
      </c>
      <c r="L566" s="7" t="s">
        <v>35</v>
      </c>
      <c r="M566" s="7" t="s">
        <v>33</v>
      </c>
      <c r="N566" s="7" t="s">
        <v>33</v>
      </c>
      <c r="O566" s="7" t="s">
        <v>33</v>
      </c>
      <c r="P566" s="11" t="str">
        <f t="shared" si="16"/>
        <v>胜</v>
      </c>
      <c r="Q566" s="11" t="str">
        <f t="shared" si="17"/>
        <v>胜</v>
      </c>
    </row>
    <row r="567" spans="4:17" x14ac:dyDescent="0.15">
      <c r="D567" s="7" t="s">
        <v>6</v>
      </c>
      <c r="E567" s="7" t="s">
        <v>1059</v>
      </c>
      <c r="F567" s="7" t="s">
        <v>1059</v>
      </c>
      <c r="G567" s="7" t="s">
        <v>1060</v>
      </c>
      <c r="H567" s="7" t="s">
        <v>44</v>
      </c>
      <c r="I567" s="7" t="s">
        <v>10</v>
      </c>
      <c r="J567" s="7" t="s">
        <v>9</v>
      </c>
      <c r="K567" s="7" t="s">
        <v>33</v>
      </c>
      <c r="L567" s="7" t="s">
        <v>54</v>
      </c>
      <c r="M567" s="7" t="s">
        <v>10</v>
      </c>
      <c r="N567" s="7" t="s">
        <v>50</v>
      </c>
      <c r="O567" s="7" t="s">
        <v>33</v>
      </c>
      <c r="P567" s="11" t="str">
        <f t="shared" si="16"/>
        <v>平</v>
      </c>
      <c r="Q567" s="11" t="str">
        <f t="shared" si="17"/>
        <v>负</v>
      </c>
    </row>
    <row r="568" spans="4:17" x14ac:dyDescent="0.15">
      <c r="D568" s="7" t="s">
        <v>6</v>
      </c>
      <c r="E568" s="7" t="s">
        <v>1061</v>
      </c>
      <c r="F568" s="7" t="s">
        <v>1061</v>
      </c>
      <c r="G568" s="7" t="s">
        <v>1060</v>
      </c>
      <c r="H568" s="7" t="s">
        <v>41</v>
      </c>
      <c r="I568" s="7" t="s">
        <v>10</v>
      </c>
      <c r="J568" s="7" t="s">
        <v>10</v>
      </c>
      <c r="K568" s="7" t="s">
        <v>33</v>
      </c>
      <c r="L568" s="7" t="s">
        <v>32</v>
      </c>
      <c r="M568" s="7" t="s">
        <v>10</v>
      </c>
      <c r="N568" s="7" t="s">
        <v>9</v>
      </c>
      <c r="O568" s="7" t="s">
        <v>33</v>
      </c>
      <c r="P568" s="11" t="str">
        <f t="shared" si="16"/>
        <v>平</v>
      </c>
      <c r="Q568" s="11" t="str">
        <f t="shared" si="17"/>
        <v>负</v>
      </c>
    </row>
    <row r="569" spans="4:17" x14ac:dyDescent="0.15">
      <c r="D569" s="7" t="s">
        <v>6</v>
      </c>
      <c r="E569" s="7" t="s">
        <v>1062</v>
      </c>
      <c r="F569" s="7" t="s">
        <v>1062</v>
      </c>
      <c r="G569" s="7" t="s">
        <v>1063</v>
      </c>
      <c r="H569" s="7" t="s">
        <v>42</v>
      </c>
      <c r="I569" s="7" t="s">
        <v>33</v>
      </c>
      <c r="J569" s="7" t="s">
        <v>33</v>
      </c>
      <c r="K569" s="7" t="s">
        <v>33</v>
      </c>
      <c r="L569" s="7" t="s">
        <v>37</v>
      </c>
      <c r="M569" s="7" t="s">
        <v>33</v>
      </c>
      <c r="N569" s="7" t="s">
        <v>9</v>
      </c>
      <c r="O569" s="7" t="s">
        <v>33</v>
      </c>
      <c r="P569" s="11" t="str">
        <f t="shared" si="16"/>
        <v>平</v>
      </c>
      <c r="Q569" s="11" t="str">
        <f t="shared" si="17"/>
        <v>负</v>
      </c>
    </row>
    <row r="570" spans="4:17" x14ac:dyDescent="0.15">
      <c r="D570" s="7" t="s">
        <v>6</v>
      </c>
      <c r="E570" s="7" t="s">
        <v>1064</v>
      </c>
      <c r="F570" s="7" t="s">
        <v>1064</v>
      </c>
      <c r="G570" s="7" t="s">
        <v>1065</v>
      </c>
      <c r="H570" s="7" t="s">
        <v>38</v>
      </c>
      <c r="I570" s="7" t="s">
        <v>33</v>
      </c>
      <c r="J570" s="7" t="s">
        <v>33</v>
      </c>
      <c r="K570" s="7" t="s">
        <v>33</v>
      </c>
      <c r="L570" s="7" t="s">
        <v>48</v>
      </c>
      <c r="M570" s="7" t="s">
        <v>33</v>
      </c>
      <c r="N570" s="7" t="s">
        <v>33</v>
      </c>
      <c r="O570" s="7" t="s">
        <v>33</v>
      </c>
      <c r="P570" s="11" t="str">
        <f t="shared" si="16"/>
        <v>平</v>
      </c>
      <c r="Q570" s="11" t="str">
        <f t="shared" si="17"/>
        <v>平</v>
      </c>
    </row>
    <row r="571" spans="4:17" x14ac:dyDescent="0.15">
      <c r="D571" s="7" t="s">
        <v>6</v>
      </c>
      <c r="E571" s="7" t="s">
        <v>1066</v>
      </c>
      <c r="F571" s="7" t="s">
        <v>1066</v>
      </c>
      <c r="G571" s="7" t="s">
        <v>1067</v>
      </c>
      <c r="H571" s="7" t="s">
        <v>48</v>
      </c>
      <c r="I571" s="7" t="s">
        <v>10</v>
      </c>
      <c r="J571" s="7" t="s">
        <v>10</v>
      </c>
      <c r="K571" s="7" t="s">
        <v>33</v>
      </c>
      <c r="L571" s="7" t="s">
        <v>49</v>
      </c>
      <c r="M571" s="7" t="s">
        <v>33</v>
      </c>
      <c r="N571" s="7" t="s">
        <v>10</v>
      </c>
      <c r="O571" s="7" t="s">
        <v>33</v>
      </c>
      <c r="P571" s="11" t="str">
        <f t="shared" si="16"/>
        <v>胜</v>
      </c>
      <c r="Q571" s="11" t="str">
        <f t="shared" si="17"/>
        <v>平</v>
      </c>
    </row>
    <row r="572" spans="4:17" x14ac:dyDescent="0.15">
      <c r="D572" s="7" t="s">
        <v>6</v>
      </c>
      <c r="E572" s="7" t="s">
        <v>1068</v>
      </c>
      <c r="F572" s="7" t="s">
        <v>1068</v>
      </c>
      <c r="G572" s="7" t="s">
        <v>1069</v>
      </c>
      <c r="H572" s="7" t="s">
        <v>53</v>
      </c>
      <c r="I572" s="7" t="s">
        <v>10</v>
      </c>
      <c r="J572" s="7" t="s">
        <v>9</v>
      </c>
      <c r="K572" s="7" t="s">
        <v>33</v>
      </c>
      <c r="L572" s="7" t="s">
        <v>44</v>
      </c>
      <c r="M572" s="7" t="s">
        <v>33</v>
      </c>
      <c r="N572" s="7" t="s">
        <v>10</v>
      </c>
      <c r="O572" s="7" t="s">
        <v>33</v>
      </c>
      <c r="P572" s="11" t="str">
        <f t="shared" si="16"/>
        <v>胜</v>
      </c>
      <c r="Q572" s="11" t="str">
        <f t="shared" si="17"/>
        <v>胜</v>
      </c>
    </row>
    <row r="573" spans="4:17" x14ac:dyDescent="0.15">
      <c r="D573" s="7" t="s">
        <v>6</v>
      </c>
      <c r="E573" s="7" t="s">
        <v>1070</v>
      </c>
      <c r="F573" s="7" t="s">
        <v>1070</v>
      </c>
      <c r="G573" s="7" t="s">
        <v>1071</v>
      </c>
      <c r="H573" s="7" t="s">
        <v>45</v>
      </c>
      <c r="I573" s="7" t="s">
        <v>10</v>
      </c>
      <c r="J573" s="7" t="s">
        <v>10</v>
      </c>
      <c r="K573" s="7" t="s">
        <v>33</v>
      </c>
      <c r="L573" s="7" t="s">
        <v>38</v>
      </c>
      <c r="M573" s="7" t="s">
        <v>33</v>
      </c>
      <c r="N573" s="7" t="s">
        <v>33</v>
      </c>
      <c r="O573" s="7" t="s">
        <v>33</v>
      </c>
      <c r="P573" s="11" t="str">
        <f t="shared" si="16"/>
        <v>胜</v>
      </c>
      <c r="Q573" s="11" t="str">
        <f t="shared" si="17"/>
        <v>胜</v>
      </c>
    </row>
    <row r="574" spans="4:17" x14ac:dyDescent="0.15">
      <c r="D574" s="7" t="s">
        <v>6</v>
      </c>
      <c r="E574" s="7" t="s">
        <v>1072</v>
      </c>
      <c r="F574" s="7" t="s">
        <v>1072</v>
      </c>
      <c r="G574" s="7" t="s">
        <v>1073</v>
      </c>
      <c r="H574" s="7" t="s">
        <v>35</v>
      </c>
      <c r="I574" s="7" t="s">
        <v>10</v>
      </c>
      <c r="J574" s="7" t="s">
        <v>39</v>
      </c>
      <c r="K574" s="7" t="s">
        <v>33</v>
      </c>
      <c r="L574" s="7" t="s">
        <v>41</v>
      </c>
      <c r="M574" s="7" t="s">
        <v>33</v>
      </c>
      <c r="N574" s="7" t="s">
        <v>33</v>
      </c>
      <c r="O574" s="7" t="s">
        <v>33</v>
      </c>
      <c r="P574" s="11" t="str">
        <f t="shared" si="16"/>
        <v>胜</v>
      </c>
      <c r="Q574" s="11" t="str">
        <f t="shared" si="17"/>
        <v>胜</v>
      </c>
    </row>
    <row r="575" spans="4:17" x14ac:dyDescent="0.15">
      <c r="D575" s="7" t="s">
        <v>6</v>
      </c>
      <c r="E575" s="7" t="s">
        <v>1074</v>
      </c>
      <c r="F575" s="7" t="s">
        <v>1074</v>
      </c>
      <c r="G575" s="7" t="s">
        <v>1075</v>
      </c>
      <c r="H575" s="7" t="s">
        <v>43</v>
      </c>
      <c r="I575" s="7" t="s">
        <v>10</v>
      </c>
      <c r="J575" s="7" t="s">
        <v>50</v>
      </c>
      <c r="K575" s="7" t="s">
        <v>33</v>
      </c>
      <c r="L575" s="7" t="s">
        <v>40</v>
      </c>
      <c r="M575" s="7" t="s">
        <v>10</v>
      </c>
      <c r="N575" s="7" t="s">
        <v>9</v>
      </c>
      <c r="O575" s="7" t="s">
        <v>33</v>
      </c>
      <c r="P575" s="11" t="str">
        <f t="shared" si="16"/>
        <v>平</v>
      </c>
      <c r="Q575" s="11" t="str">
        <f t="shared" si="17"/>
        <v>胜</v>
      </c>
    </row>
    <row r="576" spans="4:17" x14ac:dyDescent="0.15">
      <c r="D576" s="7" t="s">
        <v>6</v>
      </c>
      <c r="E576" s="7" t="s">
        <v>1076</v>
      </c>
      <c r="F576" s="7" t="s">
        <v>1076</v>
      </c>
      <c r="G576" s="7" t="s">
        <v>1077</v>
      </c>
      <c r="H576" s="7" t="s">
        <v>32</v>
      </c>
      <c r="I576" s="11">
        <v>1</v>
      </c>
      <c r="J576" s="7" t="s">
        <v>10</v>
      </c>
      <c r="K576" s="7" t="s">
        <v>33</v>
      </c>
      <c r="L576" s="7" t="s">
        <v>46</v>
      </c>
      <c r="M576" s="7" t="s">
        <v>10</v>
      </c>
      <c r="N576" s="7" t="s">
        <v>39</v>
      </c>
      <c r="O576" s="7" t="s">
        <v>33</v>
      </c>
      <c r="P576" s="11" t="str">
        <f t="shared" si="16"/>
        <v>负</v>
      </c>
      <c r="Q576" s="11" t="str">
        <f t="shared" si="17"/>
        <v>负</v>
      </c>
    </row>
    <row r="577" spans="4:17" x14ac:dyDescent="0.15">
      <c r="D577" s="7" t="s">
        <v>6</v>
      </c>
      <c r="E577" s="7" t="s">
        <v>1078</v>
      </c>
      <c r="F577" s="7" t="s">
        <v>1078</v>
      </c>
      <c r="G577" s="7" t="s">
        <v>1075</v>
      </c>
      <c r="H577" s="7" t="s">
        <v>54</v>
      </c>
      <c r="I577" s="7" t="s">
        <v>33</v>
      </c>
      <c r="J577" s="7" t="s">
        <v>33</v>
      </c>
      <c r="K577" s="7" t="s">
        <v>33</v>
      </c>
      <c r="L577" s="7" t="s">
        <v>42</v>
      </c>
      <c r="M577" s="7" t="s">
        <v>33</v>
      </c>
      <c r="N577" s="7" t="s">
        <v>10</v>
      </c>
      <c r="O577" s="7" t="s">
        <v>33</v>
      </c>
      <c r="P577" s="11" t="str">
        <f t="shared" si="16"/>
        <v>平</v>
      </c>
      <c r="Q577" s="11" t="str">
        <f t="shared" si="17"/>
        <v>负</v>
      </c>
    </row>
    <row r="578" spans="4:17" x14ac:dyDescent="0.15">
      <c r="D578" s="7" t="s">
        <v>6</v>
      </c>
      <c r="E578" s="7" t="s">
        <v>1079</v>
      </c>
      <c r="F578" s="7" t="s">
        <v>1079</v>
      </c>
      <c r="G578" s="7" t="s">
        <v>1080</v>
      </c>
      <c r="H578" s="7" t="s">
        <v>37</v>
      </c>
      <c r="I578" s="7" t="s">
        <v>33</v>
      </c>
      <c r="J578" s="7" t="s">
        <v>9</v>
      </c>
      <c r="K578" s="7" t="s">
        <v>33</v>
      </c>
      <c r="L578" s="7" t="s">
        <v>36</v>
      </c>
      <c r="M578" s="7" t="s">
        <v>33</v>
      </c>
      <c r="N578" s="7" t="s">
        <v>33</v>
      </c>
      <c r="O578" s="7" t="s">
        <v>33</v>
      </c>
      <c r="P578" s="11" t="str">
        <f t="shared" si="16"/>
        <v>平</v>
      </c>
      <c r="Q578" s="11" t="str">
        <f t="shared" si="17"/>
        <v>胜</v>
      </c>
    </row>
    <row r="579" spans="4:17" x14ac:dyDescent="0.15">
      <c r="D579" s="7" t="s">
        <v>6</v>
      </c>
      <c r="E579" s="7" t="s">
        <v>1081</v>
      </c>
      <c r="F579" s="7" t="s">
        <v>1081</v>
      </c>
      <c r="G579" s="7" t="s">
        <v>1082</v>
      </c>
      <c r="H579" s="7" t="s">
        <v>41</v>
      </c>
      <c r="I579" s="7" t="s">
        <v>10</v>
      </c>
      <c r="J579" s="7" t="s">
        <v>10</v>
      </c>
      <c r="K579" s="7" t="s">
        <v>33</v>
      </c>
      <c r="L579" s="7" t="s">
        <v>45</v>
      </c>
      <c r="M579" s="7" t="s">
        <v>33</v>
      </c>
      <c r="N579" s="7" t="s">
        <v>33</v>
      </c>
      <c r="O579" s="7" t="s">
        <v>33</v>
      </c>
      <c r="P579" s="11" t="str">
        <f t="shared" si="16"/>
        <v>胜</v>
      </c>
      <c r="Q579" s="11" t="str">
        <f t="shared" si="17"/>
        <v>胜</v>
      </c>
    </row>
    <row r="580" spans="4:17" x14ac:dyDescent="0.15">
      <c r="D580" s="7" t="s">
        <v>6</v>
      </c>
      <c r="E580" s="7" t="s">
        <v>1083</v>
      </c>
      <c r="F580" s="7" t="s">
        <v>1083</v>
      </c>
      <c r="G580" s="7" t="s">
        <v>1084</v>
      </c>
      <c r="H580" s="7" t="s">
        <v>38</v>
      </c>
      <c r="I580" s="7" t="s">
        <v>10</v>
      </c>
      <c r="J580" s="7" t="s">
        <v>10</v>
      </c>
      <c r="K580" s="7" t="s">
        <v>33</v>
      </c>
      <c r="L580" s="7" t="s">
        <v>37</v>
      </c>
      <c r="M580" s="7" t="s">
        <v>33</v>
      </c>
      <c r="N580" s="7" t="s">
        <v>39</v>
      </c>
      <c r="O580" s="7" t="s">
        <v>33</v>
      </c>
      <c r="P580" s="11" t="str">
        <f t="shared" si="16"/>
        <v>胜</v>
      </c>
      <c r="Q580" s="11" t="str">
        <f t="shared" si="17"/>
        <v>负</v>
      </c>
    </row>
    <row r="581" spans="4:17" x14ac:dyDescent="0.15">
      <c r="D581" s="7" t="s">
        <v>6</v>
      </c>
      <c r="E581" s="7" t="s">
        <v>1085</v>
      </c>
      <c r="F581" s="7" t="s">
        <v>1085</v>
      </c>
      <c r="G581" s="7" t="s">
        <v>1086</v>
      </c>
      <c r="H581" s="7" t="s">
        <v>44</v>
      </c>
      <c r="I581" s="7" t="s">
        <v>33</v>
      </c>
      <c r="J581" s="7" t="s">
        <v>10</v>
      </c>
      <c r="K581" s="7" t="s">
        <v>33</v>
      </c>
      <c r="L581" s="7" t="s">
        <v>35</v>
      </c>
      <c r="M581" s="7" t="s">
        <v>33</v>
      </c>
      <c r="N581" s="7" t="s">
        <v>9</v>
      </c>
      <c r="O581" s="7" t="s">
        <v>33</v>
      </c>
      <c r="P581" s="11" t="str">
        <f t="shared" si="16"/>
        <v>平</v>
      </c>
      <c r="Q581" s="11" t="str">
        <f t="shared" si="17"/>
        <v>负</v>
      </c>
    </row>
    <row r="582" spans="4:17" x14ac:dyDescent="0.15">
      <c r="D582" s="7" t="s">
        <v>6</v>
      </c>
      <c r="E582" s="7" t="s">
        <v>1087</v>
      </c>
      <c r="F582" s="7" t="s">
        <v>1087</v>
      </c>
      <c r="G582" s="7" t="s">
        <v>1088</v>
      </c>
      <c r="H582" s="7" t="s">
        <v>40</v>
      </c>
      <c r="I582" s="7" t="s">
        <v>10</v>
      </c>
      <c r="J582" s="7" t="s">
        <v>10</v>
      </c>
      <c r="K582" s="7" t="s">
        <v>33</v>
      </c>
      <c r="L582" s="7" t="s">
        <v>54</v>
      </c>
      <c r="M582" s="7" t="s">
        <v>10</v>
      </c>
      <c r="N582" s="7" t="s">
        <v>10</v>
      </c>
      <c r="O582" s="7" t="s">
        <v>33</v>
      </c>
      <c r="P582" s="11" t="str">
        <f t="shared" si="16"/>
        <v>平</v>
      </c>
      <c r="Q582" s="11" t="str">
        <f t="shared" si="17"/>
        <v>平</v>
      </c>
    </row>
    <row r="583" spans="4:17" x14ac:dyDescent="0.15">
      <c r="D583" s="7" t="s">
        <v>6</v>
      </c>
      <c r="E583" s="7" t="s">
        <v>1089</v>
      </c>
      <c r="F583" s="7" t="s">
        <v>1089</v>
      </c>
      <c r="G583" s="7" t="s">
        <v>1088</v>
      </c>
      <c r="H583" s="7" t="s">
        <v>36</v>
      </c>
      <c r="I583" s="7" t="s">
        <v>33</v>
      </c>
      <c r="J583" s="7" t="s">
        <v>10</v>
      </c>
      <c r="K583" s="7" t="s">
        <v>33</v>
      </c>
      <c r="L583" s="7" t="s">
        <v>48</v>
      </c>
      <c r="M583" s="7" t="s">
        <v>33</v>
      </c>
      <c r="N583" s="7" t="s">
        <v>33</v>
      </c>
      <c r="O583" s="7" t="s">
        <v>33</v>
      </c>
      <c r="P583" s="11" t="str">
        <f t="shared" si="16"/>
        <v>平</v>
      </c>
      <c r="Q583" s="11" t="str">
        <f t="shared" si="17"/>
        <v>胜</v>
      </c>
    </row>
    <row r="584" spans="4:17" x14ac:dyDescent="0.15">
      <c r="D584" s="7" t="s">
        <v>6</v>
      </c>
      <c r="E584" s="7" t="s">
        <v>1090</v>
      </c>
      <c r="F584" s="7" t="s">
        <v>1090</v>
      </c>
      <c r="G584" s="7" t="s">
        <v>1091</v>
      </c>
      <c r="H584" s="7" t="s">
        <v>49</v>
      </c>
      <c r="I584" s="7" t="s">
        <v>33</v>
      </c>
      <c r="J584" s="7" t="s">
        <v>33</v>
      </c>
      <c r="K584" s="7" t="s">
        <v>33</v>
      </c>
      <c r="L584" s="7" t="s">
        <v>43</v>
      </c>
      <c r="M584" s="7" t="s">
        <v>10</v>
      </c>
      <c r="N584" s="7" t="s">
        <v>10</v>
      </c>
      <c r="O584" s="7" t="s">
        <v>33</v>
      </c>
      <c r="P584" s="11" t="str">
        <f t="shared" si="16"/>
        <v>负</v>
      </c>
      <c r="Q584" s="11" t="str">
        <f t="shared" si="17"/>
        <v>负</v>
      </c>
    </row>
    <row r="585" spans="4:17" x14ac:dyDescent="0.15">
      <c r="D585" s="7" t="s">
        <v>6</v>
      </c>
      <c r="E585" s="7" t="s">
        <v>1092</v>
      </c>
      <c r="F585" s="7" t="s">
        <v>1092</v>
      </c>
      <c r="G585" s="7" t="s">
        <v>1093</v>
      </c>
      <c r="H585" s="7" t="s">
        <v>46</v>
      </c>
      <c r="I585" s="7" t="s">
        <v>10</v>
      </c>
      <c r="J585" s="7" t="s">
        <v>10</v>
      </c>
      <c r="K585" s="7" t="s">
        <v>33</v>
      </c>
      <c r="L585" s="7" t="s">
        <v>53</v>
      </c>
      <c r="M585" s="7" t="s">
        <v>33</v>
      </c>
      <c r="N585" s="7" t="s">
        <v>33</v>
      </c>
      <c r="O585" s="7" t="s">
        <v>33</v>
      </c>
      <c r="P585" s="11" t="str">
        <f t="shared" si="16"/>
        <v>胜</v>
      </c>
      <c r="Q585" s="11" t="str">
        <f t="shared" si="17"/>
        <v>胜</v>
      </c>
    </row>
    <row r="586" spans="4:17" x14ac:dyDescent="0.15">
      <c r="D586" s="7" t="s">
        <v>6</v>
      </c>
      <c r="E586" s="7" t="s">
        <v>1094</v>
      </c>
      <c r="F586" s="7" t="s">
        <v>1094</v>
      </c>
      <c r="G586" s="7" t="s">
        <v>1095</v>
      </c>
      <c r="H586" s="7" t="s">
        <v>42</v>
      </c>
      <c r="I586" s="7" t="s">
        <v>33</v>
      </c>
      <c r="J586" s="7" t="s">
        <v>10</v>
      </c>
      <c r="K586" s="7" t="s">
        <v>33</v>
      </c>
      <c r="L586" s="7" t="s">
        <v>32</v>
      </c>
      <c r="M586" s="7" t="s">
        <v>33</v>
      </c>
      <c r="N586" s="7" t="s">
        <v>33</v>
      </c>
      <c r="O586" s="7" t="s">
        <v>33</v>
      </c>
      <c r="P586" s="11" t="str">
        <f t="shared" si="16"/>
        <v>平</v>
      </c>
      <c r="Q586" s="11" t="str">
        <f t="shared" si="17"/>
        <v>胜</v>
      </c>
    </row>
    <row r="587" spans="4:17" x14ac:dyDescent="0.15">
      <c r="D587" s="7" t="s">
        <v>6</v>
      </c>
      <c r="E587" s="7" t="s">
        <v>1096</v>
      </c>
      <c r="F587" s="7" t="s">
        <v>1096</v>
      </c>
      <c r="G587" s="7" t="s">
        <v>1097</v>
      </c>
      <c r="H587" s="7" t="s">
        <v>32</v>
      </c>
      <c r="I587" s="11">
        <v>0</v>
      </c>
      <c r="J587" s="7" t="s">
        <v>50</v>
      </c>
      <c r="K587" s="7" t="s">
        <v>33</v>
      </c>
      <c r="L587" s="7" t="s">
        <v>40</v>
      </c>
      <c r="M587" s="7" t="s">
        <v>10</v>
      </c>
      <c r="N587" s="7" t="s">
        <v>9</v>
      </c>
      <c r="O587" s="7" t="s">
        <v>33</v>
      </c>
      <c r="P587" s="11" t="str">
        <f t="shared" si="16"/>
        <v>负</v>
      </c>
      <c r="Q587" s="11" t="str">
        <f t="shared" si="17"/>
        <v>胜</v>
      </c>
    </row>
    <row r="588" spans="4:17" x14ac:dyDescent="0.15">
      <c r="D588" s="7" t="s">
        <v>6</v>
      </c>
      <c r="E588" s="7" t="s">
        <v>1098</v>
      </c>
      <c r="F588" s="7" t="s">
        <v>1098</v>
      </c>
      <c r="G588" s="7" t="s">
        <v>1099</v>
      </c>
      <c r="H588" s="7" t="s">
        <v>42</v>
      </c>
      <c r="I588" s="7" t="s">
        <v>33</v>
      </c>
      <c r="J588" s="7" t="s">
        <v>10</v>
      </c>
      <c r="K588" s="7" t="s">
        <v>33</v>
      </c>
      <c r="L588" s="7" t="s">
        <v>44</v>
      </c>
      <c r="M588" s="7" t="s">
        <v>10</v>
      </c>
      <c r="N588" s="7" t="s">
        <v>9</v>
      </c>
      <c r="O588" s="7" t="s">
        <v>33</v>
      </c>
      <c r="P588" s="11" t="str">
        <f t="shared" si="16"/>
        <v>负</v>
      </c>
      <c r="Q588" s="11" t="str">
        <f t="shared" si="17"/>
        <v>负</v>
      </c>
    </row>
    <row r="589" spans="4:17" x14ac:dyDescent="0.15">
      <c r="D589" s="7" t="s">
        <v>6</v>
      </c>
      <c r="E589" s="7" t="s">
        <v>1100</v>
      </c>
      <c r="F589" s="7" t="s">
        <v>1100</v>
      </c>
      <c r="G589" s="7" t="s">
        <v>1101</v>
      </c>
      <c r="H589" s="7" t="s">
        <v>35</v>
      </c>
      <c r="I589" s="7" t="s">
        <v>33</v>
      </c>
      <c r="J589" s="7" t="s">
        <v>33</v>
      </c>
      <c r="K589" s="7" t="s">
        <v>33</v>
      </c>
      <c r="L589" s="7" t="s">
        <v>46</v>
      </c>
      <c r="M589" s="7" t="s">
        <v>33</v>
      </c>
      <c r="N589" s="7" t="s">
        <v>33</v>
      </c>
      <c r="O589" s="7" t="s">
        <v>33</v>
      </c>
      <c r="P589" s="11" t="str">
        <f t="shared" ref="P589:P652" si="18">IF(I589=M589,"平",IF(I589&gt;M589,"胜","负"))</f>
        <v>平</v>
      </c>
      <c r="Q589" s="11" t="str">
        <f t="shared" ref="Q589:Q652" si="19">IF(J589=N589,"平",IF(J589&gt;N589,"胜","负"))</f>
        <v>平</v>
      </c>
    </row>
    <row r="590" spans="4:17" x14ac:dyDescent="0.15">
      <c r="D590" s="7" t="s">
        <v>6</v>
      </c>
      <c r="E590" s="7" t="s">
        <v>1102</v>
      </c>
      <c r="F590" s="7" t="s">
        <v>1102</v>
      </c>
      <c r="G590" s="7" t="s">
        <v>1103</v>
      </c>
      <c r="H590" s="7" t="s">
        <v>48</v>
      </c>
      <c r="I590" s="7" t="s">
        <v>33</v>
      </c>
      <c r="J590" s="7" t="s">
        <v>10</v>
      </c>
      <c r="K590" s="7" t="s">
        <v>33</v>
      </c>
      <c r="L590" s="7" t="s">
        <v>41</v>
      </c>
      <c r="M590" s="7" t="s">
        <v>33</v>
      </c>
      <c r="N590" s="7" t="s">
        <v>10</v>
      </c>
      <c r="O590" s="7" t="s">
        <v>33</v>
      </c>
      <c r="P590" s="11" t="str">
        <f t="shared" si="18"/>
        <v>平</v>
      </c>
      <c r="Q590" s="11" t="str">
        <f t="shared" si="19"/>
        <v>平</v>
      </c>
    </row>
    <row r="591" spans="4:17" x14ac:dyDescent="0.15">
      <c r="D591" s="7" t="s">
        <v>6</v>
      </c>
      <c r="E591" s="7" t="s">
        <v>1104</v>
      </c>
      <c r="F591" s="7" t="s">
        <v>1104</v>
      </c>
      <c r="G591" s="7" t="s">
        <v>1105</v>
      </c>
      <c r="H591" s="7" t="s">
        <v>43</v>
      </c>
      <c r="I591" s="7" t="s">
        <v>33</v>
      </c>
      <c r="J591" s="7" t="s">
        <v>10</v>
      </c>
      <c r="K591" s="7" t="s">
        <v>33</v>
      </c>
      <c r="L591" s="7" t="s">
        <v>54</v>
      </c>
      <c r="M591" s="7" t="s">
        <v>33</v>
      </c>
      <c r="N591" s="7" t="s">
        <v>33</v>
      </c>
      <c r="O591" s="7" t="s">
        <v>33</v>
      </c>
      <c r="P591" s="11" t="str">
        <f t="shared" si="18"/>
        <v>平</v>
      </c>
      <c r="Q591" s="11" t="str">
        <f t="shared" si="19"/>
        <v>胜</v>
      </c>
    </row>
    <row r="592" spans="4:17" x14ac:dyDescent="0.15">
      <c r="D592" s="7" t="s">
        <v>6</v>
      </c>
      <c r="E592" s="7" t="s">
        <v>1106</v>
      </c>
      <c r="F592" s="7" t="s">
        <v>1106</v>
      </c>
      <c r="G592" s="7" t="s">
        <v>1107</v>
      </c>
      <c r="H592" s="7" t="s">
        <v>37</v>
      </c>
      <c r="I592" s="7" t="s">
        <v>39</v>
      </c>
      <c r="J592" s="7" t="s">
        <v>39</v>
      </c>
      <c r="K592" s="7" t="s">
        <v>33</v>
      </c>
      <c r="L592" s="7" t="s">
        <v>49</v>
      </c>
      <c r="M592" s="7" t="s">
        <v>10</v>
      </c>
      <c r="N592" s="7" t="s">
        <v>10</v>
      </c>
      <c r="O592" s="7" t="s">
        <v>33</v>
      </c>
      <c r="P592" s="11" t="str">
        <f t="shared" si="18"/>
        <v>胜</v>
      </c>
      <c r="Q592" s="11" t="str">
        <f t="shared" si="19"/>
        <v>胜</v>
      </c>
    </row>
    <row r="593" spans="4:17" x14ac:dyDescent="0.15">
      <c r="D593" s="7" t="s">
        <v>6</v>
      </c>
      <c r="E593" s="7" t="s">
        <v>1108</v>
      </c>
      <c r="F593" s="7" t="s">
        <v>1108</v>
      </c>
      <c r="G593" s="7" t="s">
        <v>1105</v>
      </c>
      <c r="H593" s="7" t="s">
        <v>53</v>
      </c>
      <c r="I593" s="7" t="s">
        <v>33</v>
      </c>
      <c r="J593" s="7" t="s">
        <v>33</v>
      </c>
      <c r="K593" s="7" t="s">
        <v>33</v>
      </c>
      <c r="L593" s="7" t="s">
        <v>38</v>
      </c>
      <c r="M593" s="7" t="s">
        <v>33</v>
      </c>
      <c r="N593" s="7" t="s">
        <v>9</v>
      </c>
      <c r="O593" s="7" t="s">
        <v>33</v>
      </c>
      <c r="P593" s="11" t="str">
        <f t="shared" si="18"/>
        <v>平</v>
      </c>
      <c r="Q593" s="11" t="str">
        <f t="shared" si="19"/>
        <v>负</v>
      </c>
    </row>
    <row r="594" spans="4:17" x14ac:dyDescent="0.15">
      <c r="D594" s="7" t="s">
        <v>6</v>
      </c>
      <c r="E594" s="7" t="s">
        <v>1109</v>
      </c>
      <c r="F594" s="7" t="s">
        <v>1109</v>
      </c>
      <c r="G594" s="7" t="s">
        <v>1110</v>
      </c>
      <c r="H594" s="7" t="s">
        <v>45</v>
      </c>
      <c r="I594" s="7" t="s">
        <v>10</v>
      </c>
      <c r="J594" s="7" t="s">
        <v>9</v>
      </c>
      <c r="K594" s="7" t="s">
        <v>33</v>
      </c>
      <c r="L594" s="7" t="s">
        <v>36</v>
      </c>
      <c r="M594" s="7" t="s">
        <v>33</v>
      </c>
      <c r="N594" s="7" t="s">
        <v>33</v>
      </c>
      <c r="O594" s="7" t="s">
        <v>33</v>
      </c>
      <c r="P594" s="11" t="str">
        <f t="shared" si="18"/>
        <v>胜</v>
      </c>
      <c r="Q594" s="11" t="str">
        <f t="shared" si="19"/>
        <v>胜</v>
      </c>
    </row>
    <row r="595" spans="4:17" x14ac:dyDescent="0.15">
      <c r="D595" s="7" t="s">
        <v>6</v>
      </c>
      <c r="E595" s="7" t="s">
        <v>1111</v>
      </c>
      <c r="F595" s="7" t="s">
        <v>1111</v>
      </c>
      <c r="G595" s="7" t="s">
        <v>1112</v>
      </c>
      <c r="H595" s="7" t="s">
        <v>40</v>
      </c>
      <c r="I595" s="7" t="s">
        <v>10</v>
      </c>
      <c r="J595" s="7" t="s">
        <v>10</v>
      </c>
      <c r="K595" s="7" t="s">
        <v>33</v>
      </c>
      <c r="L595" s="7" t="s">
        <v>45</v>
      </c>
      <c r="M595" s="7" t="s">
        <v>33</v>
      </c>
      <c r="N595" s="7" t="s">
        <v>10</v>
      </c>
      <c r="O595" s="7" t="s">
        <v>33</v>
      </c>
      <c r="P595" s="11" t="str">
        <f t="shared" si="18"/>
        <v>胜</v>
      </c>
      <c r="Q595" s="11" t="str">
        <f t="shared" si="19"/>
        <v>平</v>
      </c>
    </row>
    <row r="596" spans="4:17" x14ac:dyDescent="0.15">
      <c r="D596" s="7" t="s">
        <v>6</v>
      </c>
      <c r="E596" s="7" t="s">
        <v>1113</v>
      </c>
      <c r="F596" s="7" t="s">
        <v>1113</v>
      </c>
      <c r="G596" s="7" t="s">
        <v>1114</v>
      </c>
      <c r="H596" s="7" t="s">
        <v>43</v>
      </c>
      <c r="I596" s="7" t="s">
        <v>33</v>
      </c>
      <c r="J596" s="7" t="s">
        <v>10</v>
      </c>
      <c r="K596" s="7" t="s">
        <v>33</v>
      </c>
      <c r="L596" s="7" t="s">
        <v>32</v>
      </c>
      <c r="M596" s="7" t="s">
        <v>33</v>
      </c>
      <c r="N596" s="7" t="s">
        <v>33</v>
      </c>
      <c r="O596" s="7" t="s">
        <v>33</v>
      </c>
      <c r="P596" s="11" t="str">
        <f t="shared" si="18"/>
        <v>平</v>
      </c>
      <c r="Q596" s="11" t="str">
        <f t="shared" si="19"/>
        <v>胜</v>
      </c>
    </row>
    <row r="597" spans="4:17" x14ac:dyDescent="0.15">
      <c r="D597" s="7" t="s">
        <v>6</v>
      </c>
      <c r="E597" s="7" t="s">
        <v>1115</v>
      </c>
      <c r="F597" s="7" t="s">
        <v>1115</v>
      </c>
      <c r="G597" s="7" t="s">
        <v>1116</v>
      </c>
      <c r="H597" s="7" t="s">
        <v>41</v>
      </c>
      <c r="I597" s="7" t="s">
        <v>10</v>
      </c>
      <c r="J597" s="7" t="s">
        <v>9</v>
      </c>
      <c r="K597" s="7" t="s">
        <v>33</v>
      </c>
      <c r="L597" s="7" t="s">
        <v>37</v>
      </c>
      <c r="M597" s="7" t="s">
        <v>10</v>
      </c>
      <c r="N597" s="7" t="s">
        <v>9</v>
      </c>
      <c r="O597" s="7" t="s">
        <v>33</v>
      </c>
      <c r="P597" s="11" t="str">
        <f t="shared" si="18"/>
        <v>平</v>
      </c>
      <c r="Q597" s="11" t="str">
        <f t="shared" si="19"/>
        <v>平</v>
      </c>
    </row>
    <row r="598" spans="4:17" x14ac:dyDescent="0.15">
      <c r="D598" s="7" t="s">
        <v>6</v>
      </c>
      <c r="E598" s="7" t="s">
        <v>1117</v>
      </c>
      <c r="F598" s="7" t="s">
        <v>1117</v>
      </c>
      <c r="G598" s="7" t="s">
        <v>1118</v>
      </c>
      <c r="H598" s="7" t="s">
        <v>36</v>
      </c>
      <c r="I598" s="7" t="s">
        <v>9</v>
      </c>
      <c r="J598" s="7" t="s">
        <v>9</v>
      </c>
      <c r="K598" s="7" t="s">
        <v>33</v>
      </c>
      <c r="L598" s="7" t="s">
        <v>53</v>
      </c>
      <c r="M598" s="7" t="s">
        <v>10</v>
      </c>
      <c r="N598" s="7" t="s">
        <v>10</v>
      </c>
      <c r="O598" s="7" t="s">
        <v>33</v>
      </c>
      <c r="P598" s="11" t="str">
        <f t="shared" si="18"/>
        <v>胜</v>
      </c>
      <c r="Q598" s="11" t="str">
        <f t="shared" si="19"/>
        <v>胜</v>
      </c>
    </row>
    <row r="599" spans="4:17" x14ac:dyDescent="0.15">
      <c r="D599" s="7" t="s">
        <v>6</v>
      </c>
      <c r="E599" s="7" t="s">
        <v>1119</v>
      </c>
      <c r="F599" s="7" t="s">
        <v>1119</v>
      </c>
      <c r="G599" s="7" t="s">
        <v>1120</v>
      </c>
      <c r="H599" s="7" t="s">
        <v>38</v>
      </c>
      <c r="I599" s="7" t="s">
        <v>33</v>
      </c>
      <c r="J599" s="7" t="s">
        <v>33</v>
      </c>
      <c r="K599" s="7" t="s">
        <v>33</v>
      </c>
      <c r="L599" s="7" t="s">
        <v>35</v>
      </c>
      <c r="M599" s="7" t="s">
        <v>33</v>
      </c>
      <c r="N599" s="7" t="s">
        <v>33</v>
      </c>
      <c r="O599" s="7" t="s">
        <v>33</v>
      </c>
      <c r="P599" s="11" t="str">
        <f t="shared" si="18"/>
        <v>平</v>
      </c>
      <c r="Q599" s="11" t="str">
        <f t="shared" si="19"/>
        <v>平</v>
      </c>
    </row>
    <row r="600" spans="4:17" x14ac:dyDescent="0.15">
      <c r="D600" s="7" t="s">
        <v>6</v>
      </c>
      <c r="E600" s="7" t="s">
        <v>1121</v>
      </c>
      <c r="F600" s="7" t="s">
        <v>1121</v>
      </c>
      <c r="G600" s="7" t="s">
        <v>1122</v>
      </c>
      <c r="H600" s="7" t="s">
        <v>54</v>
      </c>
      <c r="I600" s="7" t="s">
        <v>9</v>
      </c>
      <c r="J600" s="7" t="s">
        <v>9</v>
      </c>
      <c r="K600" s="7" t="s">
        <v>33</v>
      </c>
      <c r="L600" s="7" t="s">
        <v>48</v>
      </c>
      <c r="M600" s="7" t="s">
        <v>33</v>
      </c>
      <c r="N600" s="7" t="s">
        <v>10</v>
      </c>
      <c r="O600" s="7" t="s">
        <v>33</v>
      </c>
      <c r="P600" s="11" t="str">
        <f t="shared" si="18"/>
        <v>胜</v>
      </c>
      <c r="Q600" s="11" t="str">
        <f t="shared" si="19"/>
        <v>胜</v>
      </c>
    </row>
    <row r="601" spans="4:17" x14ac:dyDescent="0.15">
      <c r="D601" s="7" t="s">
        <v>6</v>
      </c>
      <c r="E601" s="7" t="s">
        <v>1123</v>
      </c>
      <c r="F601" s="7" t="s">
        <v>1123</v>
      </c>
      <c r="G601" s="7" t="s">
        <v>1122</v>
      </c>
      <c r="H601" s="7" t="s">
        <v>46</v>
      </c>
      <c r="I601" s="7" t="s">
        <v>33</v>
      </c>
      <c r="J601" s="7" t="s">
        <v>10</v>
      </c>
      <c r="K601" s="7" t="s">
        <v>33</v>
      </c>
      <c r="L601" s="7" t="s">
        <v>44</v>
      </c>
      <c r="M601" s="7" t="s">
        <v>10</v>
      </c>
      <c r="N601" s="7" t="s">
        <v>9</v>
      </c>
      <c r="O601" s="7" t="s">
        <v>33</v>
      </c>
      <c r="P601" s="11" t="str">
        <f t="shared" si="18"/>
        <v>负</v>
      </c>
      <c r="Q601" s="11" t="str">
        <f t="shared" si="19"/>
        <v>负</v>
      </c>
    </row>
    <row r="602" spans="4:17" x14ac:dyDescent="0.15">
      <c r="D602" s="7" t="s">
        <v>6</v>
      </c>
      <c r="E602" s="7" t="s">
        <v>1124</v>
      </c>
      <c r="F602" s="7" t="s">
        <v>1124</v>
      </c>
      <c r="G602" s="7" t="s">
        <v>1125</v>
      </c>
      <c r="H602" s="7" t="s">
        <v>49</v>
      </c>
      <c r="I602" s="7" t="s">
        <v>33</v>
      </c>
      <c r="J602" s="7" t="s">
        <v>10</v>
      </c>
      <c r="K602" s="7" t="s">
        <v>33</v>
      </c>
      <c r="L602" s="7" t="s">
        <v>42</v>
      </c>
      <c r="M602" s="7" t="s">
        <v>10</v>
      </c>
      <c r="N602" s="7" t="s">
        <v>10</v>
      </c>
      <c r="O602" s="7" t="s">
        <v>33</v>
      </c>
      <c r="P602" s="11" t="str">
        <f t="shared" si="18"/>
        <v>负</v>
      </c>
      <c r="Q602" s="11" t="str">
        <f t="shared" si="19"/>
        <v>平</v>
      </c>
    </row>
    <row r="603" spans="4:17" x14ac:dyDescent="0.15">
      <c r="D603" s="7" t="s">
        <v>6</v>
      </c>
      <c r="E603" s="7" t="s">
        <v>1126</v>
      </c>
      <c r="F603" s="7" t="s">
        <v>1126</v>
      </c>
      <c r="G603" s="7" t="s">
        <v>1127</v>
      </c>
      <c r="H603" s="7" t="s">
        <v>45</v>
      </c>
      <c r="I603" s="7" t="s">
        <v>10</v>
      </c>
      <c r="J603" s="7" t="s">
        <v>9</v>
      </c>
      <c r="K603" s="7" t="s">
        <v>33</v>
      </c>
      <c r="L603" s="7" t="s">
        <v>43</v>
      </c>
      <c r="M603" s="7" t="s">
        <v>10</v>
      </c>
      <c r="N603" s="7" t="s">
        <v>39</v>
      </c>
      <c r="O603" s="7" t="s">
        <v>33</v>
      </c>
      <c r="P603" s="11" t="str">
        <f t="shared" si="18"/>
        <v>平</v>
      </c>
      <c r="Q603" s="11" t="str">
        <f t="shared" si="19"/>
        <v>负</v>
      </c>
    </row>
    <row r="604" spans="4:17" x14ac:dyDescent="0.15">
      <c r="D604" s="7" t="s">
        <v>6</v>
      </c>
      <c r="E604" s="7" t="s">
        <v>1128</v>
      </c>
      <c r="F604" s="7" t="s">
        <v>1128</v>
      </c>
      <c r="G604" s="7" t="s">
        <v>1129</v>
      </c>
      <c r="H604" s="7" t="s">
        <v>42</v>
      </c>
      <c r="I604" s="7" t="s">
        <v>10</v>
      </c>
      <c r="J604" s="7" t="s">
        <v>10</v>
      </c>
      <c r="K604" s="7" t="s">
        <v>33</v>
      </c>
      <c r="L604" s="7" t="s">
        <v>41</v>
      </c>
      <c r="M604" s="7" t="s">
        <v>33</v>
      </c>
      <c r="N604" s="7" t="s">
        <v>9</v>
      </c>
      <c r="O604" s="7" t="s">
        <v>33</v>
      </c>
      <c r="P604" s="11" t="str">
        <f t="shared" si="18"/>
        <v>胜</v>
      </c>
      <c r="Q604" s="11" t="str">
        <f t="shared" si="19"/>
        <v>负</v>
      </c>
    </row>
    <row r="605" spans="4:17" x14ac:dyDescent="0.15">
      <c r="D605" s="7" t="s">
        <v>6</v>
      </c>
      <c r="E605" s="7" t="s">
        <v>1130</v>
      </c>
      <c r="F605" s="7" t="s">
        <v>1130</v>
      </c>
      <c r="G605" s="7" t="s">
        <v>1131</v>
      </c>
      <c r="H605" s="7" t="s">
        <v>46</v>
      </c>
      <c r="I605" s="7" t="s">
        <v>10</v>
      </c>
      <c r="J605" s="7" t="s">
        <v>9</v>
      </c>
      <c r="K605" s="7" t="s">
        <v>33</v>
      </c>
      <c r="L605" s="7" t="s">
        <v>38</v>
      </c>
      <c r="M605" s="7" t="s">
        <v>10</v>
      </c>
      <c r="N605" s="7" t="s">
        <v>10</v>
      </c>
      <c r="O605" s="7" t="s">
        <v>33</v>
      </c>
      <c r="P605" s="11" t="str">
        <f t="shared" si="18"/>
        <v>平</v>
      </c>
      <c r="Q605" s="11" t="str">
        <f t="shared" si="19"/>
        <v>胜</v>
      </c>
    </row>
    <row r="606" spans="4:17" x14ac:dyDescent="0.15">
      <c r="D606" s="7" t="s">
        <v>6</v>
      </c>
      <c r="E606" s="7" t="s">
        <v>1132</v>
      </c>
      <c r="F606" s="7" t="s">
        <v>1132</v>
      </c>
      <c r="G606" s="7" t="s">
        <v>1133</v>
      </c>
      <c r="H606" s="7" t="s">
        <v>53</v>
      </c>
      <c r="I606" s="7" t="s">
        <v>33</v>
      </c>
      <c r="J606" s="7" t="s">
        <v>33</v>
      </c>
      <c r="K606" s="7" t="s">
        <v>33</v>
      </c>
      <c r="L606" s="7" t="s">
        <v>49</v>
      </c>
      <c r="M606" s="7" t="s">
        <v>33</v>
      </c>
      <c r="N606" s="7" t="s">
        <v>39</v>
      </c>
      <c r="O606" s="7" t="s">
        <v>33</v>
      </c>
      <c r="P606" s="11" t="str">
        <f t="shared" si="18"/>
        <v>平</v>
      </c>
      <c r="Q606" s="11" t="str">
        <f t="shared" si="19"/>
        <v>负</v>
      </c>
    </row>
    <row r="607" spans="4:17" x14ac:dyDescent="0.15">
      <c r="D607" s="7" t="s">
        <v>6</v>
      </c>
      <c r="E607" s="7" t="s">
        <v>1134</v>
      </c>
      <c r="F607" s="7" t="s">
        <v>1134</v>
      </c>
      <c r="G607" s="7" t="s">
        <v>1135</v>
      </c>
      <c r="H607" s="7" t="s">
        <v>48</v>
      </c>
      <c r="I607" s="7" t="s">
        <v>10</v>
      </c>
      <c r="J607" s="7" t="s">
        <v>9</v>
      </c>
      <c r="K607" s="7" t="s">
        <v>33</v>
      </c>
      <c r="L607" s="7" t="s">
        <v>32</v>
      </c>
      <c r="M607" s="7" t="s">
        <v>10</v>
      </c>
      <c r="N607" s="7" t="s">
        <v>10</v>
      </c>
      <c r="O607" s="7" t="s">
        <v>33</v>
      </c>
      <c r="P607" s="11" t="str">
        <f t="shared" si="18"/>
        <v>平</v>
      </c>
      <c r="Q607" s="11" t="str">
        <f t="shared" si="19"/>
        <v>胜</v>
      </c>
    </row>
    <row r="608" spans="4:17" x14ac:dyDescent="0.15">
      <c r="D608" s="7" t="s">
        <v>6</v>
      </c>
      <c r="E608" s="7" t="s">
        <v>1136</v>
      </c>
      <c r="F608" s="7" t="s">
        <v>1136</v>
      </c>
      <c r="G608" s="7" t="s">
        <v>1137</v>
      </c>
      <c r="H608" s="7" t="s">
        <v>44</v>
      </c>
      <c r="I608" s="7" t="s">
        <v>33</v>
      </c>
      <c r="J608" s="7" t="s">
        <v>10</v>
      </c>
      <c r="K608" s="7" t="s">
        <v>33</v>
      </c>
      <c r="L608" s="7" t="s">
        <v>36</v>
      </c>
      <c r="M608" s="7" t="s">
        <v>10</v>
      </c>
      <c r="N608" s="7" t="s">
        <v>10</v>
      </c>
      <c r="O608" s="7" t="s">
        <v>33</v>
      </c>
      <c r="P608" s="11" t="str">
        <f t="shared" si="18"/>
        <v>负</v>
      </c>
      <c r="Q608" s="11" t="str">
        <f t="shared" si="19"/>
        <v>平</v>
      </c>
    </row>
    <row r="609" spans="4:17" x14ac:dyDescent="0.15">
      <c r="D609" s="7" t="s">
        <v>6</v>
      </c>
      <c r="E609" s="7" t="s">
        <v>1138</v>
      </c>
      <c r="F609" s="7" t="s">
        <v>1138</v>
      </c>
      <c r="G609" s="7" t="s">
        <v>1139</v>
      </c>
      <c r="H609" s="7" t="s">
        <v>37</v>
      </c>
      <c r="I609" s="7" t="s">
        <v>10</v>
      </c>
      <c r="J609" s="7" t="s">
        <v>10</v>
      </c>
      <c r="K609" s="7" t="s">
        <v>33</v>
      </c>
      <c r="L609" s="7" t="s">
        <v>54</v>
      </c>
      <c r="M609" s="7" t="s">
        <v>10</v>
      </c>
      <c r="N609" s="7" t="s">
        <v>9</v>
      </c>
      <c r="O609" s="7" t="s">
        <v>33</v>
      </c>
      <c r="P609" s="11" t="str">
        <f t="shared" si="18"/>
        <v>平</v>
      </c>
      <c r="Q609" s="11" t="str">
        <f t="shared" si="19"/>
        <v>负</v>
      </c>
    </row>
    <row r="610" spans="4:17" x14ac:dyDescent="0.15">
      <c r="D610" s="7" t="s">
        <v>6</v>
      </c>
      <c r="E610" s="7" t="s">
        <v>1140</v>
      </c>
      <c r="F610" s="7" t="s">
        <v>1140</v>
      </c>
      <c r="G610" s="7" t="s">
        <v>1141</v>
      </c>
      <c r="H610" s="7" t="s">
        <v>35</v>
      </c>
      <c r="I610" s="7" t="s">
        <v>33</v>
      </c>
      <c r="J610" s="7" t="s">
        <v>33</v>
      </c>
      <c r="K610" s="7" t="s">
        <v>33</v>
      </c>
      <c r="L610" s="7" t="s">
        <v>40</v>
      </c>
      <c r="M610" s="7" t="s">
        <v>33</v>
      </c>
      <c r="N610" s="7" t="s">
        <v>10</v>
      </c>
      <c r="O610" s="7" t="s">
        <v>33</v>
      </c>
      <c r="P610" s="11" t="str">
        <f t="shared" si="18"/>
        <v>平</v>
      </c>
      <c r="Q610" s="11" t="str">
        <f t="shared" si="19"/>
        <v>负</v>
      </c>
    </row>
    <row r="611" spans="4:17" x14ac:dyDescent="0.15">
      <c r="D611" s="7" t="s">
        <v>6</v>
      </c>
      <c r="E611" s="7" t="s">
        <v>1142</v>
      </c>
      <c r="F611" s="7" t="s">
        <v>1142</v>
      </c>
      <c r="G611" s="7" t="s">
        <v>1143</v>
      </c>
      <c r="H611" s="7" t="s">
        <v>40</v>
      </c>
      <c r="I611" s="7" t="s">
        <v>33</v>
      </c>
      <c r="J611" s="7" t="s">
        <v>9</v>
      </c>
      <c r="K611" s="7" t="s">
        <v>33</v>
      </c>
      <c r="L611" s="7" t="s">
        <v>37</v>
      </c>
      <c r="M611" s="7" t="s">
        <v>33</v>
      </c>
      <c r="N611" s="7" t="s">
        <v>33</v>
      </c>
      <c r="O611" s="7" t="s">
        <v>33</v>
      </c>
      <c r="P611" s="11" t="str">
        <f t="shared" si="18"/>
        <v>平</v>
      </c>
      <c r="Q611" s="11" t="str">
        <f t="shared" si="19"/>
        <v>胜</v>
      </c>
    </row>
    <row r="612" spans="4:17" x14ac:dyDescent="0.15">
      <c r="D612" s="7" t="s">
        <v>6</v>
      </c>
      <c r="E612" s="7" t="s">
        <v>1144</v>
      </c>
      <c r="F612" s="7" t="s">
        <v>1144</v>
      </c>
      <c r="G612" s="7" t="s">
        <v>1143</v>
      </c>
      <c r="H612" s="7" t="s">
        <v>36</v>
      </c>
      <c r="I612" s="7" t="s">
        <v>33</v>
      </c>
      <c r="J612" s="7" t="s">
        <v>10</v>
      </c>
      <c r="K612" s="7" t="s">
        <v>33</v>
      </c>
      <c r="L612" s="7" t="s">
        <v>46</v>
      </c>
      <c r="M612" s="7" t="s">
        <v>33</v>
      </c>
      <c r="N612" s="7" t="s">
        <v>9</v>
      </c>
      <c r="O612" s="7" t="s">
        <v>33</v>
      </c>
      <c r="P612" s="11" t="str">
        <f t="shared" si="18"/>
        <v>平</v>
      </c>
      <c r="Q612" s="11" t="str">
        <f t="shared" si="19"/>
        <v>负</v>
      </c>
    </row>
    <row r="613" spans="4:17" x14ac:dyDescent="0.15">
      <c r="D613" s="7" t="s">
        <v>6</v>
      </c>
      <c r="E613" s="7" t="s">
        <v>1145</v>
      </c>
      <c r="F613" s="7" t="s">
        <v>1145</v>
      </c>
      <c r="G613" s="7" t="s">
        <v>1143</v>
      </c>
      <c r="H613" s="7" t="s">
        <v>54</v>
      </c>
      <c r="I613" s="7" t="s">
        <v>33</v>
      </c>
      <c r="J613" s="7" t="s">
        <v>39</v>
      </c>
      <c r="K613" s="7" t="s">
        <v>33</v>
      </c>
      <c r="L613" s="7" t="s">
        <v>35</v>
      </c>
      <c r="M613" s="7" t="s">
        <v>10</v>
      </c>
      <c r="N613" s="7" t="s">
        <v>10</v>
      </c>
      <c r="O613" s="7" t="s">
        <v>33</v>
      </c>
      <c r="P613" s="11" t="str">
        <f t="shared" si="18"/>
        <v>负</v>
      </c>
      <c r="Q613" s="11" t="str">
        <f t="shared" si="19"/>
        <v>胜</v>
      </c>
    </row>
    <row r="614" spans="4:17" x14ac:dyDescent="0.15">
      <c r="D614" s="7" t="s">
        <v>6</v>
      </c>
      <c r="E614" s="7" t="s">
        <v>1146</v>
      </c>
      <c r="F614" s="7" t="s">
        <v>1146</v>
      </c>
      <c r="G614" s="7" t="s">
        <v>1143</v>
      </c>
      <c r="H614" s="7" t="s">
        <v>32</v>
      </c>
      <c r="I614" s="11" t="s">
        <v>33</v>
      </c>
      <c r="J614" s="7" t="s">
        <v>33</v>
      </c>
      <c r="K614" s="7" t="s">
        <v>33</v>
      </c>
      <c r="L614" s="7" t="s">
        <v>45</v>
      </c>
      <c r="M614" s="7" t="s">
        <v>10</v>
      </c>
      <c r="N614" s="7" t="s">
        <v>9</v>
      </c>
      <c r="O614" s="7" t="s">
        <v>33</v>
      </c>
      <c r="P614" s="11" t="str">
        <f t="shared" si="18"/>
        <v>负</v>
      </c>
      <c r="Q614" s="11" t="str">
        <f t="shared" si="19"/>
        <v>负</v>
      </c>
    </row>
    <row r="615" spans="4:17" x14ac:dyDescent="0.15">
      <c r="D615" s="7" t="s">
        <v>6</v>
      </c>
      <c r="E615" s="7" t="s">
        <v>1147</v>
      </c>
      <c r="F615" s="7" t="s">
        <v>1147</v>
      </c>
      <c r="G615" s="7" t="s">
        <v>1143</v>
      </c>
      <c r="H615" s="7" t="s">
        <v>49</v>
      </c>
      <c r="I615" s="7" t="s">
        <v>33</v>
      </c>
      <c r="J615" s="7" t="s">
        <v>10</v>
      </c>
      <c r="K615" s="7" t="s">
        <v>33</v>
      </c>
      <c r="L615" s="7" t="s">
        <v>44</v>
      </c>
      <c r="M615" s="7" t="s">
        <v>10</v>
      </c>
      <c r="N615" s="7" t="s">
        <v>10</v>
      </c>
      <c r="O615" s="7" t="s">
        <v>33</v>
      </c>
      <c r="P615" s="11" t="str">
        <f t="shared" si="18"/>
        <v>负</v>
      </c>
      <c r="Q615" s="11" t="str">
        <f t="shared" si="19"/>
        <v>平</v>
      </c>
    </row>
    <row r="616" spans="4:17" x14ac:dyDescent="0.15">
      <c r="D616" s="7" t="s">
        <v>6</v>
      </c>
      <c r="E616" s="7" t="s">
        <v>1148</v>
      </c>
      <c r="F616" s="7" t="s">
        <v>1148</v>
      </c>
      <c r="G616" s="7" t="s">
        <v>1143</v>
      </c>
      <c r="H616" s="7" t="s">
        <v>38</v>
      </c>
      <c r="I616" s="7" t="s">
        <v>9</v>
      </c>
      <c r="J616" s="7" t="s">
        <v>39</v>
      </c>
      <c r="K616" s="7" t="s">
        <v>33</v>
      </c>
      <c r="L616" s="7" t="s">
        <v>42</v>
      </c>
      <c r="M616" s="7" t="s">
        <v>33</v>
      </c>
      <c r="N616" s="7" t="s">
        <v>33</v>
      </c>
      <c r="O616" s="7" t="s">
        <v>33</v>
      </c>
      <c r="P616" s="11" t="str">
        <f t="shared" si="18"/>
        <v>胜</v>
      </c>
      <c r="Q616" s="11" t="str">
        <f t="shared" si="19"/>
        <v>胜</v>
      </c>
    </row>
    <row r="617" spans="4:17" x14ac:dyDescent="0.15">
      <c r="D617" s="7" t="s">
        <v>6</v>
      </c>
      <c r="E617" s="7" t="s">
        <v>1149</v>
      </c>
      <c r="F617" s="7" t="s">
        <v>1149</v>
      </c>
      <c r="G617" s="7" t="s">
        <v>1150</v>
      </c>
      <c r="H617" s="7" t="s">
        <v>41</v>
      </c>
      <c r="I617" s="7" t="s">
        <v>33</v>
      </c>
      <c r="J617" s="7" t="s">
        <v>9</v>
      </c>
      <c r="K617" s="7" t="s">
        <v>33</v>
      </c>
      <c r="L617" s="7" t="s">
        <v>53</v>
      </c>
      <c r="M617" s="7" t="s">
        <v>10</v>
      </c>
      <c r="N617" s="7" t="s">
        <v>9</v>
      </c>
      <c r="O617" s="7" t="s">
        <v>33</v>
      </c>
      <c r="P617" s="11" t="str">
        <f t="shared" si="18"/>
        <v>负</v>
      </c>
      <c r="Q617" s="11" t="str">
        <f t="shared" si="19"/>
        <v>平</v>
      </c>
    </row>
    <row r="618" spans="4:17" x14ac:dyDescent="0.15">
      <c r="D618" s="7" t="s">
        <v>6</v>
      </c>
      <c r="E618" s="7" t="s">
        <v>1151</v>
      </c>
      <c r="F618" s="7" t="s">
        <v>1151</v>
      </c>
      <c r="G618" s="7" t="s">
        <v>1143</v>
      </c>
      <c r="H618" s="7" t="s">
        <v>43</v>
      </c>
      <c r="I618" s="7" t="s">
        <v>10</v>
      </c>
      <c r="J618" s="7" t="s">
        <v>39</v>
      </c>
      <c r="K618" s="7" t="s">
        <v>33</v>
      </c>
      <c r="L618" s="7" t="s">
        <v>48</v>
      </c>
      <c r="M618" s="7" t="s">
        <v>9</v>
      </c>
      <c r="N618" s="7" t="s">
        <v>39</v>
      </c>
      <c r="O618" s="7" t="s">
        <v>33</v>
      </c>
      <c r="P618" s="11" t="str">
        <f t="shared" si="18"/>
        <v>负</v>
      </c>
      <c r="Q618" s="11" t="str">
        <f t="shared" si="19"/>
        <v>平</v>
      </c>
    </row>
    <row r="619" spans="4:17" x14ac:dyDescent="0.15">
      <c r="D619" s="7" t="s">
        <v>6</v>
      </c>
      <c r="E619" s="7" t="s">
        <v>1152</v>
      </c>
      <c r="F619" s="7" t="s">
        <v>1152</v>
      </c>
      <c r="G619" s="7" t="s">
        <v>1153</v>
      </c>
      <c r="H619" s="7" t="s">
        <v>48</v>
      </c>
      <c r="I619" s="7" t="s">
        <v>10</v>
      </c>
      <c r="J619" s="7" t="s">
        <v>10</v>
      </c>
      <c r="K619" s="7" t="s">
        <v>33</v>
      </c>
      <c r="L619" s="7" t="s">
        <v>40</v>
      </c>
      <c r="M619" s="7" t="s">
        <v>10</v>
      </c>
      <c r="N619" s="7" t="s">
        <v>10</v>
      </c>
      <c r="O619" s="7" t="s">
        <v>33</v>
      </c>
      <c r="P619" s="11" t="str">
        <f t="shared" si="18"/>
        <v>平</v>
      </c>
      <c r="Q619" s="11" t="str">
        <f t="shared" si="19"/>
        <v>平</v>
      </c>
    </row>
    <row r="620" spans="4:17" x14ac:dyDescent="0.15">
      <c r="D620" s="7" t="s">
        <v>6</v>
      </c>
      <c r="E620" s="7" t="s">
        <v>1154</v>
      </c>
      <c r="F620" s="7" t="s">
        <v>1154</v>
      </c>
      <c r="G620" s="7" t="s">
        <v>1155</v>
      </c>
      <c r="H620" s="7" t="s">
        <v>44</v>
      </c>
      <c r="I620" s="7" t="s">
        <v>33</v>
      </c>
      <c r="J620" s="7" t="s">
        <v>10</v>
      </c>
      <c r="K620" s="7" t="s">
        <v>33</v>
      </c>
      <c r="L620" s="7" t="s">
        <v>38</v>
      </c>
      <c r="M620" s="7" t="s">
        <v>33</v>
      </c>
      <c r="N620" s="7" t="s">
        <v>33</v>
      </c>
      <c r="O620" s="7" t="s">
        <v>33</v>
      </c>
      <c r="P620" s="11" t="str">
        <f t="shared" si="18"/>
        <v>平</v>
      </c>
      <c r="Q620" s="11" t="str">
        <f t="shared" si="19"/>
        <v>胜</v>
      </c>
    </row>
    <row r="621" spans="4:17" x14ac:dyDescent="0.15">
      <c r="D621" s="7" t="s">
        <v>6</v>
      </c>
      <c r="E621" s="7" t="s">
        <v>1156</v>
      </c>
      <c r="F621" s="7" t="s">
        <v>1156</v>
      </c>
      <c r="G621" s="7" t="s">
        <v>1155</v>
      </c>
      <c r="H621" s="7" t="s">
        <v>42</v>
      </c>
      <c r="I621" s="7" t="s">
        <v>9</v>
      </c>
      <c r="J621" s="7" t="s">
        <v>39</v>
      </c>
      <c r="K621" s="7" t="s">
        <v>33</v>
      </c>
      <c r="L621" s="7" t="s">
        <v>36</v>
      </c>
      <c r="M621" s="7" t="s">
        <v>33</v>
      </c>
      <c r="N621" s="7" t="s">
        <v>33</v>
      </c>
      <c r="O621" s="7" t="s">
        <v>33</v>
      </c>
      <c r="P621" s="11" t="str">
        <f t="shared" si="18"/>
        <v>胜</v>
      </c>
      <c r="Q621" s="11" t="str">
        <f t="shared" si="19"/>
        <v>胜</v>
      </c>
    </row>
    <row r="622" spans="4:17" x14ac:dyDescent="0.15">
      <c r="D622" s="7" t="s">
        <v>6</v>
      </c>
      <c r="E622" s="7" t="s">
        <v>1157</v>
      </c>
      <c r="F622" s="7" t="s">
        <v>1157</v>
      </c>
      <c r="G622" s="7" t="s">
        <v>1158</v>
      </c>
      <c r="H622" s="7" t="s">
        <v>46</v>
      </c>
      <c r="I622" s="7" t="s">
        <v>9</v>
      </c>
      <c r="J622" s="7" t="s">
        <v>9</v>
      </c>
      <c r="K622" s="7" t="s">
        <v>33</v>
      </c>
      <c r="L622" s="7" t="s">
        <v>41</v>
      </c>
      <c r="M622" s="7" t="s">
        <v>33</v>
      </c>
      <c r="N622" s="7" t="s">
        <v>10</v>
      </c>
      <c r="O622" s="7" t="s">
        <v>33</v>
      </c>
      <c r="P622" s="11" t="str">
        <f t="shared" si="18"/>
        <v>胜</v>
      </c>
      <c r="Q622" s="11" t="str">
        <f t="shared" si="19"/>
        <v>胜</v>
      </c>
    </row>
    <row r="623" spans="4:17" x14ac:dyDescent="0.15">
      <c r="D623" s="7" t="s">
        <v>6</v>
      </c>
      <c r="E623" s="7" t="s">
        <v>1159</v>
      </c>
      <c r="F623" s="7" t="s">
        <v>1159</v>
      </c>
      <c r="G623" s="7" t="s">
        <v>1158</v>
      </c>
      <c r="H623" s="7" t="s">
        <v>35</v>
      </c>
      <c r="I623" s="7" t="s">
        <v>9</v>
      </c>
      <c r="J623" s="7" t="s">
        <v>9</v>
      </c>
      <c r="K623" s="7" t="s">
        <v>33</v>
      </c>
      <c r="L623" s="7" t="s">
        <v>43</v>
      </c>
      <c r="M623" s="7" t="s">
        <v>39</v>
      </c>
      <c r="N623" s="7" t="s">
        <v>50</v>
      </c>
      <c r="O623" s="7" t="s">
        <v>33</v>
      </c>
      <c r="P623" s="11" t="str">
        <f t="shared" si="18"/>
        <v>负</v>
      </c>
      <c r="Q623" s="11" t="str">
        <f t="shared" si="19"/>
        <v>负</v>
      </c>
    </row>
    <row r="624" spans="4:17" x14ac:dyDescent="0.15">
      <c r="D624" s="7" t="s">
        <v>6</v>
      </c>
      <c r="E624" s="7" t="s">
        <v>1160</v>
      </c>
      <c r="F624" s="7" t="s">
        <v>1160</v>
      </c>
      <c r="G624" s="7" t="s">
        <v>1155</v>
      </c>
      <c r="H624" s="7" t="s">
        <v>53</v>
      </c>
      <c r="I624" s="7" t="s">
        <v>9</v>
      </c>
      <c r="J624" s="7" t="s">
        <v>39</v>
      </c>
      <c r="K624" s="7" t="s">
        <v>33</v>
      </c>
      <c r="L624" s="7" t="s">
        <v>54</v>
      </c>
      <c r="M624" s="7" t="s">
        <v>33</v>
      </c>
      <c r="N624" s="7" t="s">
        <v>10</v>
      </c>
      <c r="O624" s="7" t="s">
        <v>33</v>
      </c>
      <c r="P624" s="11" t="str">
        <f t="shared" si="18"/>
        <v>胜</v>
      </c>
      <c r="Q624" s="11" t="str">
        <f t="shared" si="19"/>
        <v>胜</v>
      </c>
    </row>
    <row r="625" spans="4:17" x14ac:dyDescent="0.15">
      <c r="D625" s="7" t="s">
        <v>6</v>
      </c>
      <c r="E625" s="7" t="s">
        <v>1161</v>
      </c>
      <c r="F625" s="7" t="s">
        <v>1161</v>
      </c>
      <c r="G625" s="7" t="s">
        <v>1158</v>
      </c>
      <c r="H625" s="7" t="s">
        <v>45</v>
      </c>
      <c r="I625" s="7" t="s">
        <v>33</v>
      </c>
      <c r="J625" s="7" t="s">
        <v>33</v>
      </c>
      <c r="K625" s="7" t="s">
        <v>33</v>
      </c>
      <c r="L625" s="7" t="s">
        <v>49</v>
      </c>
      <c r="M625" s="7" t="s">
        <v>10</v>
      </c>
      <c r="N625" s="7" t="s">
        <v>9</v>
      </c>
      <c r="O625" s="7" t="s">
        <v>33</v>
      </c>
      <c r="P625" s="11" t="str">
        <f t="shared" si="18"/>
        <v>负</v>
      </c>
      <c r="Q625" s="11" t="str">
        <f t="shared" si="19"/>
        <v>负</v>
      </c>
    </row>
    <row r="626" spans="4:17" x14ac:dyDescent="0.15">
      <c r="D626" s="7" t="s">
        <v>6</v>
      </c>
      <c r="E626" s="7" t="s">
        <v>1162</v>
      </c>
      <c r="F626" s="7" t="s">
        <v>1162</v>
      </c>
      <c r="G626" s="7" t="s">
        <v>1155</v>
      </c>
      <c r="H626" s="7" t="s">
        <v>37</v>
      </c>
      <c r="I626" s="7" t="s">
        <v>10</v>
      </c>
      <c r="J626" s="7" t="s">
        <v>9</v>
      </c>
      <c r="K626" s="7" t="s">
        <v>33</v>
      </c>
      <c r="L626" s="7" t="s">
        <v>32</v>
      </c>
      <c r="M626" s="7" t="s">
        <v>33</v>
      </c>
      <c r="N626" s="7" t="s">
        <v>10</v>
      </c>
      <c r="O626" s="7" t="s">
        <v>33</v>
      </c>
      <c r="P626" s="11" t="str">
        <f t="shared" si="18"/>
        <v>胜</v>
      </c>
      <c r="Q626" s="11" t="str">
        <f t="shared" si="19"/>
        <v>胜</v>
      </c>
    </row>
    <row r="627" spans="4:17" x14ac:dyDescent="0.15">
      <c r="D627" s="7" t="s">
        <v>6</v>
      </c>
      <c r="E627" s="7" t="s">
        <v>1163</v>
      </c>
      <c r="F627" s="7" t="s">
        <v>1163</v>
      </c>
      <c r="G627" s="7" t="s">
        <v>1164</v>
      </c>
      <c r="H627" s="7" t="s">
        <v>44</v>
      </c>
      <c r="I627" s="7" t="s">
        <v>33</v>
      </c>
      <c r="J627" s="7" t="s">
        <v>9</v>
      </c>
      <c r="K627" s="7" t="s">
        <v>33</v>
      </c>
      <c r="L627" s="7" t="s">
        <v>52</v>
      </c>
      <c r="M627" s="7" t="s">
        <v>10</v>
      </c>
      <c r="N627" s="7" t="s">
        <v>10</v>
      </c>
      <c r="O627" s="7" t="s">
        <v>33</v>
      </c>
      <c r="P627" s="11" t="str">
        <f t="shared" si="18"/>
        <v>负</v>
      </c>
      <c r="Q627" s="11" t="str">
        <f t="shared" si="19"/>
        <v>胜</v>
      </c>
    </row>
    <row r="628" spans="4:17" x14ac:dyDescent="0.15">
      <c r="D628" s="7" t="s">
        <v>6</v>
      </c>
      <c r="E628" s="7" t="s">
        <v>1165</v>
      </c>
      <c r="F628" s="7" t="s">
        <v>1165</v>
      </c>
      <c r="G628" s="7" t="s">
        <v>1166</v>
      </c>
      <c r="H628" s="7" t="s">
        <v>41</v>
      </c>
      <c r="I628" s="7" t="s">
        <v>10</v>
      </c>
      <c r="J628" s="7" t="s">
        <v>39</v>
      </c>
      <c r="K628" s="7" t="s">
        <v>33</v>
      </c>
      <c r="L628" s="7" t="s">
        <v>35</v>
      </c>
      <c r="M628" s="7" t="s">
        <v>10</v>
      </c>
      <c r="N628" s="7" t="s">
        <v>10</v>
      </c>
      <c r="O628" s="7" t="s">
        <v>33</v>
      </c>
      <c r="P628" s="11" t="str">
        <f t="shared" si="18"/>
        <v>平</v>
      </c>
      <c r="Q628" s="11" t="str">
        <f t="shared" si="19"/>
        <v>胜</v>
      </c>
    </row>
    <row r="629" spans="4:17" x14ac:dyDescent="0.15">
      <c r="D629" s="7" t="s">
        <v>6</v>
      </c>
      <c r="E629" s="7" t="s">
        <v>1167</v>
      </c>
      <c r="F629" s="7" t="s">
        <v>1167</v>
      </c>
      <c r="G629" s="7" t="s">
        <v>1168</v>
      </c>
      <c r="H629" s="7" t="s">
        <v>42</v>
      </c>
      <c r="I629" s="7" t="s">
        <v>9</v>
      </c>
      <c r="J629" s="7" t="s">
        <v>39</v>
      </c>
      <c r="K629" s="7" t="s">
        <v>33</v>
      </c>
      <c r="L629" s="7" t="s">
        <v>43</v>
      </c>
      <c r="M629" s="7" t="s">
        <v>33</v>
      </c>
      <c r="N629" s="7" t="s">
        <v>10</v>
      </c>
      <c r="O629" s="7" t="s">
        <v>33</v>
      </c>
      <c r="P629" s="11" t="str">
        <f t="shared" si="18"/>
        <v>胜</v>
      </c>
      <c r="Q629" s="11" t="str">
        <f t="shared" si="19"/>
        <v>胜</v>
      </c>
    </row>
    <row r="630" spans="4:17" x14ac:dyDescent="0.15">
      <c r="D630" s="7" t="s">
        <v>6</v>
      </c>
      <c r="E630" s="7" t="s">
        <v>1169</v>
      </c>
      <c r="F630" s="7" t="s">
        <v>1169</v>
      </c>
      <c r="G630" s="7" t="s">
        <v>1166</v>
      </c>
      <c r="H630" s="7" t="s">
        <v>40</v>
      </c>
      <c r="I630" s="7" t="s">
        <v>10</v>
      </c>
      <c r="J630" s="7" t="s">
        <v>39</v>
      </c>
      <c r="K630" s="7" t="s">
        <v>33</v>
      </c>
      <c r="L630" s="7" t="s">
        <v>48</v>
      </c>
      <c r="M630" s="7" t="s">
        <v>10</v>
      </c>
      <c r="N630" s="7" t="s">
        <v>10</v>
      </c>
      <c r="O630" s="7" t="s">
        <v>33</v>
      </c>
      <c r="P630" s="11" t="str">
        <f t="shared" si="18"/>
        <v>平</v>
      </c>
      <c r="Q630" s="11" t="str">
        <f t="shared" si="19"/>
        <v>胜</v>
      </c>
    </row>
    <row r="631" spans="4:17" x14ac:dyDescent="0.15">
      <c r="D631" s="7" t="s">
        <v>6</v>
      </c>
      <c r="E631" s="7" t="s">
        <v>1170</v>
      </c>
      <c r="F631" s="7" t="s">
        <v>1170</v>
      </c>
      <c r="G631" s="7" t="s">
        <v>1171</v>
      </c>
      <c r="H631" s="7" t="s">
        <v>53</v>
      </c>
      <c r="I631" s="7" t="s">
        <v>33</v>
      </c>
      <c r="J631" s="7" t="s">
        <v>10</v>
      </c>
      <c r="K631" s="7" t="s">
        <v>33</v>
      </c>
      <c r="L631" s="7" t="s">
        <v>46</v>
      </c>
      <c r="M631" s="7" t="s">
        <v>33</v>
      </c>
      <c r="N631" s="7" t="s">
        <v>10</v>
      </c>
      <c r="O631" s="7" t="s">
        <v>33</v>
      </c>
      <c r="P631" s="11" t="str">
        <f t="shared" si="18"/>
        <v>平</v>
      </c>
      <c r="Q631" s="11" t="str">
        <f t="shared" si="19"/>
        <v>平</v>
      </c>
    </row>
    <row r="632" spans="4:17" x14ac:dyDescent="0.15">
      <c r="D632" s="7" t="s">
        <v>6</v>
      </c>
      <c r="E632" s="7" t="s">
        <v>1172</v>
      </c>
      <c r="F632" s="7" t="s">
        <v>1172</v>
      </c>
      <c r="G632" s="7" t="s">
        <v>1173</v>
      </c>
      <c r="H632" s="7" t="s">
        <v>37</v>
      </c>
      <c r="I632" s="7" t="s">
        <v>33</v>
      </c>
      <c r="J632" s="7" t="s">
        <v>39</v>
      </c>
      <c r="K632" s="7" t="s">
        <v>33</v>
      </c>
      <c r="L632" s="7" t="s">
        <v>54</v>
      </c>
      <c r="M632" s="7" t="s">
        <v>33</v>
      </c>
      <c r="N632" s="7" t="s">
        <v>33</v>
      </c>
      <c r="O632" s="7" t="s">
        <v>33</v>
      </c>
      <c r="P632" s="11" t="str">
        <f t="shared" si="18"/>
        <v>平</v>
      </c>
      <c r="Q632" s="11" t="str">
        <f t="shared" si="19"/>
        <v>胜</v>
      </c>
    </row>
    <row r="633" spans="4:17" x14ac:dyDescent="0.15">
      <c r="D633" s="7" t="s">
        <v>6</v>
      </c>
      <c r="E633" s="7" t="s">
        <v>1174</v>
      </c>
      <c r="F633" s="7" t="s">
        <v>1174</v>
      </c>
      <c r="G633" s="7" t="s">
        <v>1175</v>
      </c>
      <c r="H633" s="7" t="s">
        <v>49</v>
      </c>
      <c r="I633" s="7" t="s">
        <v>33</v>
      </c>
      <c r="J633" s="7" t="s">
        <v>10</v>
      </c>
      <c r="K633" s="7" t="s">
        <v>33</v>
      </c>
      <c r="L633" s="7" t="s">
        <v>45</v>
      </c>
      <c r="M633" s="7" t="s">
        <v>33</v>
      </c>
      <c r="N633" s="7" t="s">
        <v>33</v>
      </c>
      <c r="O633" s="7" t="s">
        <v>33</v>
      </c>
      <c r="P633" s="11" t="str">
        <f t="shared" si="18"/>
        <v>平</v>
      </c>
      <c r="Q633" s="11" t="str">
        <f t="shared" si="19"/>
        <v>胜</v>
      </c>
    </row>
    <row r="634" spans="4:17" x14ac:dyDescent="0.15">
      <c r="D634" s="7" t="s">
        <v>6</v>
      </c>
      <c r="E634" s="7" t="s">
        <v>1176</v>
      </c>
      <c r="F634" s="7" t="s">
        <v>1176</v>
      </c>
      <c r="G634" s="7" t="s">
        <v>1177</v>
      </c>
      <c r="H634" s="7" t="s">
        <v>56</v>
      </c>
      <c r="I634" s="7" t="s">
        <v>33</v>
      </c>
      <c r="J634" s="7" t="s">
        <v>33</v>
      </c>
      <c r="K634" s="7" t="s">
        <v>33</v>
      </c>
      <c r="L634" s="7" t="s">
        <v>38</v>
      </c>
      <c r="M634" s="7" t="s">
        <v>33</v>
      </c>
      <c r="N634" s="7" t="s">
        <v>10</v>
      </c>
      <c r="O634" s="7" t="s">
        <v>33</v>
      </c>
      <c r="P634" s="11" t="str">
        <f t="shared" si="18"/>
        <v>平</v>
      </c>
      <c r="Q634" s="11" t="str">
        <f t="shared" si="19"/>
        <v>负</v>
      </c>
    </row>
    <row r="635" spans="4:17" x14ac:dyDescent="0.15">
      <c r="D635" s="7" t="s">
        <v>6</v>
      </c>
      <c r="E635" s="7" t="s">
        <v>1178</v>
      </c>
      <c r="F635" s="7" t="s">
        <v>1178</v>
      </c>
      <c r="G635" s="7" t="s">
        <v>1179</v>
      </c>
      <c r="H635" s="7" t="s">
        <v>35</v>
      </c>
      <c r="I635" s="7" t="s">
        <v>10</v>
      </c>
      <c r="J635" s="7" t="s">
        <v>50</v>
      </c>
      <c r="K635" s="7" t="s">
        <v>33</v>
      </c>
      <c r="L635" s="7" t="s">
        <v>42</v>
      </c>
      <c r="M635" s="7" t="s">
        <v>33</v>
      </c>
      <c r="N635" s="7" t="s">
        <v>10</v>
      </c>
      <c r="O635" s="7" t="s">
        <v>33</v>
      </c>
      <c r="P635" s="11" t="str">
        <f t="shared" si="18"/>
        <v>胜</v>
      </c>
      <c r="Q635" s="11" t="str">
        <f t="shared" si="19"/>
        <v>胜</v>
      </c>
    </row>
    <row r="636" spans="4:17" x14ac:dyDescent="0.15">
      <c r="D636" s="7" t="s">
        <v>6</v>
      </c>
      <c r="E636" s="7" t="s">
        <v>1180</v>
      </c>
      <c r="F636" s="7" t="s">
        <v>1180</v>
      </c>
      <c r="G636" s="7" t="s">
        <v>1181</v>
      </c>
      <c r="H636" s="7" t="s">
        <v>38</v>
      </c>
      <c r="I636" s="7" t="s">
        <v>10</v>
      </c>
      <c r="J636" s="7" t="s">
        <v>9</v>
      </c>
      <c r="K636" s="7" t="s">
        <v>33</v>
      </c>
      <c r="L636" s="7" t="s">
        <v>44</v>
      </c>
      <c r="M636" s="7" t="s">
        <v>33</v>
      </c>
      <c r="N636" s="7" t="s">
        <v>10</v>
      </c>
      <c r="O636" s="7" t="s">
        <v>33</v>
      </c>
      <c r="P636" s="11" t="str">
        <f t="shared" si="18"/>
        <v>胜</v>
      </c>
      <c r="Q636" s="11" t="str">
        <f t="shared" si="19"/>
        <v>胜</v>
      </c>
    </row>
    <row r="637" spans="4:17" x14ac:dyDescent="0.15">
      <c r="D637" s="7" t="s">
        <v>6</v>
      </c>
      <c r="E637" s="7" t="s">
        <v>1182</v>
      </c>
      <c r="F637" s="7" t="s">
        <v>1182</v>
      </c>
      <c r="G637" s="7" t="s">
        <v>1183</v>
      </c>
      <c r="H637" s="7" t="s">
        <v>54</v>
      </c>
      <c r="I637" s="7" t="s">
        <v>10</v>
      </c>
      <c r="J637" s="7" t="s">
        <v>9</v>
      </c>
      <c r="K637" s="7" t="s">
        <v>33</v>
      </c>
      <c r="L637" s="7" t="s">
        <v>56</v>
      </c>
      <c r="M637" s="7" t="s">
        <v>33</v>
      </c>
      <c r="N637" s="7" t="s">
        <v>33</v>
      </c>
      <c r="O637" s="7" t="s">
        <v>33</v>
      </c>
      <c r="P637" s="11" t="str">
        <f t="shared" si="18"/>
        <v>胜</v>
      </c>
      <c r="Q637" s="11" t="str">
        <f t="shared" si="19"/>
        <v>胜</v>
      </c>
    </row>
    <row r="638" spans="4:17" x14ac:dyDescent="0.15">
      <c r="D638" s="7" t="s">
        <v>6</v>
      </c>
      <c r="E638" s="7" t="s">
        <v>1184</v>
      </c>
      <c r="F638" s="7" t="s">
        <v>1184</v>
      </c>
      <c r="G638" s="7" t="s">
        <v>1179</v>
      </c>
      <c r="H638" s="7" t="s">
        <v>52</v>
      </c>
      <c r="I638" s="7" t="s">
        <v>33</v>
      </c>
      <c r="J638" s="7" t="s">
        <v>33</v>
      </c>
      <c r="K638" s="7" t="s">
        <v>33</v>
      </c>
      <c r="L638" s="7" t="s">
        <v>37</v>
      </c>
      <c r="M638" s="7" t="s">
        <v>33</v>
      </c>
      <c r="N638" s="7" t="s">
        <v>39</v>
      </c>
      <c r="O638" s="7" t="s">
        <v>33</v>
      </c>
      <c r="P638" s="11" t="str">
        <f t="shared" si="18"/>
        <v>平</v>
      </c>
      <c r="Q638" s="11" t="str">
        <f t="shared" si="19"/>
        <v>负</v>
      </c>
    </row>
    <row r="639" spans="4:17" x14ac:dyDescent="0.15">
      <c r="D639" s="7" t="s">
        <v>6</v>
      </c>
      <c r="E639" s="7" t="s">
        <v>1185</v>
      </c>
      <c r="F639" s="7" t="s">
        <v>1185</v>
      </c>
      <c r="G639" s="7" t="s">
        <v>1181</v>
      </c>
      <c r="H639" s="7" t="s">
        <v>43</v>
      </c>
      <c r="I639" s="7" t="s">
        <v>10</v>
      </c>
      <c r="J639" s="7" t="s">
        <v>10</v>
      </c>
      <c r="K639" s="7" t="s">
        <v>33</v>
      </c>
      <c r="L639" s="7" t="s">
        <v>41</v>
      </c>
      <c r="M639" s="7" t="s">
        <v>39</v>
      </c>
      <c r="N639" s="7" t="s">
        <v>39</v>
      </c>
      <c r="O639" s="7" t="s">
        <v>33</v>
      </c>
      <c r="P639" s="11" t="str">
        <f t="shared" si="18"/>
        <v>负</v>
      </c>
      <c r="Q639" s="11" t="str">
        <f t="shared" si="19"/>
        <v>负</v>
      </c>
    </row>
    <row r="640" spans="4:17" x14ac:dyDescent="0.15">
      <c r="D640" s="7" t="s">
        <v>6</v>
      </c>
      <c r="E640" s="7" t="s">
        <v>1186</v>
      </c>
      <c r="F640" s="7" t="s">
        <v>1186</v>
      </c>
      <c r="G640" s="7" t="s">
        <v>1187</v>
      </c>
      <c r="H640" s="7" t="s">
        <v>46</v>
      </c>
      <c r="I640" s="7" t="s">
        <v>10</v>
      </c>
      <c r="J640" s="7" t="s">
        <v>39</v>
      </c>
      <c r="K640" s="7" t="s">
        <v>33</v>
      </c>
      <c r="L640" s="7" t="s">
        <v>40</v>
      </c>
      <c r="M640" s="7" t="s">
        <v>33</v>
      </c>
      <c r="N640" s="7" t="s">
        <v>33</v>
      </c>
      <c r="O640" s="7" t="s">
        <v>33</v>
      </c>
      <c r="P640" s="11" t="str">
        <f t="shared" si="18"/>
        <v>胜</v>
      </c>
      <c r="Q640" s="11" t="str">
        <f t="shared" si="19"/>
        <v>胜</v>
      </c>
    </row>
    <row r="641" spans="4:17" x14ac:dyDescent="0.15">
      <c r="D641" s="7" t="s">
        <v>6</v>
      </c>
      <c r="E641" s="7" t="s">
        <v>1188</v>
      </c>
      <c r="F641" s="7" t="s">
        <v>1188</v>
      </c>
      <c r="G641" s="7" t="s">
        <v>1189</v>
      </c>
      <c r="H641" s="7" t="s">
        <v>48</v>
      </c>
      <c r="I641" s="7" t="s">
        <v>9</v>
      </c>
      <c r="J641" s="7" t="s">
        <v>50</v>
      </c>
      <c r="K641" s="7" t="s">
        <v>33</v>
      </c>
      <c r="L641" s="7" t="s">
        <v>49</v>
      </c>
      <c r="M641" s="7" t="s">
        <v>10</v>
      </c>
      <c r="N641" s="7" t="s">
        <v>39</v>
      </c>
      <c r="O641" s="7" t="s">
        <v>33</v>
      </c>
      <c r="P641" s="11" t="str">
        <f t="shared" si="18"/>
        <v>胜</v>
      </c>
      <c r="Q641" s="11" t="str">
        <f t="shared" si="19"/>
        <v>胜</v>
      </c>
    </row>
    <row r="642" spans="4:17" x14ac:dyDescent="0.15">
      <c r="D642" s="7" t="s">
        <v>6</v>
      </c>
      <c r="E642" s="7" t="s">
        <v>1190</v>
      </c>
      <c r="F642" s="7" t="s">
        <v>1190</v>
      </c>
      <c r="G642" s="7" t="s">
        <v>1191</v>
      </c>
      <c r="H642" s="7" t="s">
        <v>45</v>
      </c>
      <c r="I642" s="7" t="s">
        <v>33</v>
      </c>
      <c r="J642" s="7" t="s">
        <v>10</v>
      </c>
      <c r="K642" s="7" t="s">
        <v>33</v>
      </c>
      <c r="L642" s="7" t="s">
        <v>53</v>
      </c>
      <c r="M642" s="7" t="s">
        <v>10</v>
      </c>
      <c r="N642" s="7" t="s">
        <v>9</v>
      </c>
      <c r="O642" s="7" t="s">
        <v>33</v>
      </c>
      <c r="P642" s="11" t="str">
        <f t="shared" si="18"/>
        <v>负</v>
      </c>
      <c r="Q642" s="11" t="str">
        <f t="shared" si="19"/>
        <v>负</v>
      </c>
    </row>
    <row r="643" spans="4:17" x14ac:dyDescent="0.15">
      <c r="D643" s="7" t="s">
        <v>6</v>
      </c>
      <c r="E643" s="7" t="s">
        <v>1192</v>
      </c>
      <c r="F643" s="7" t="s">
        <v>1192</v>
      </c>
      <c r="G643" s="7" t="s">
        <v>1193</v>
      </c>
      <c r="H643" s="7" t="s">
        <v>56</v>
      </c>
      <c r="I643" s="7" t="s">
        <v>33</v>
      </c>
      <c r="J643" s="7" t="s">
        <v>10</v>
      </c>
      <c r="K643" s="7" t="s">
        <v>33</v>
      </c>
      <c r="L643" s="7" t="s">
        <v>46</v>
      </c>
      <c r="M643" s="7" t="s">
        <v>33</v>
      </c>
      <c r="N643" s="7" t="s">
        <v>33</v>
      </c>
      <c r="O643" s="7" t="s">
        <v>33</v>
      </c>
      <c r="P643" s="11" t="str">
        <f t="shared" si="18"/>
        <v>平</v>
      </c>
      <c r="Q643" s="11" t="str">
        <f t="shared" si="19"/>
        <v>胜</v>
      </c>
    </row>
    <row r="644" spans="4:17" x14ac:dyDescent="0.15">
      <c r="D644" s="7" t="s">
        <v>6</v>
      </c>
      <c r="E644" s="7" t="s">
        <v>1194</v>
      </c>
      <c r="F644" s="7" t="s">
        <v>1194</v>
      </c>
      <c r="G644" s="7" t="s">
        <v>1195</v>
      </c>
      <c r="H644" s="7" t="s">
        <v>49</v>
      </c>
      <c r="I644" s="7" t="s">
        <v>33</v>
      </c>
      <c r="J644" s="7" t="s">
        <v>10</v>
      </c>
      <c r="K644" s="7" t="s">
        <v>33</v>
      </c>
      <c r="L644" s="7" t="s">
        <v>52</v>
      </c>
      <c r="M644" s="7" t="s">
        <v>10</v>
      </c>
      <c r="N644" s="7" t="s">
        <v>9</v>
      </c>
      <c r="O644" s="7" t="s">
        <v>33</v>
      </c>
      <c r="P644" s="11" t="str">
        <f t="shared" si="18"/>
        <v>负</v>
      </c>
      <c r="Q644" s="11" t="str">
        <f t="shared" si="19"/>
        <v>负</v>
      </c>
    </row>
    <row r="645" spans="4:17" x14ac:dyDescent="0.15">
      <c r="D645" s="7" t="s">
        <v>6</v>
      </c>
      <c r="E645" s="7" t="s">
        <v>1196</v>
      </c>
      <c r="F645" s="7" t="s">
        <v>1196</v>
      </c>
      <c r="G645" s="7" t="s">
        <v>1195</v>
      </c>
      <c r="H645" s="7" t="s">
        <v>42</v>
      </c>
      <c r="I645" s="7" t="s">
        <v>33</v>
      </c>
      <c r="J645" s="7" t="s">
        <v>9</v>
      </c>
      <c r="K645" s="7" t="s">
        <v>33</v>
      </c>
      <c r="L645" s="7" t="s">
        <v>54</v>
      </c>
      <c r="M645" s="7" t="s">
        <v>33</v>
      </c>
      <c r="N645" s="7" t="s">
        <v>33</v>
      </c>
      <c r="O645" s="7" t="s">
        <v>33</v>
      </c>
      <c r="P645" s="11" t="str">
        <f t="shared" si="18"/>
        <v>平</v>
      </c>
      <c r="Q645" s="11" t="str">
        <f t="shared" si="19"/>
        <v>胜</v>
      </c>
    </row>
    <row r="646" spans="4:17" x14ac:dyDescent="0.15">
      <c r="D646" s="7" t="s">
        <v>6</v>
      </c>
      <c r="E646" s="7" t="s">
        <v>1197</v>
      </c>
      <c r="F646" s="7" t="s">
        <v>1197</v>
      </c>
      <c r="G646" s="7" t="s">
        <v>1198</v>
      </c>
      <c r="H646" s="7" t="s">
        <v>37</v>
      </c>
      <c r="I646" s="7" t="s">
        <v>9</v>
      </c>
      <c r="J646" s="7" t="s">
        <v>9</v>
      </c>
      <c r="K646" s="7" t="s">
        <v>33</v>
      </c>
      <c r="L646" s="7" t="s">
        <v>38</v>
      </c>
      <c r="M646" s="7" t="s">
        <v>10</v>
      </c>
      <c r="N646" s="7" t="s">
        <v>10</v>
      </c>
      <c r="O646" s="7" t="s">
        <v>33</v>
      </c>
      <c r="P646" s="11" t="str">
        <f t="shared" si="18"/>
        <v>胜</v>
      </c>
      <c r="Q646" s="11" t="str">
        <f t="shared" si="19"/>
        <v>胜</v>
      </c>
    </row>
    <row r="647" spans="4:17" x14ac:dyDescent="0.15">
      <c r="D647" s="7" t="s">
        <v>6</v>
      </c>
      <c r="E647" s="7" t="s">
        <v>1199</v>
      </c>
      <c r="F647" s="7" t="s">
        <v>1199</v>
      </c>
      <c r="G647" s="7" t="s">
        <v>1200</v>
      </c>
      <c r="H647" s="7" t="s">
        <v>41</v>
      </c>
      <c r="I647" s="7" t="s">
        <v>10</v>
      </c>
      <c r="J647" s="7" t="s">
        <v>39</v>
      </c>
      <c r="K647" s="7" t="s">
        <v>33</v>
      </c>
      <c r="L647" s="7" t="s">
        <v>45</v>
      </c>
      <c r="M647" s="7" t="s">
        <v>33</v>
      </c>
      <c r="N647" s="7" t="s">
        <v>33</v>
      </c>
      <c r="O647" s="7" t="s">
        <v>33</v>
      </c>
      <c r="P647" s="11" t="str">
        <f t="shared" si="18"/>
        <v>胜</v>
      </c>
      <c r="Q647" s="11" t="str">
        <f t="shared" si="19"/>
        <v>胜</v>
      </c>
    </row>
    <row r="648" spans="4:17" x14ac:dyDescent="0.15">
      <c r="D648" s="7" t="s">
        <v>6</v>
      </c>
      <c r="E648" s="7" t="s">
        <v>1201</v>
      </c>
      <c r="F648" s="7" t="s">
        <v>1201</v>
      </c>
      <c r="G648" s="7" t="s">
        <v>1202</v>
      </c>
      <c r="H648" s="7" t="s">
        <v>53</v>
      </c>
      <c r="I648" s="7" t="s">
        <v>33</v>
      </c>
      <c r="J648" s="7" t="s">
        <v>39</v>
      </c>
      <c r="K648" s="7" t="s">
        <v>33</v>
      </c>
      <c r="L648" s="7" t="s">
        <v>35</v>
      </c>
      <c r="M648" s="7" t="s">
        <v>33</v>
      </c>
      <c r="N648" s="7" t="s">
        <v>33</v>
      </c>
      <c r="O648" s="7" t="s">
        <v>33</v>
      </c>
      <c r="P648" s="11" t="str">
        <f t="shared" si="18"/>
        <v>平</v>
      </c>
      <c r="Q648" s="11" t="str">
        <f t="shared" si="19"/>
        <v>胜</v>
      </c>
    </row>
    <row r="649" spans="4:17" x14ac:dyDescent="0.15">
      <c r="D649" s="7" t="s">
        <v>6</v>
      </c>
      <c r="E649" s="7" t="s">
        <v>1203</v>
      </c>
      <c r="F649" s="7" t="s">
        <v>1203</v>
      </c>
      <c r="G649" s="7" t="s">
        <v>1202</v>
      </c>
      <c r="H649" s="7" t="s">
        <v>44</v>
      </c>
      <c r="I649" s="7" t="s">
        <v>33</v>
      </c>
      <c r="J649" s="7" t="s">
        <v>33</v>
      </c>
      <c r="K649" s="7" t="s">
        <v>33</v>
      </c>
      <c r="L649" s="7" t="s">
        <v>48</v>
      </c>
      <c r="M649" s="7" t="s">
        <v>10</v>
      </c>
      <c r="N649" s="7" t="s">
        <v>9</v>
      </c>
      <c r="O649" s="7" t="s">
        <v>33</v>
      </c>
      <c r="P649" s="11" t="str">
        <f t="shared" si="18"/>
        <v>负</v>
      </c>
      <c r="Q649" s="11" t="str">
        <f t="shared" si="19"/>
        <v>负</v>
      </c>
    </row>
    <row r="650" spans="4:17" x14ac:dyDescent="0.15">
      <c r="D650" s="7" t="s">
        <v>6</v>
      </c>
      <c r="E650" s="7" t="s">
        <v>1204</v>
      </c>
      <c r="F650" s="7" t="s">
        <v>1204</v>
      </c>
      <c r="G650" s="7" t="s">
        <v>1205</v>
      </c>
      <c r="H650" s="7" t="s">
        <v>40</v>
      </c>
      <c r="I650" s="7" t="s">
        <v>10</v>
      </c>
      <c r="J650" s="7" t="s">
        <v>10</v>
      </c>
      <c r="K650" s="7" t="s">
        <v>33</v>
      </c>
      <c r="L650" s="7" t="s">
        <v>43</v>
      </c>
      <c r="M650" s="7" t="s">
        <v>10</v>
      </c>
      <c r="N650" s="7" t="s">
        <v>10</v>
      </c>
      <c r="O650" s="7" t="s">
        <v>33</v>
      </c>
      <c r="P650" s="11" t="str">
        <f t="shared" si="18"/>
        <v>平</v>
      </c>
      <c r="Q650" s="11" t="str">
        <f t="shared" si="19"/>
        <v>平</v>
      </c>
    </row>
    <row r="651" spans="4:17" x14ac:dyDescent="0.15">
      <c r="D651" s="7" t="s">
        <v>6</v>
      </c>
      <c r="E651" s="7" t="s">
        <v>1206</v>
      </c>
      <c r="F651" s="7" t="s">
        <v>1206</v>
      </c>
      <c r="G651" s="7" t="s">
        <v>1207</v>
      </c>
      <c r="H651" s="7" t="s">
        <v>43</v>
      </c>
      <c r="I651" s="7" t="s">
        <v>9</v>
      </c>
      <c r="J651" s="7" t="s">
        <v>39</v>
      </c>
      <c r="K651" s="7" t="s">
        <v>33</v>
      </c>
      <c r="L651" s="7" t="s">
        <v>44</v>
      </c>
      <c r="M651" s="7" t="s">
        <v>33</v>
      </c>
      <c r="N651" s="7" t="s">
        <v>10</v>
      </c>
      <c r="O651" s="7" t="s">
        <v>33</v>
      </c>
      <c r="P651" s="11" t="str">
        <f t="shared" si="18"/>
        <v>胜</v>
      </c>
      <c r="Q651" s="11" t="str">
        <f t="shared" si="19"/>
        <v>胜</v>
      </c>
    </row>
    <row r="652" spans="4:17" x14ac:dyDescent="0.15">
      <c r="D652" s="7" t="s">
        <v>6</v>
      </c>
      <c r="E652" s="7" t="s">
        <v>1208</v>
      </c>
      <c r="F652" s="7" t="s">
        <v>1208</v>
      </c>
      <c r="G652" s="7" t="s">
        <v>1209</v>
      </c>
      <c r="H652" s="7" t="s">
        <v>38</v>
      </c>
      <c r="I652" s="7" t="s">
        <v>39</v>
      </c>
      <c r="J652" s="7" t="s">
        <v>50</v>
      </c>
      <c r="K652" s="7" t="s">
        <v>33</v>
      </c>
      <c r="L652" s="7" t="s">
        <v>49</v>
      </c>
      <c r="M652" s="7" t="s">
        <v>33</v>
      </c>
      <c r="N652" s="7" t="s">
        <v>33</v>
      </c>
      <c r="O652" s="7" t="s">
        <v>33</v>
      </c>
      <c r="P652" s="11" t="str">
        <f t="shared" si="18"/>
        <v>胜</v>
      </c>
      <c r="Q652" s="11" t="str">
        <f t="shared" si="19"/>
        <v>胜</v>
      </c>
    </row>
    <row r="653" spans="4:17" x14ac:dyDescent="0.15">
      <c r="D653" s="7" t="s">
        <v>6</v>
      </c>
      <c r="E653" s="7" t="s">
        <v>1210</v>
      </c>
      <c r="F653" s="7" t="s">
        <v>1210</v>
      </c>
      <c r="G653" s="7" t="s">
        <v>1211</v>
      </c>
      <c r="H653" s="7" t="s">
        <v>52</v>
      </c>
      <c r="I653" s="7" t="s">
        <v>33</v>
      </c>
      <c r="J653" s="7" t="s">
        <v>9</v>
      </c>
      <c r="K653" s="7" t="s">
        <v>33</v>
      </c>
      <c r="L653" s="7" t="s">
        <v>56</v>
      </c>
      <c r="M653" s="7" t="s">
        <v>33</v>
      </c>
      <c r="N653" s="7" t="s">
        <v>33</v>
      </c>
      <c r="O653" s="7" t="s">
        <v>33</v>
      </c>
      <c r="P653" s="11" t="str">
        <f t="shared" ref="P653:P716" si="20">IF(I653=M653,"平",IF(I653&gt;M653,"胜","负"))</f>
        <v>平</v>
      </c>
      <c r="Q653" s="11" t="str">
        <f t="shared" ref="Q653:Q716" si="21">IF(J653=N653,"平",IF(J653&gt;N653,"胜","负"))</f>
        <v>胜</v>
      </c>
    </row>
    <row r="654" spans="4:17" x14ac:dyDescent="0.15">
      <c r="D654" s="7" t="s">
        <v>6</v>
      </c>
      <c r="E654" s="7" t="s">
        <v>1212</v>
      </c>
      <c r="F654" s="7" t="s">
        <v>1212</v>
      </c>
      <c r="G654" s="7" t="s">
        <v>1213</v>
      </c>
      <c r="H654" s="7" t="s">
        <v>46</v>
      </c>
      <c r="I654" s="7" t="s">
        <v>9</v>
      </c>
      <c r="J654" s="7" t="s">
        <v>39</v>
      </c>
      <c r="K654" s="7" t="s">
        <v>33</v>
      </c>
      <c r="L654" s="7" t="s">
        <v>48</v>
      </c>
      <c r="M654" s="7" t="s">
        <v>33</v>
      </c>
      <c r="N654" s="7" t="s">
        <v>10</v>
      </c>
      <c r="O654" s="7" t="s">
        <v>33</v>
      </c>
      <c r="P654" s="11" t="str">
        <f t="shared" si="20"/>
        <v>胜</v>
      </c>
      <c r="Q654" s="11" t="str">
        <f t="shared" si="21"/>
        <v>胜</v>
      </c>
    </row>
    <row r="655" spans="4:17" x14ac:dyDescent="0.15">
      <c r="D655" s="7" t="s">
        <v>6</v>
      </c>
      <c r="E655" s="7" t="s">
        <v>1214</v>
      </c>
      <c r="F655" s="7" t="s">
        <v>1214</v>
      </c>
      <c r="G655" s="7" t="s">
        <v>1209</v>
      </c>
      <c r="H655" s="7" t="s">
        <v>35</v>
      </c>
      <c r="I655" s="7" t="s">
        <v>10</v>
      </c>
      <c r="J655" s="7" t="s">
        <v>10</v>
      </c>
      <c r="K655" s="7" t="s">
        <v>33</v>
      </c>
      <c r="L655" s="7" t="s">
        <v>40</v>
      </c>
      <c r="M655" s="7" t="s">
        <v>10</v>
      </c>
      <c r="N655" s="7" t="s">
        <v>10</v>
      </c>
      <c r="O655" s="7" t="s">
        <v>33</v>
      </c>
      <c r="P655" s="11" t="str">
        <f t="shared" si="20"/>
        <v>平</v>
      </c>
      <c r="Q655" s="11" t="str">
        <f t="shared" si="21"/>
        <v>平</v>
      </c>
    </row>
    <row r="656" spans="4:17" x14ac:dyDescent="0.15">
      <c r="D656" s="7" t="s">
        <v>6</v>
      </c>
      <c r="E656" s="7" t="s">
        <v>1215</v>
      </c>
      <c r="F656" s="7" t="s">
        <v>1215</v>
      </c>
      <c r="G656" s="7" t="s">
        <v>1216</v>
      </c>
      <c r="H656" s="7" t="s">
        <v>42</v>
      </c>
      <c r="I656" s="7" t="s">
        <v>10</v>
      </c>
      <c r="J656" s="7" t="s">
        <v>39</v>
      </c>
      <c r="K656" s="7" t="s">
        <v>33</v>
      </c>
      <c r="L656" s="7" t="s">
        <v>41</v>
      </c>
      <c r="M656" s="7" t="s">
        <v>33</v>
      </c>
      <c r="N656" s="7" t="s">
        <v>33</v>
      </c>
      <c r="O656" s="7" t="s">
        <v>33</v>
      </c>
      <c r="P656" s="11" t="str">
        <f t="shared" si="20"/>
        <v>胜</v>
      </c>
      <c r="Q656" s="11" t="str">
        <f t="shared" si="21"/>
        <v>胜</v>
      </c>
    </row>
    <row r="657" spans="4:17" x14ac:dyDescent="0.15">
      <c r="D657" s="7" t="s">
        <v>6</v>
      </c>
      <c r="E657" s="7" t="s">
        <v>1217</v>
      </c>
      <c r="F657" s="7" t="s">
        <v>1217</v>
      </c>
      <c r="G657" s="7" t="s">
        <v>1218</v>
      </c>
      <c r="H657" s="7" t="s">
        <v>54</v>
      </c>
      <c r="I657" s="7" t="s">
        <v>10</v>
      </c>
      <c r="J657" s="7" t="s">
        <v>10</v>
      </c>
      <c r="K657" s="7" t="s">
        <v>33</v>
      </c>
      <c r="L657" s="7" t="s">
        <v>53</v>
      </c>
      <c r="M657" s="7" t="s">
        <v>33</v>
      </c>
      <c r="N657" s="7" t="s">
        <v>33</v>
      </c>
      <c r="O657" s="7" t="s">
        <v>33</v>
      </c>
      <c r="P657" s="11" t="str">
        <f t="shared" si="20"/>
        <v>胜</v>
      </c>
      <c r="Q657" s="11" t="str">
        <f t="shared" si="21"/>
        <v>胜</v>
      </c>
    </row>
    <row r="658" spans="4:17" x14ac:dyDescent="0.15">
      <c r="D658" s="7" t="s">
        <v>6</v>
      </c>
      <c r="E658" s="7" t="s">
        <v>1219</v>
      </c>
      <c r="F658" s="7" t="s">
        <v>1219</v>
      </c>
      <c r="G658" s="7" t="s">
        <v>1220</v>
      </c>
      <c r="H658" s="7" t="s">
        <v>45</v>
      </c>
      <c r="I658" s="7" t="s">
        <v>33</v>
      </c>
      <c r="J658" s="7" t="s">
        <v>33</v>
      </c>
      <c r="K658" s="7" t="s">
        <v>33</v>
      </c>
      <c r="L658" s="7" t="s">
        <v>37</v>
      </c>
      <c r="M658" s="7" t="s">
        <v>10</v>
      </c>
      <c r="N658" s="7" t="s">
        <v>10</v>
      </c>
      <c r="O658" s="7" t="s">
        <v>33</v>
      </c>
      <c r="P658" s="11" t="str">
        <f t="shared" si="20"/>
        <v>负</v>
      </c>
      <c r="Q658" s="11" t="str">
        <f t="shared" si="21"/>
        <v>负</v>
      </c>
    </row>
    <row r="659" spans="4:17" x14ac:dyDescent="0.15">
      <c r="D659" s="7" t="s">
        <v>6</v>
      </c>
      <c r="E659" s="7" t="s">
        <v>1221</v>
      </c>
      <c r="F659" s="7" t="s">
        <v>1221</v>
      </c>
      <c r="G659" s="7" t="s">
        <v>1222</v>
      </c>
      <c r="H659" s="7" t="s">
        <v>40</v>
      </c>
      <c r="I659" s="7" t="s">
        <v>33</v>
      </c>
      <c r="J659" s="7" t="s">
        <v>10</v>
      </c>
      <c r="K659" s="7" t="s">
        <v>33</v>
      </c>
      <c r="L659" s="7" t="s">
        <v>52</v>
      </c>
      <c r="M659" s="7" t="s">
        <v>33</v>
      </c>
      <c r="N659" s="7" t="s">
        <v>33</v>
      </c>
      <c r="O659" s="7" t="s">
        <v>33</v>
      </c>
      <c r="P659" s="11" t="str">
        <f t="shared" si="20"/>
        <v>平</v>
      </c>
      <c r="Q659" s="11" t="str">
        <f t="shared" si="21"/>
        <v>胜</v>
      </c>
    </row>
    <row r="660" spans="4:17" x14ac:dyDescent="0.15">
      <c r="D660" s="7" t="s">
        <v>6</v>
      </c>
      <c r="E660" s="7" t="s">
        <v>1223</v>
      </c>
      <c r="F660" s="7" t="s">
        <v>1223</v>
      </c>
      <c r="G660" s="7" t="s">
        <v>1224</v>
      </c>
      <c r="H660" s="7" t="s">
        <v>37</v>
      </c>
      <c r="I660" s="7" t="s">
        <v>33</v>
      </c>
      <c r="J660" s="7" t="s">
        <v>33</v>
      </c>
      <c r="K660" s="7" t="s">
        <v>33</v>
      </c>
      <c r="L660" s="7" t="s">
        <v>43</v>
      </c>
      <c r="M660" s="7" t="s">
        <v>33</v>
      </c>
      <c r="N660" s="7" t="s">
        <v>33</v>
      </c>
      <c r="O660" s="7" t="s">
        <v>33</v>
      </c>
      <c r="P660" s="11" t="str">
        <f t="shared" si="20"/>
        <v>平</v>
      </c>
      <c r="Q660" s="11" t="str">
        <f t="shared" si="21"/>
        <v>平</v>
      </c>
    </row>
    <row r="661" spans="4:17" x14ac:dyDescent="0.15">
      <c r="D661" s="7" t="s">
        <v>6</v>
      </c>
      <c r="E661" s="7" t="s">
        <v>1225</v>
      </c>
      <c r="F661" s="7" t="s">
        <v>1225</v>
      </c>
      <c r="G661" s="7" t="s">
        <v>1224</v>
      </c>
      <c r="H661" s="7" t="s">
        <v>41</v>
      </c>
      <c r="I661" s="7" t="s">
        <v>9</v>
      </c>
      <c r="J661" s="7" t="s">
        <v>47</v>
      </c>
      <c r="K661" s="7" t="s">
        <v>33</v>
      </c>
      <c r="L661" s="7" t="s">
        <v>56</v>
      </c>
      <c r="M661" s="7" t="s">
        <v>33</v>
      </c>
      <c r="N661" s="7" t="s">
        <v>10</v>
      </c>
      <c r="O661" s="7" t="s">
        <v>33</v>
      </c>
      <c r="P661" s="11" t="str">
        <f t="shared" si="20"/>
        <v>胜</v>
      </c>
      <c r="Q661" s="11" t="str">
        <f t="shared" si="21"/>
        <v>胜</v>
      </c>
    </row>
    <row r="662" spans="4:17" x14ac:dyDescent="0.15">
      <c r="D662" s="7" t="s">
        <v>6</v>
      </c>
      <c r="E662" s="7" t="s">
        <v>1226</v>
      </c>
      <c r="F662" s="7" t="s">
        <v>1226</v>
      </c>
      <c r="G662" s="7" t="s">
        <v>1227</v>
      </c>
      <c r="H662" s="7" t="s">
        <v>53</v>
      </c>
      <c r="I662" s="7" t="s">
        <v>33</v>
      </c>
      <c r="J662" s="7" t="s">
        <v>33</v>
      </c>
      <c r="K662" s="7" t="s">
        <v>33</v>
      </c>
      <c r="L662" s="7" t="s">
        <v>42</v>
      </c>
      <c r="M662" s="7" t="s">
        <v>39</v>
      </c>
      <c r="N662" s="7" t="s">
        <v>39</v>
      </c>
      <c r="O662" s="7" t="s">
        <v>33</v>
      </c>
      <c r="P662" s="11" t="str">
        <f t="shared" si="20"/>
        <v>负</v>
      </c>
      <c r="Q662" s="11" t="str">
        <f t="shared" si="21"/>
        <v>负</v>
      </c>
    </row>
    <row r="663" spans="4:17" x14ac:dyDescent="0.15">
      <c r="D663" s="7" t="s">
        <v>6</v>
      </c>
      <c r="E663" s="7" t="s">
        <v>1228</v>
      </c>
      <c r="F663" s="7" t="s">
        <v>1228</v>
      </c>
      <c r="G663" s="7" t="s">
        <v>1229</v>
      </c>
      <c r="H663" s="7" t="s">
        <v>49</v>
      </c>
      <c r="I663" s="7" t="s">
        <v>9</v>
      </c>
      <c r="J663" s="7" t="s">
        <v>39</v>
      </c>
      <c r="K663" s="7" t="s">
        <v>33</v>
      </c>
      <c r="L663" s="7" t="s">
        <v>35</v>
      </c>
      <c r="M663" s="7" t="s">
        <v>33</v>
      </c>
      <c r="N663" s="7" t="s">
        <v>33</v>
      </c>
      <c r="O663" s="7" t="s">
        <v>33</v>
      </c>
      <c r="P663" s="11" t="str">
        <f t="shared" si="20"/>
        <v>胜</v>
      </c>
      <c r="Q663" s="11" t="str">
        <f t="shared" si="21"/>
        <v>胜</v>
      </c>
    </row>
    <row r="664" spans="4:17" x14ac:dyDescent="0.15">
      <c r="D664" s="7" t="s">
        <v>6</v>
      </c>
      <c r="E664" s="7" t="s">
        <v>1230</v>
      </c>
      <c r="F664" s="7" t="s">
        <v>1230</v>
      </c>
      <c r="G664" s="7" t="s">
        <v>1231</v>
      </c>
      <c r="H664" s="7" t="s">
        <v>45</v>
      </c>
      <c r="I664" s="7" t="s">
        <v>10</v>
      </c>
      <c r="J664" s="7" t="s">
        <v>39</v>
      </c>
      <c r="K664" s="7" t="s">
        <v>33</v>
      </c>
      <c r="L664" s="7" t="s">
        <v>54</v>
      </c>
      <c r="M664" s="7" t="s">
        <v>33</v>
      </c>
      <c r="N664" s="7" t="s">
        <v>33</v>
      </c>
      <c r="O664" s="7" t="s">
        <v>33</v>
      </c>
      <c r="P664" s="11" t="str">
        <f t="shared" si="20"/>
        <v>胜</v>
      </c>
      <c r="Q664" s="11" t="str">
        <f t="shared" si="21"/>
        <v>胜</v>
      </c>
    </row>
    <row r="665" spans="4:17" x14ac:dyDescent="0.15">
      <c r="D665" s="7" t="s">
        <v>6</v>
      </c>
      <c r="E665" s="7" t="s">
        <v>1232</v>
      </c>
      <c r="F665" s="7" t="s">
        <v>1232</v>
      </c>
      <c r="G665" s="7" t="s">
        <v>1233</v>
      </c>
      <c r="H665" s="7" t="s">
        <v>44</v>
      </c>
      <c r="I665" s="7" t="s">
        <v>33</v>
      </c>
      <c r="J665" s="7" t="s">
        <v>33</v>
      </c>
      <c r="K665" s="7" t="s">
        <v>33</v>
      </c>
      <c r="L665" s="7" t="s">
        <v>46</v>
      </c>
      <c r="M665" s="7" t="s">
        <v>33</v>
      </c>
      <c r="N665" s="7" t="s">
        <v>9</v>
      </c>
      <c r="O665" s="7" t="s">
        <v>33</v>
      </c>
      <c r="P665" s="11" t="str">
        <f t="shared" si="20"/>
        <v>平</v>
      </c>
      <c r="Q665" s="11" t="str">
        <f t="shared" si="21"/>
        <v>负</v>
      </c>
    </row>
    <row r="666" spans="4:17" x14ac:dyDescent="0.15">
      <c r="D666" s="7" t="s">
        <v>6</v>
      </c>
      <c r="E666" s="7" t="s">
        <v>1234</v>
      </c>
      <c r="F666" s="7" t="s">
        <v>1234</v>
      </c>
      <c r="G666" s="7" t="s">
        <v>1235</v>
      </c>
      <c r="H666" s="7" t="s">
        <v>48</v>
      </c>
      <c r="I666" s="7" t="s">
        <v>33</v>
      </c>
      <c r="J666" s="7" t="s">
        <v>33</v>
      </c>
      <c r="K666" s="7" t="s">
        <v>33</v>
      </c>
      <c r="L666" s="7" t="s">
        <v>38</v>
      </c>
      <c r="M666" s="7" t="s">
        <v>33</v>
      </c>
      <c r="N666" s="7" t="s">
        <v>33</v>
      </c>
      <c r="O666" s="7" t="s">
        <v>33</v>
      </c>
      <c r="P666" s="11" t="str">
        <f t="shared" si="20"/>
        <v>平</v>
      </c>
      <c r="Q666" s="11" t="str">
        <f t="shared" si="21"/>
        <v>平</v>
      </c>
    </row>
    <row r="667" spans="4:17" x14ac:dyDescent="0.15">
      <c r="D667" s="7" t="s">
        <v>6</v>
      </c>
      <c r="E667" s="7" t="s">
        <v>1236</v>
      </c>
      <c r="F667" s="7" t="s">
        <v>1236</v>
      </c>
      <c r="G667" s="7" t="s">
        <v>1237</v>
      </c>
      <c r="H667" s="7" t="s">
        <v>46</v>
      </c>
      <c r="I667" s="7" t="s">
        <v>10</v>
      </c>
      <c r="J667" s="7" t="s">
        <v>10</v>
      </c>
      <c r="K667" s="7" t="s">
        <v>33</v>
      </c>
      <c r="L667" s="7" t="s">
        <v>45</v>
      </c>
      <c r="M667" s="7" t="s">
        <v>10</v>
      </c>
      <c r="N667" s="7" t="s">
        <v>10</v>
      </c>
      <c r="O667" s="7" t="s">
        <v>33</v>
      </c>
      <c r="P667" s="11" t="str">
        <f t="shared" si="20"/>
        <v>平</v>
      </c>
      <c r="Q667" s="11" t="str">
        <f t="shared" si="21"/>
        <v>平</v>
      </c>
    </row>
    <row r="668" spans="4:17" x14ac:dyDescent="0.15">
      <c r="D668" s="7" t="s">
        <v>6</v>
      </c>
      <c r="E668" s="7" t="s">
        <v>1238</v>
      </c>
      <c r="F668" s="7" t="s">
        <v>1238</v>
      </c>
      <c r="G668" s="7" t="s">
        <v>1239</v>
      </c>
      <c r="H668" s="7" t="s">
        <v>43</v>
      </c>
      <c r="I668" s="7" t="s">
        <v>33</v>
      </c>
      <c r="J668" s="7" t="s">
        <v>39</v>
      </c>
      <c r="K668" s="7" t="s">
        <v>33</v>
      </c>
      <c r="L668" s="7" t="s">
        <v>53</v>
      </c>
      <c r="M668" s="7" t="s">
        <v>10</v>
      </c>
      <c r="N668" s="7" t="s">
        <v>10</v>
      </c>
      <c r="O668" s="7" t="s">
        <v>33</v>
      </c>
      <c r="P668" s="11" t="str">
        <f t="shared" si="20"/>
        <v>负</v>
      </c>
      <c r="Q668" s="11" t="str">
        <f t="shared" si="21"/>
        <v>胜</v>
      </c>
    </row>
    <row r="669" spans="4:17" x14ac:dyDescent="0.15">
      <c r="D669" s="7" t="s">
        <v>6</v>
      </c>
      <c r="E669" s="7" t="s">
        <v>1240</v>
      </c>
      <c r="F669" s="7" t="s">
        <v>1240</v>
      </c>
      <c r="G669" s="7" t="s">
        <v>1239</v>
      </c>
      <c r="H669" s="7" t="s">
        <v>56</v>
      </c>
      <c r="I669" s="7" t="s">
        <v>33</v>
      </c>
      <c r="J669" s="7" t="s">
        <v>9</v>
      </c>
      <c r="K669" s="7" t="s">
        <v>33</v>
      </c>
      <c r="L669" s="7" t="s">
        <v>40</v>
      </c>
      <c r="M669" s="7" t="s">
        <v>33</v>
      </c>
      <c r="N669" s="7" t="s">
        <v>33</v>
      </c>
      <c r="O669" s="7" t="s">
        <v>33</v>
      </c>
      <c r="P669" s="11" t="str">
        <f t="shared" si="20"/>
        <v>平</v>
      </c>
      <c r="Q669" s="11" t="str">
        <f t="shared" si="21"/>
        <v>胜</v>
      </c>
    </row>
    <row r="670" spans="4:17" x14ac:dyDescent="0.15">
      <c r="D670" s="7" t="s">
        <v>6</v>
      </c>
      <c r="E670" s="7" t="s">
        <v>1241</v>
      </c>
      <c r="F670" s="7" t="s">
        <v>1241</v>
      </c>
      <c r="G670" s="7" t="s">
        <v>1239</v>
      </c>
      <c r="H670" s="7" t="s">
        <v>52</v>
      </c>
      <c r="I670" s="7" t="s">
        <v>10</v>
      </c>
      <c r="J670" s="7" t="s">
        <v>39</v>
      </c>
      <c r="K670" s="7" t="s">
        <v>33</v>
      </c>
      <c r="L670" s="7" t="s">
        <v>38</v>
      </c>
      <c r="M670" s="7" t="s">
        <v>33</v>
      </c>
      <c r="N670" s="7" t="s">
        <v>39</v>
      </c>
      <c r="O670" s="7" t="s">
        <v>33</v>
      </c>
      <c r="P670" s="11" t="str">
        <f t="shared" si="20"/>
        <v>胜</v>
      </c>
      <c r="Q670" s="11" t="str">
        <f t="shared" si="21"/>
        <v>平</v>
      </c>
    </row>
    <row r="671" spans="4:17" x14ac:dyDescent="0.15">
      <c r="D671" s="7" t="s">
        <v>6</v>
      </c>
      <c r="E671" s="7" t="s">
        <v>1242</v>
      </c>
      <c r="F671" s="7" t="s">
        <v>1242</v>
      </c>
      <c r="G671" s="7" t="s">
        <v>1239</v>
      </c>
      <c r="H671" s="7" t="s">
        <v>35</v>
      </c>
      <c r="I671" s="7" t="s">
        <v>33</v>
      </c>
      <c r="J671" s="7" t="s">
        <v>33</v>
      </c>
      <c r="K671" s="7" t="s">
        <v>33</v>
      </c>
      <c r="L671" s="7" t="s">
        <v>44</v>
      </c>
      <c r="M671" s="7" t="s">
        <v>33</v>
      </c>
      <c r="N671" s="7" t="s">
        <v>10</v>
      </c>
      <c r="O671" s="7" t="s">
        <v>33</v>
      </c>
      <c r="P671" s="11" t="str">
        <f t="shared" si="20"/>
        <v>平</v>
      </c>
      <c r="Q671" s="11" t="str">
        <f t="shared" si="21"/>
        <v>负</v>
      </c>
    </row>
    <row r="672" spans="4:17" x14ac:dyDescent="0.15">
      <c r="D672" s="7" t="s">
        <v>6</v>
      </c>
      <c r="E672" s="7" t="s">
        <v>1243</v>
      </c>
      <c r="F672" s="7" t="s">
        <v>1243</v>
      </c>
      <c r="G672" s="7" t="s">
        <v>1239</v>
      </c>
      <c r="H672" s="7" t="s">
        <v>42</v>
      </c>
      <c r="I672" s="7" t="s">
        <v>33</v>
      </c>
      <c r="J672" s="7" t="s">
        <v>33</v>
      </c>
      <c r="K672" s="7" t="s">
        <v>33</v>
      </c>
      <c r="L672" s="7" t="s">
        <v>48</v>
      </c>
      <c r="M672" s="7" t="s">
        <v>10</v>
      </c>
      <c r="N672" s="7" t="s">
        <v>39</v>
      </c>
      <c r="O672" s="7" t="s">
        <v>33</v>
      </c>
      <c r="P672" s="11" t="str">
        <f t="shared" si="20"/>
        <v>负</v>
      </c>
      <c r="Q672" s="11" t="str">
        <f t="shared" si="21"/>
        <v>负</v>
      </c>
    </row>
    <row r="673" spans="4:17" x14ac:dyDescent="0.15">
      <c r="D673" s="7" t="s">
        <v>6</v>
      </c>
      <c r="E673" s="7" t="s">
        <v>1244</v>
      </c>
      <c r="F673" s="7" t="s">
        <v>1244</v>
      </c>
      <c r="G673" s="7" t="s">
        <v>1245</v>
      </c>
      <c r="H673" s="7" t="s">
        <v>54</v>
      </c>
      <c r="I673" s="7" t="s">
        <v>9</v>
      </c>
      <c r="J673" s="7" t="s">
        <v>9</v>
      </c>
      <c r="K673" s="7" t="s">
        <v>33</v>
      </c>
      <c r="L673" s="7" t="s">
        <v>49</v>
      </c>
      <c r="M673" s="7" t="s">
        <v>33</v>
      </c>
      <c r="N673" s="7" t="s">
        <v>10</v>
      </c>
      <c r="O673" s="7" t="s">
        <v>33</v>
      </c>
      <c r="P673" s="11" t="str">
        <f t="shared" si="20"/>
        <v>胜</v>
      </c>
      <c r="Q673" s="11" t="str">
        <f t="shared" si="21"/>
        <v>胜</v>
      </c>
    </row>
    <row r="674" spans="4:17" x14ac:dyDescent="0.15">
      <c r="D674" s="7" t="s">
        <v>6</v>
      </c>
      <c r="E674" s="7" t="s">
        <v>1246</v>
      </c>
      <c r="F674" s="7" t="s">
        <v>1246</v>
      </c>
      <c r="G674" s="7" t="s">
        <v>1247</v>
      </c>
      <c r="H674" s="7" t="s">
        <v>41</v>
      </c>
      <c r="I674" s="7" t="s">
        <v>33</v>
      </c>
      <c r="J674" s="7" t="s">
        <v>10</v>
      </c>
      <c r="K674" s="7" t="s">
        <v>33</v>
      </c>
      <c r="L674" s="7" t="s">
        <v>37</v>
      </c>
      <c r="M674" s="7" t="s">
        <v>10</v>
      </c>
      <c r="N674" s="7" t="s">
        <v>9</v>
      </c>
      <c r="O674" s="7" t="s">
        <v>33</v>
      </c>
      <c r="P674" s="11" t="str">
        <f t="shared" si="20"/>
        <v>负</v>
      </c>
      <c r="Q674" s="11" t="str">
        <f t="shared" si="21"/>
        <v>负</v>
      </c>
    </row>
    <row r="675" spans="4:17" x14ac:dyDescent="0.15">
      <c r="D675" s="7" t="s">
        <v>6</v>
      </c>
      <c r="E675" s="7" t="s">
        <v>1248</v>
      </c>
      <c r="F675" s="7" t="s">
        <v>1248</v>
      </c>
      <c r="G675" s="7" t="s">
        <v>1249</v>
      </c>
      <c r="H675" s="7" t="s">
        <v>38</v>
      </c>
      <c r="I675" s="7" t="s">
        <v>33</v>
      </c>
      <c r="J675" s="7" t="s">
        <v>33</v>
      </c>
      <c r="K675" s="7" t="s">
        <v>33</v>
      </c>
      <c r="L675" s="7" t="s">
        <v>43</v>
      </c>
      <c r="M675" s="7" t="s">
        <v>10</v>
      </c>
      <c r="N675" s="7" t="s">
        <v>10</v>
      </c>
      <c r="O675" s="7" t="s">
        <v>33</v>
      </c>
      <c r="P675" s="11" t="str">
        <f t="shared" si="20"/>
        <v>负</v>
      </c>
      <c r="Q675" s="11" t="str">
        <f t="shared" si="21"/>
        <v>负</v>
      </c>
    </row>
    <row r="676" spans="4:17" x14ac:dyDescent="0.15">
      <c r="D676" s="7" t="s">
        <v>6</v>
      </c>
      <c r="E676" s="7" t="s">
        <v>1250</v>
      </c>
      <c r="F676" s="7" t="s">
        <v>1250</v>
      </c>
      <c r="G676" s="7" t="s">
        <v>1251</v>
      </c>
      <c r="H676" s="7" t="s">
        <v>48</v>
      </c>
      <c r="I676" s="7" t="s">
        <v>33</v>
      </c>
      <c r="J676" s="7" t="s">
        <v>33</v>
      </c>
      <c r="K676" s="7" t="s">
        <v>33</v>
      </c>
      <c r="L676" s="7" t="s">
        <v>35</v>
      </c>
      <c r="M676" s="7" t="s">
        <v>33</v>
      </c>
      <c r="N676" s="7" t="s">
        <v>33</v>
      </c>
      <c r="O676" s="7" t="s">
        <v>33</v>
      </c>
      <c r="P676" s="11" t="str">
        <f t="shared" si="20"/>
        <v>平</v>
      </c>
      <c r="Q676" s="11" t="str">
        <f t="shared" si="21"/>
        <v>平</v>
      </c>
    </row>
    <row r="677" spans="4:17" x14ac:dyDescent="0.15">
      <c r="D677" s="7" t="s">
        <v>6</v>
      </c>
      <c r="E677" s="7" t="s">
        <v>1252</v>
      </c>
      <c r="F677" s="7" t="s">
        <v>1252</v>
      </c>
      <c r="G677" s="7" t="s">
        <v>1253</v>
      </c>
      <c r="H677" s="7" t="s">
        <v>45</v>
      </c>
      <c r="I677" s="7" t="s">
        <v>33</v>
      </c>
      <c r="J677" s="7" t="s">
        <v>33</v>
      </c>
      <c r="K677" s="7" t="s">
        <v>33</v>
      </c>
      <c r="L677" s="7" t="s">
        <v>52</v>
      </c>
      <c r="M677" s="7" t="s">
        <v>33</v>
      </c>
      <c r="N677" s="7" t="s">
        <v>9</v>
      </c>
      <c r="O677" s="7" t="s">
        <v>33</v>
      </c>
      <c r="P677" s="11" t="str">
        <f t="shared" si="20"/>
        <v>平</v>
      </c>
      <c r="Q677" s="11" t="str">
        <f t="shared" si="21"/>
        <v>负</v>
      </c>
    </row>
    <row r="678" spans="4:17" x14ac:dyDescent="0.15">
      <c r="D678" s="7" t="s">
        <v>6</v>
      </c>
      <c r="E678" s="7" t="s">
        <v>1254</v>
      </c>
      <c r="F678" s="7" t="s">
        <v>1254</v>
      </c>
      <c r="G678" s="7" t="s">
        <v>1255</v>
      </c>
      <c r="H678" s="7" t="s">
        <v>49</v>
      </c>
      <c r="I678" s="7" t="s">
        <v>33</v>
      </c>
      <c r="J678" s="7" t="s">
        <v>10</v>
      </c>
      <c r="K678" s="7" t="s">
        <v>33</v>
      </c>
      <c r="L678" s="7" t="s">
        <v>42</v>
      </c>
      <c r="M678" s="7" t="s">
        <v>10</v>
      </c>
      <c r="N678" s="7" t="s">
        <v>10</v>
      </c>
      <c r="O678" s="7" t="s">
        <v>33</v>
      </c>
      <c r="P678" s="11" t="str">
        <f t="shared" si="20"/>
        <v>负</v>
      </c>
      <c r="Q678" s="11" t="str">
        <f t="shared" si="21"/>
        <v>平</v>
      </c>
    </row>
    <row r="679" spans="4:17" x14ac:dyDescent="0.15">
      <c r="D679" s="7" t="s">
        <v>6</v>
      </c>
      <c r="E679" s="7" t="s">
        <v>1256</v>
      </c>
      <c r="F679" s="7" t="s">
        <v>1256</v>
      </c>
      <c r="G679" s="7" t="s">
        <v>1251</v>
      </c>
      <c r="H679" s="7" t="s">
        <v>40</v>
      </c>
      <c r="I679" s="7" t="s">
        <v>10</v>
      </c>
      <c r="J679" s="7" t="s">
        <v>10</v>
      </c>
      <c r="K679" s="7" t="s">
        <v>33</v>
      </c>
      <c r="L679" s="7" t="s">
        <v>41</v>
      </c>
      <c r="M679" s="7" t="s">
        <v>10</v>
      </c>
      <c r="N679" s="7" t="s">
        <v>10</v>
      </c>
      <c r="O679" s="7" t="s">
        <v>33</v>
      </c>
      <c r="P679" s="11" t="str">
        <f t="shared" si="20"/>
        <v>平</v>
      </c>
      <c r="Q679" s="11" t="str">
        <f t="shared" si="21"/>
        <v>平</v>
      </c>
    </row>
    <row r="680" spans="4:17" x14ac:dyDescent="0.15">
      <c r="D680" s="7" t="s">
        <v>6</v>
      </c>
      <c r="E680" s="7" t="s">
        <v>1257</v>
      </c>
      <c r="F680" s="7" t="s">
        <v>1257</v>
      </c>
      <c r="G680" s="7" t="s">
        <v>1251</v>
      </c>
      <c r="H680" s="7" t="s">
        <v>53</v>
      </c>
      <c r="I680" s="7" t="s">
        <v>10</v>
      </c>
      <c r="J680" s="7" t="s">
        <v>10</v>
      </c>
      <c r="K680" s="7" t="s">
        <v>33</v>
      </c>
      <c r="L680" s="7" t="s">
        <v>56</v>
      </c>
      <c r="M680" s="7" t="s">
        <v>10</v>
      </c>
      <c r="N680" s="7" t="s">
        <v>10</v>
      </c>
      <c r="O680" s="7" t="s">
        <v>33</v>
      </c>
      <c r="P680" s="11" t="str">
        <f t="shared" si="20"/>
        <v>平</v>
      </c>
      <c r="Q680" s="11" t="str">
        <f t="shared" si="21"/>
        <v>平</v>
      </c>
    </row>
    <row r="681" spans="4:17" x14ac:dyDescent="0.15">
      <c r="D681" s="7" t="s">
        <v>6</v>
      </c>
      <c r="E681" s="7" t="s">
        <v>1258</v>
      </c>
      <c r="F681" s="7" t="s">
        <v>1258</v>
      </c>
      <c r="G681" s="7" t="s">
        <v>1259</v>
      </c>
      <c r="H681" s="7" t="s">
        <v>37</v>
      </c>
      <c r="I681" s="7" t="s">
        <v>10</v>
      </c>
      <c r="J681" s="7" t="s">
        <v>9</v>
      </c>
      <c r="K681" s="7" t="s">
        <v>33</v>
      </c>
      <c r="L681" s="7" t="s">
        <v>46</v>
      </c>
      <c r="M681" s="7" t="s">
        <v>33</v>
      </c>
      <c r="N681" s="7" t="s">
        <v>10</v>
      </c>
      <c r="O681" s="7" t="s">
        <v>33</v>
      </c>
      <c r="P681" s="11" t="str">
        <f t="shared" si="20"/>
        <v>胜</v>
      </c>
      <c r="Q681" s="11" t="str">
        <f t="shared" si="21"/>
        <v>胜</v>
      </c>
    </row>
    <row r="682" spans="4:17" x14ac:dyDescent="0.15">
      <c r="D682" s="7" t="s">
        <v>6</v>
      </c>
      <c r="E682" s="7" t="s">
        <v>1260</v>
      </c>
      <c r="F682" s="7" t="s">
        <v>1260</v>
      </c>
      <c r="G682" s="7" t="s">
        <v>1261</v>
      </c>
      <c r="H682" s="7" t="s">
        <v>44</v>
      </c>
      <c r="I682" s="7" t="s">
        <v>33</v>
      </c>
      <c r="J682" s="7" t="s">
        <v>33</v>
      </c>
      <c r="K682" s="7" t="s">
        <v>33</v>
      </c>
      <c r="L682" s="7" t="s">
        <v>54</v>
      </c>
      <c r="M682" s="7" t="s">
        <v>33</v>
      </c>
      <c r="N682" s="7" t="s">
        <v>10</v>
      </c>
      <c r="O682" s="7" t="s">
        <v>33</v>
      </c>
      <c r="P682" s="11" t="str">
        <f t="shared" si="20"/>
        <v>平</v>
      </c>
      <c r="Q682" s="11" t="str">
        <f t="shared" si="21"/>
        <v>负</v>
      </c>
    </row>
    <row r="683" spans="4:17" x14ac:dyDescent="0.15">
      <c r="D683" s="7" t="s">
        <v>6</v>
      </c>
      <c r="E683" s="7" t="s">
        <v>1262</v>
      </c>
      <c r="F683" s="7" t="s">
        <v>1262</v>
      </c>
      <c r="G683" s="7" t="s">
        <v>1263</v>
      </c>
      <c r="H683" s="7" t="s">
        <v>43</v>
      </c>
      <c r="I683" s="7" t="s">
        <v>33</v>
      </c>
      <c r="J683" s="7" t="s">
        <v>33</v>
      </c>
      <c r="K683" s="7" t="s">
        <v>33</v>
      </c>
      <c r="L683" s="7" t="s">
        <v>49</v>
      </c>
      <c r="M683" s="7" t="s">
        <v>10</v>
      </c>
      <c r="N683" s="7" t="s">
        <v>10</v>
      </c>
      <c r="O683" s="7" t="s">
        <v>33</v>
      </c>
      <c r="P683" s="11" t="str">
        <f t="shared" si="20"/>
        <v>负</v>
      </c>
      <c r="Q683" s="11" t="str">
        <f t="shared" si="21"/>
        <v>负</v>
      </c>
    </row>
    <row r="684" spans="4:17" x14ac:dyDescent="0.15">
      <c r="D684" s="7" t="s">
        <v>6</v>
      </c>
      <c r="E684" s="7" t="s">
        <v>1264</v>
      </c>
      <c r="F684" s="7" t="s">
        <v>1264</v>
      </c>
      <c r="G684" s="7" t="s">
        <v>1265</v>
      </c>
      <c r="H684" s="7" t="s">
        <v>42</v>
      </c>
      <c r="I684" s="7" t="s">
        <v>33</v>
      </c>
      <c r="J684" s="7" t="s">
        <v>33</v>
      </c>
      <c r="K684" s="7" t="s">
        <v>33</v>
      </c>
      <c r="L684" s="7" t="s">
        <v>37</v>
      </c>
      <c r="M684" s="7" t="s">
        <v>33</v>
      </c>
      <c r="N684" s="7" t="s">
        <v>33</v>
      </c>
      <c r="O684" s="7" t="s">
        <v>33</v>
      </c>
      <c r="P684" s="11" t="str">
        <f t="shared" si="20"/>
        <v>平</v>
      </c>
      <c r="Q684" s="11" t="str">
        <f t="shared" si="21"/>
        <v>平</v>
      </c>
    </row>
    <row r="685" spans="4:17" x14ac:dyDescent="0.15">
      <c r="D685" s="7" t="s">
        <v>6</v>
      </c>
      <c r="E685" s="7" t="s">
        <v>1266</v>
      </c>
      <c r="F685" s="7" t="s">
        <v>1266</v>
      </c>
      <c r="G685" s="7" t="s">
        <v>1267</v>
      </c>
      <c r="H685" s="7" t="s">
        <v>56</v>
      </c>
      <c r="I685" s="7" t="s">
        <v>33</v>
      </c>
      <c r="J685" s="7" t="s">
        <v>10</v>
      </c>
      <c r="K685" s="7" t="s">
        <v>33</v>
      </c>
      <c r="L685" s="7" t="s">
        <v>44</v>
      </c>
      <c r="M685" s="7" t="s">
        <v>33</v>
      </c>
      <c r="N685" s="7" t="s">
        <v>10</v>
      </c>
      <c r="O685" s="7" t="s">
        <v>33</v>
      </c>
      <c r="P685" s="11" t="str">
        <f t="shared" si="20"/>
        <v>平</v>
      </c>
      <c r="Q685" s="11" t="str">
        <f t="shared" si="21"/>
        <v>平</v>
      </c>
    </row>
    <row r="686" spans="4:17" x14ac:dyDescent="0.15">
      <c r="D686" s="7" t="s">
        <v>6</v>
      </c>
      <c r="E686" s="7" t="s">
        <v>1268</v>
      </c>
      <c r="F686" s="7" t="s">
        <v>1268</v>
      </c>
      <c r="G686" s="7" t="s">
        <v>1269</v>
      </c>
      <c r="H686" s="7" t="s">
        <v>54</v>
      </c>
      <c r="I686" s="7" t="s">
        <v>33</v>
      </c>
      <c r="J686" s="7" t="s">
        <v>9</v>
      </c>
      <c r="K686" s="7" t="s">
        <v>33</v>
      </c>
      <c r="L686" s="7" t="s">
        <v>40</v>
      </c>
      <c r="M686" s="7" t="s">
        <v>33</v>
      </c>
      <c r="N686" s="7" t="s">
        <v>33</v>
      </c>
      <c r="O686" s="7" t="s">
        <v>33</v>
      </c>
      <c r="P686" s="11" t="str">
        <f t="shared" si="20"/>
        <v>平</v>
      </c>
      <c r="Q686" s="11" t="str">
        <f t="shared" si="21"/>
        <v>胜</v>
      </c>
    </row>
    <row r="687" spans="4:17" x14ac:dyDescent="0.15">
      <c r="D687" s="7" t="s">
        <v>6</v>
      </c>
      <c r="E687" s="7" t="s">
        <v>1270</v>
      </c>
      <c r="F687" s="7" t="s">
        <v>1270</v>
      </c>
      <c r="G687" s="7" t="s">
        <v>1269</v>
      </c>
      <c r="H687" s="7" t="s">
        <v>35</v>
      </c>
      <c r="I687" s="7" t="s">
        <v>9</v>
      </c>
      <c r="J687" s="7" t="s">
        <v>50</v>
      </c>
      <c r="K687" s="7" t="s">
        <v>33</v>
      </c>
      <c r="L687" s="7" t="s">
        <v>45</v>
      </c>
      <c r="M687" s="7" t="s">
        <v>33</v>
      </c>
      <c r="N687" s="7" t="s">
        <v>33</v>
      </c>
      <c r="O687" s="7" t="s">
        <v>33</v>
      </c>
      <c r="P687" s="11" t="str">
        <f t="shared" si="20"/>
        <v>胜</v>
      </c>
      <c r="Q687" s="11" t="str">
        <f t="shared" si="21"/>
        <v>胜</v>
      </c>
    </row>
    <row r="688" spans="4:17" x14ac:dyDescent="0.15">
      <c r="D688" s="7" t="s">
        <v>6</v>
      </c>
      <c r="E688" s="7" t="s">
        <v>1271</v>
      </c>
      <c r="F688" s="7" t="s">
        <v>1271</v>
      </c>
      <c r="G688" s="7" t="s">
        <v>1272</v>
      </c>
      <c r="H688" s="7" t="s">
        <v>52</v>
      </c>
      <c r="I688" s="7" t="s">
        <v>33</v>
      </c>
      <c r="J688" s="7" t="s">
        <v>9</v>
      </c>
      <c r="K688" s="7" t="s">
        <v>33</v>
      </c>
      <c r="L688" s="7" t="s">
        <v>48</v>
      </c>
      <c r="M688" s="7" t="s">
        <v>33</v>
      </c>
      <c r="N688" s="7" t="s">
        <v>33</v>
      </c>
      <c r="O688" s="7" t="s">
        <v>33</v>
      </c>
      <c r="P688" s="11" t="str">
        <f t="shared" si="20"/>
        <v>平</v>
      </c>
      <c r="Q688" s="11" t="str">
        <f t="shared" si="21"/>
        <v>胜</v>
      </c>
    </row>
    <row r="689" spans="4:17" x14ac:dyDescent="0.15">
      <c r="D689" s="7" t="s">
        <v>6</v>
      </c>
      <c r="E689" s="7" t="s">
        <v>1273</v>
      </c>
      <c r="F689" s="7" t="s">
        <v>1273</v>
      </c>
      <c r="G689" s="7" t="s">
        <v>1272</v>
      </c>
      <c r="H689" s="7" t="s">
        <v>41</v>
      </c>
      <c r="I689" s="7" t="s">
        <v>33</v>
      </c>
      <c r="J689" s="7" t="s">
        <v>10</v>
      </c>
      <c r="K689" s="7" t="s">
        <v>33</v>
      </c>
      <c r="L689" s="7" t="s">
        <v>53</v>
      </c>
      <c r="M689" s="7" t="s">
        <v>33</v>
      </c>
      <c r="N689" s="7" t="s">
        <v>10</v>
      </c>
      <c r="O689" s="7" t="s">
        <v>33</v>
      </c>
      <c r="P689" s="11" t="str">
        <f t="shared" si="20"/>
        <v>平</v>
      </c>
      <c r="Q689" s="11" t="str">
        <f t="shared" si="21"/>
        <v>平</v>
      </c>
    </row>
    <row r="690" spans="4:17" x14ac:dyDescent="0.15">
      <c r="D690" s="7" t="s">
        <v>6</v>
      </c>
      <c r="E690" s="7" t="s">
        <v>1274</v>
      </c>
      <c r="F690" s="7" t="s">
        <v>1274</v>
      </c>
      <c r="G690" s="7" t="s">
        <v>1275</v>
      </c>
      <c r="H690" s="7" t="s">
        <v>46</v>
      </c>
      <c r="I690" s="7" t="s">
        <v>10</v>
      </c>
      <c r="J690" s="7" t="s">
        <v>50</v>
      </c>
      <c r="K690" s="7" t="s">
        <v>33</v>
      </c>
      <c r="L690" s="7" t="s">
        <v>38</v>
      </c>
      <c r="M690" s="7" t="s">
        <v>10</v>
      </c>
      <c r="N690" s="7" t="s">
        <v>10</v>
      </c>
      <c r="O690" s="7" t="s">
        <v>33</v>
      </c>
      <c r="P690" s="11" t="str">
        <f t="shared" si="20"/>
        <v>平</v>
      </c>
      <c r="Q690" s="11" t="str">
        <f t="shared" si="21"/>
        <v>胜</v>
      </c>
    </row>
    <row r="691" spans="4:17" x14ac:dyDescent="0.15">
      <c r="D691" s="7" t="s">
        <v>6</v>
      </c>
      <c r="E691" s="7" t="s">
        <v>1276</v>
      </c>
      <c r="F691" s="7" t="s">
        <v>1276</v>
      </c>
      <c r="G691" s="7" t="s">
        <v>1277</v>
      </c>
      <c r="H691" s="7" t="s">
        <v>48</v>
      </c>
      <c r="I691" s="7" t="s">
        <v>33</v>
      </c>
      <c r="J691" s="7" t="s">
        <v>33</v>
      </c>
      <c r="K691" s="7" t="s">
        <v>33</v>
      </c>
      <c r="L691" s="7" t="s">
        <v>54</v>
      </c>
      <c r="M691" s="7" t="s">
        <v>10</v>
      </c>
      <c r="N691" s="7" t="s">
        <v>9</v>
      </c>
      <c r="O691" s="7" t="s">
        <v>33</v>
      </c>
      <c r="P691" s="11" t="str">
        <f t="shared" si="20"/>
        <v>负</v>
      </c>
      <c r="Q691" s="11" t="str">
        <f t="shared" si="21"/>
        <v>负</v>
      </c>
    </row>
    <row r="692" spans="4:17" x14ac:dyDescent="0.15">
      <c r="D692" s="7" t="s">
        <v>6</v>
      </c>
      <c r="E692" s="7" t="s">
        <v>1278</v>
      </c>
      <c r="F692" s="7" t="s">
        <v>1278</v>
      </c>
      <c r="G692" s="7" t="s">
        <v>1279</v>
      </c>
      <c r="H692" s="7" t="s">
        <v>44</v>
      </c>
      <c r="I692" s="7" t="s">
        <v>33</v>
      </c>
      <c r="J692" s="7" t="s">
        <v>10</v>
      </c>
      <c r="K692" s="7" t="s">
        <v>33</v>
      </c>
      <c r="L692" s="7" t="s">
        <v>41</v>
      </c>
      <c r="M692" s="7" t="s">
        <v>10</v>
      </c>
      <c r="N692" s="7" t="s">
        <v>9</v>
      </c>
      <c r="O692" s="7" t="s">
        <v>33</v>
      </c>
      <c r="P692" s="11" t="str">
        <f t="shared" si="20"/>
        <v>负</v>
      </c>
      <c r="Q692" s="11" t="str">
        <f t="shared" si="21"/>
        <v>负</v>
      </c>
    </row>
    <row r="693" spans="4:17" x14ac:dyDescent="0.15">
      <c r="D693" s="7" t="s">
        <v>6</v>
      </c>
      <c r="E693" s="7" t="s">
        <v>1280</v>
      </c>
      <c r="F693" s="7" t="s">
        <v>1280</v>
      </c>
      <c r="G693" s="7" t="s">
        <v>1277</v>
      </c>
      <c r="H693" s="7" t="s">
        <v>38</v>
      </c>
      <c r="I693" s="7" t="s">
        <v>33</v>
      </c>
      <c r="J693" s="7" t="s">
        <v>10</v>
      </c>
      <c r="K693" s="7" t="s">
        <v>33</v>
      </c>
      <c r="L693" s="7" t="s">
        <v>35</v>
      </c>
      <c r="M693" s="7" t="s">
        <v>33</v>
      </c>
      <c r="N693" s="7" t="s">
        <v>9</v>
      </c>
      <c r="O693" s="7" t="s">
        <v>33</v>
      </c>
      <c r="P693" s="11" t="str">
        <f t="shared" si="20"/>
        <v>平</v>
      </c>
      <c r="Q693" s="11" t="str">
        <f t="shared" si="21"/>
        <v>负</v>
      </c>
    </row>
    <row r="694" spans="4:17" x14ac:dyDescent="0.15">
      <c r="D694" s="7" t="s">
        <v>6</v>
      </c>
      <c r="E694" s="7" t="s">
        <v>1281</v>
      </c>
      <c r="F694" s="7" t="s">
        <v>1281</v>
      </c>
      <c r="G694" s="7" t="s">
        <v>1282</v>
      </c>
      <c r="H694" s="7" t="s">
        <v>46</v>
      </c>
      <c r="I694" s="7" t="s">
        <v>50</v>
      </c>
      <c r="J694" s="7" t="s">
        <v>47</v>
      </c>
      <c r="K694" s="7" t="s">
        <v>33</v>
      </c>
      <c r="L694" s="7" t="s">
        <v>52</v>
      </c>
      <c r="M694" s="7" t="s">
        <v>33</v>
      </c>
      <c r="N694" s="7" t="s">
        <v>33</v>
      </c>
      <c r="O694" s="7" t="s">
        <v>33</v>
      </c>
      <c r="P694" s="11" t="str">
        <f t="shared" si="20"/>
        <v>胜</v>
      </c>
      <c r="Q694" s="11" t="str">
        <f t="shared" si="21"/>
        <v>胜</v>
      </c>
    </row>
    <row r="695" spans="4:17" x14ac:dyDescent="0.15">
      <c r="D695" s="7" t="s">
        <v>6</v>
      </c>
      <c r="E695" s="7" t="s">
        <v>1283</v>
      </c>
      <c r="F695" s="7" t="s">
        <v>1283</v>
      </c>
      <c r="G695" s="7" t="s">
        <v>1284</v>
      </c>
      <c r="H695" s="7" t="s">
        <v>49</v>
      </c>
      <c r="I695" s="7" t="s">
        <v>33</v>
      </c>
      <c r="J695" s="7" t="s">
        <v>10</v>
      </c>
      <c r="K695" s="7" t="s">
        <v>33</v>
      </c>
      <c r="L695" s="7" t="s">
        <v>56</v>
      </c>
      <c r="M695" s="7" t="s">
        <v>33</v>
      </c>
      <c r="N695" s="7" t="s">
        <v>33</v>
      </c>
      <c r="O695" s="7" t="s">
        <v>33</v>
      </c>
      <c r="P695" s="11" t="str">
        <f t="shared" si="20"/>
        <v>平</v>
      </c>
      <c r="Q695" s="11" t="str">
        <f t="shared" si="21"/>
        <v>胜</v>
      </c>
    </row>
    <row r="696" spans="4:17" x14ac:dyDescent="0.15">
      <c r="D696" s="7" t="s">
        <v>6</v>
      </c>
      <c r="E696" s="7" t="s">
        <v>1285</v>
      </c>
      <c r="F696" s="7" t="s">
        <v>1285</v>
      </c>
      <c r="G696" s="7" t="s">
        <v>1286</v>
      </c>
      <c r="H696" s="7" t="s">
        <v>45</v>
      </c>
      <c r="I696" s="7" t="s">
        <v>10</v>
      </c>
      <c r="J696" s="7" t="s">
        <v>10</v>
      </c>
      <c r="K696" s="7" t="s">
        <v>33</v>
      </c>
      <c r="L696" s="7" t="s">
        <v>43</v>
      </c>
      <c r="M696" s="7" t="s">
        <v>10</v>
      </c>
      <c r="N696" s="7" t="s">
        <v>9</v>
      </c>
      <c r="O696" s="7" t="s">
        <v>33</v>
      </c>
      <c r="P696" s="11" t="str">
        <f t="shared" si="20"/>
        <v>平</v>
      </c>
      <c r="Q696" s="11" t="str">
        <f t="shared" si="21"/>
        <v>负</v>
      </c>
    </row>
    <row r="697" spans="4:17" x14ac:dyDescent="0.15">
      <c r="D697" s="7" t="s">
        <v>6</v>
      </c>
      <c r="E697" s="7" t="s">
        <v>1287</v>
      </c>
      <c r="F697" s="7" t="s">
        <v>1287</v>
      </c>
      <c r="G697" s="7" t="s">
        <v>1288</v>
      </c>
      <c r="H697" s="7" t="s">
        <v>37</v>
      </c>
      <c r="I697" s="7" t="s">
        <v>10</v>
      </c>
      <c r="J697" s="7" t="s">
        <v>10</v>
      </c>
      <c r="K697" s="7" t="s">
        <v>33</v>
      </c>
      <c r="L697" s="7" t="s">
        <v>53</v>
      </c>
      <c r="M697" s="7" t="s">
        <v>10</v>
      </c>
      <c r="N697" s="7" t="s">
        <v>9</v>
      </c>
      <c r="O697" s="7" t="s">
        <v>33</v>
      </c>
      <c r="P697" s="11" t="str">
        <f t="shared" si="20"/>
        <v>平</v>
      </c>
      <c r="Q697" s="11" t="str">
        <f t="shared" si="21"/>
        <v>负</v>
      </c>
    </row>
    <row r="698" spans="4:17" x14ac:dyDescent="0.15">
      <c r="D698" s="7" t="s">
        <v>6</v>
      </c>
      <c r="E698" s="7" t="s">
        <v>1289</v>
      </c>
      <c r="F698" s="7" t="s">
        <v>1289</v>
      </c>
      <c r="G698" s="7" t="s">
        <v>1290</v>
      </c>
      <c r="H698" s="7" t="s">
        <v>40</v>
      </c>
      <c r="I698" s="7" t="s">
        <v>10</v>
      </c>
      <c r="J698" s="7" t="s">
        <v>10</v>
      </c>
      <c r="K698" s="7" t="s">
        <v>33</v>
      </c>
      <c r="L698" s="7" t="s">
        <v>42</v>
      </c>
      <c r="M698" s="7" t="s">
        <v>10</v>
      </c>
      <c r="N698" s="7" t="s">
        <v>9</v>
      </c>
      <c r="O698" s="7" t="s">
        <v>33</v>
      </c>
      <c r="P698" s="11" t="str">
        <f t="shared" si="20"/>
        <v>平</v>
      </c>
      <c r="Q698" s="11" t="str">
        <f t="shared" si="21"/>
        <v>负</v>
      </c>
    </row>
    <row r="699" spans="4:17" x14ac:dyDescent="0.15">
      <c r="D699" s="7" t="s">
        <v>6</v>
      </c>
      <c r="E699" s="7" t="s">
        <v>1291</v>
      </c>
      <c r="F699" s="7" t="s">
        <v>1291</v>
      </c>
      <c r="G699" s="7" t="s">
        <v>1292</v>
      </c>
      <c r="H699" s="7" t="s">
        <v>37</v>
      </c>
      <c r="I699" s="7" t="s">
        <v>33</v>
      </c>
      <c r="J699" s="7" t="s">
        <v>10</v>
      </c>
      <c r="K699" s="7" t="s">
        <v>33</v>
      </c>
      <c r="L699" s="7" t="s">
        <v>44</v>
      </c>
      <c r="M699" s="7" t="s">
        <v>33</v>
      </c>
      <c r="N699" s="7" t="s">
        <v>10</v>
      </c>
      <c r="O699" s="7" t="s">
        <v>33</v>
      </c>
      <c r="P699" s="11" t="str">
        <f t="shared" si="20"/>
        <v>平</v>
      </c>
      <c r="Q699" s="11" t="str">
        <f t="shared" si="21"/>
        <v>平</v>
      </c>
    </row>
    <row r="700" spans="4:17" x14ac:dyDescent="0.15">
      <c r="D700" s="7" t="s">
        <v>6</v>
      </c>
      <c r="E700" s="7" t="s">
        <v>1293</v>
      </c>
      <c r="F700" s="7" t="s">
        <v>1293</v>
      </c>
      <c r="G700" s="7" t="s">
        <v>1294</v>
      </c>
      <c r="H700" s="7" t="s">
        <v>35</v>
      </c>
      <c r="I700" s="7" t="s">
        <v>10</v>
      </c>
      <c r="J700" s="7" t="s">
        <v>9</v>
      </c>
      <c r="K700" s="7" t="s">
        <v>33</v>
      </c>
      <c r="L700" s="7" t="s">
        <v>46</v>
      </c>
      <c r="M700" s="7" t="s">
        <v>33</v>
      </c>
      <c r="N700" s="7" t="s">
        <v>39</v>
      </c>
      <c r="O700" s="7" t="s">
        <v>33</v>
      </c>
      <c r="P700" s="11" t="str">
        <f t="shared" si="20"/>
        <v>胜</v>
      </c>
      <c r="Q700" s="11" t="str">
        <f t="shared" si="21"/>
        <v>负</v>
      </c>
    </row>
    <row r="701" spans="4:17" x14ac:dyDescent="0.15">
      <c r="D701" s="7" t="s">
        <v>6</v>
      </c>
      <c r="E701" s="7" t="s">
        <v>1295</v>
      </c>
      <c r="F701" s="7" t="s">
        <v>1295</v>
      </c>
      <c r="G701" s="7" t="s">
        <v>1296</v>
      </c>
      <c r="H701" s="7" t="s">
        <v>43</v>
      </c>
      <c r="I701" s="7" t="s">
        <v>9</v>
      </c>
      <c r="J701" s="7" t="s">
        <v>9</v>
      </c>
      <c r="K701" s="7" t="s">
        <v>33</v>
      </c>
      <c r="L701" s="7" t="s">
        <v>52</v>
      </c>
      <c r="M701" s="7" t="s">
        <v>33</v>
      </c>
      <c r="N701" s="7" t="s">
        <v>33</v>
      </c>
      <c r="O701" s="7" t="s">
        <v>33</v>
      </c>
      <c r="P701" s="11" t="str">
        <f t="shared" si="20"/>
        <v>胜</v>
      </c>
      <c r="Q701" s="11" t="str">
        <f t="shared" si="21"/>
        <v>胜</v>
      </c>
    </row>
    <row r="702" spans="4:17" x14ac:dyDescent="0.15">
      <c r="D702" s="7" t="s">
        <v>6</v>
      </c>
      <c r="E702" s="7" t="s">
        <v>1297</v>
      </c>
      <c r="F702" s="7" t="s">
        <v>1297</v>
      </c>
      <c r="G702" s="7" t="s">
        <v>1296</v>
      </c>
      <c r="H702" s="7" t="s">
        <v>56</v>
      </c>
      <c r="I702" s="7" t="s">
        <v>33</v>
      </c>
      <c r="J702" s="7" t="s">
        <v>39</v>
      </c>
      <c r="K702" s="7" t="s">
        <v>33</v>
      </c>
      <c r="L702" s="7" t="s">
        <v>48</v>
      </c>
      <c r="M702" s="7" t="s">
        <v>33</v>
      </c>
      <c r="N702" s="7" t="s">
        <v>9</v>
      </c>
      <c r="O702" s="7" t="s">
        <v>33</v>
      </c>
      <c r="P702" s="11" t="str">
        <f t="shared" si="20"/>
        <v>平</v>
      </c>
      <c r="Q702" s="11" t="str">
        <f t="shared" si="21"/>
        <v>胜</v>
      </c>
    </row>
    <row r="703" spans="4:17" x14ac:dyDescent="0.15">
      <c r="D703" s="7" t="s">
        <v>6</v>
      </c>
      <c r="E703" s="7" t="s">
        <v>1298</v>
      </c>
      <c r="F703" s="7" t="s">
        <v>1298</v>
      </c>
      <c r="G703" s="7" t="s">
        <v>1299</v>
      </c>
      <c r="H703" s="7" t="s">
        <v>41</v>
      </c>
      <c r="I703" s="7" t="s">
        <v>9</v>
      </c>
      <c r="J703" s="7" t="s">
        <v>9</v>
      </c>
      <c r="K703" s="7" t="s">
        <v>33</v>
      </c>
      <c r="L703" s="7" t="s">
        <v>49</v>
      </c>
      <c r="M703" s="7" t="s">
        <v>33</v>
      </c>
      <c r="N703" s="7" t="s">
        <v>33</v>
      </c>
      <c r="O703" s="7" t="s">
        <v>33</v>
      </c>
      <c r="P703" s="11" t="str">
        <f t="shared" si="20"/>
        <v>胜</v>
      </c>
      <c r="Q703" s="11" t="str">
        <f t="shared" si="21"/>
        <v>胜</v>
      </c>
    </row>
    <row r="704" spans="4:17" x14ac:dyDescent="0.15">
      <c r="D704" s="7" t="s">
        <v>6</v>
      </c>
      <c r="E704" s="7" t="s">
        <v>1300</v>
      </c>
      <c r="F704" s="7" t="s">
        <v>1300</v>
      </c>
      <c r="G704" s="7" t="s">
        <v>1299</v>
      </c>
      <c r="H704" s="7" t="s">
        <v>53</v>
      </c>
      <c r="I704" s="7" t="s">
        <v>10</v>
      </c>
      <c r="J704" s="7" t="s">
        <v>10</v>
      </c>
      <c r="K704" s="7" t="s">
        <v>33</v>
      </c>
      <c r="L704" s="7" t="s">
        <v>40</v>
      </c>
      <c r="M704" s="7" t="s">
        <v>33</v>
      </c>
      <c r="N704" s="7" t="s">
        <v>10</v>
      </c>
      <c r="O704" s="7" t="s">
        <v>33</v>
      </c>
      <c r="P704" s="11" t="str">
        <f t="shared" si="20"/>
        <v>胜</v>
      </c>
      <c r="Q704" s="11" t="str">
        <f t="shared" si="21"/>
        <v>平</v>
      </c>
    </row>
    <row r="705" spans="4:17" x14ac:dyDescent="0.15">
      <c r="D705" s="7" t="s">
        <v>6</v>
      </c>
      <c r="E705" s="7" t="s">
        <v>1301</v>
      </c>
      <c r="F705" s="7" t="s">
        <v>1301</v>
      </c>
      <c r="G705" s="7" t="s">
        <v>1302</v>
      </c>
      <c r="H705" s="7" t="s">
        <v>54</v>
      </c>
      <c r="I705" s="7" t="s">
        <v>33</v>
      </c>
      <c r="J705" s="7" t="s">
        <v>10</v>
      </c>
      <c r="K705" s="7" t="s">
        <v>33</v>
      </c>
      <c r="L705" s="7" t="s">
        <v>38</v>
      </c>
      <c r="M705" s="7" t="s">
        <v>33</v>
      </c>
      <c r="N705" s="7" t="s">
        <v>9</v>
      </c>
      <c r="O705" s="7" t="s">
        <v>33</v>
      </c>
      <c r="P705" s="11" t="str">
        <f t="shared" si="20"/>
        <v>平</v>
      </c>
      <c r="Q705" s="11" t="str">
        <f t="shared" si="21"/>
        <v>负</v>
      </c>
    </row>
    <row r="706" spans="4:17" x14ac:dyDescent="0.15">
      <c r="D706" s="7" t="s">
        <v>6</v>
      </c>
      <c r="E706" s="7" t="s">
        <v>1303</v>
      </c>
      <c r="F706" s="7" t="s">
        <v>1303</v>
      </c>
      <c r="G706" s="7" t="s">
        <v>1304</v>
      </c>
      <c r="H706" s="7" t="s">
        <v>42</v>
      </c>
      <c r="I706" s="7" t="s">
        <v>33</v>
      </c>
      <c r="J706" s="7" t="s">
        <v>10</v>
      </c>
      <c r="K706" s="7" t="s">
        <v>33</v>
      </c>
      <c r="L706" s="7" t="s">
        <v>45</v>
      </c>
      <c r="M706" s="7" t="s">
        <v>10</v>
      </c>
      <c r="N706" s="7" t="s">
        <v>10</v>
      </c>
      <c r="O706" s="7" t="s">
        <v>33</v>
      </c>
      <c r="P706" s="11" t="str">
        <f t="shared" si="20"/>
        <v>负</v>
      </c>
      <c r="Q706" s="11" t="str">
        <f t="shared" si="21"/>
        <v>平</v>
      </c>
    </row>
    <row r="707" spans="4:17" x14ac:dyDescent="0.15">
      <c r="D707" s="7" t="s">
        <v>6</v>
      </c>
      <c r="E707" s="7" t="s">
        <v>1305</v>
      </c>
      <c r="F707" s="7" t="s">
        <v>1305</v>
      </c>
      <c r="G707" s="7" t="s">
        <v>1306</v>
      </c>
      <c r="H707" s="7" t="s">
        <v>52</v>
      </c>
      <c r="I707" s="7" t="s">
        <v>33</v>
      </c>
      <c r="J707" s="7" t="s">
        <v>33</v>
      </c>
      <c r="K707" s="7" t="s">
        <v>33</v>
      </c>
      <c r="L707" s="7" t="s">
        <v>54</v>
      </c>
      <c r="M707" s="7" t="s">
        <v>33</v>
      </c>
      <c r="N707" s="7" t="s">
        <v>33</v>
      </c>
      <c r="O707" s="7" t="s">
        <v>33</v>
      </c>
      <c r="P707" s="11" t="str">
        <f t="shared" si="20"/>
        <v>平</v>
      </c>
      <c r="Q707" s="11" t="str">
        <f t="shared" si="21"/>
        <v>平</v>
      </c>
    </row>
    <row r="708" spans="4:17" x14ac:dyDescent="0.15">
      <c r="D708" s="7" t="s">
        <v>6</v>
      </c>
      <c r="E708" s="7" t="s">
        <v>1307</v>
      </c>
      <c r="F708" s="7" t="s">
        <v>1307</v>
      </c>
      <c r="G708" s="7" t="s">
        <v>1308</v>
      </c>
      <c r="H708" s="7" t="s">
        <v>48</v>
      </c>
      <c r="I708" s="7" t="s">
        <v>33</v>
      </c>
      <c r="J708" s="7" t="s">
        <v>33</v>
      </c>
      <c r="K708" s="7" t="s">
        <v>33</v>
      </c>
      <c r="L708" s="7" t="s">
        <v>41</v>
      </c>
      <c r="M708" s="7" t="s">
        <v>33</v>
      </c>
      <c r="N708" s="7" t="s">
        <v>33</v>
      </c>
      <c r="O708" s="7" t="s">
        <v>33</v>
      </c>
      <c r="P708" s="11" t="str">
        <f t="shared" si="20"/>
        <v>平</v>
      </c>
      <c r="Q708" s="11" t="str">
        <f t="shared" si="21"/>
        <v>平</v>
      </c>
    </row>
    <row r="709" spans="4:17" x14ac:dyDescent="0.15">
      <c r="D709" s="7" t="s">
        <v>6</v>
      </c>
      <c r="E709" s="7" t="s">
        <v>1309</v>
      </c>
      <c r="F709" s="7" t="s">
        <v>1309</v>
      </c>
      <c r="G709" s="7" t="s">
        <v>1310</v>
      </c>
      <c r="H709" s="7" t="s">
        <v>56</v>
      </c>
      <c r="I709" s="7" t="s">
        <v>10</v>
      </c>
      <c r="J709" s="7" t="s">
        <v>10</v>
      </c>
      <c r="K709" s="7" t="s">
        <v>33</v>
      </c>
      <c r="L709" s="7" t="s">
        <v>35</v>
      </c>
      <c r="M709" s="7" t="s">
        <v>33</v>
      </c>
      <c r="N709" s="7" t="s">
        <v>10</v>
      </c>
      <c r="O709" s="7" t="s">
        <v>33</v>
      </c>
      <c r="P709" s="11" t="str">
        <f t="shared" si="20"/>
        <v>胜</v>
      </c>
      <c r="Q709" s="11" t="str">
        <f t="shared" si="21"/>
        <v>平</v>
      </c>
    </row>
    <row r="710" spans="4:17" x14ac:dyDescent="0.15">
      <c r="D710" s="7" t="s">
        <v>6</v>
      </c>
      <c r="E710" s="7" t="s">
        <v>1311</v>
      </c>
      <c r="F710" s="7" t="s">
        <v>1311</v>
      </c>
      <c r="G710" s="7" t="s">
        <v>1312</v>
      </c>
      <c r="H710" s="7" t="s">
        <v>44</v>
      </c>
      <c r="I710" s="7" t="s">
        <v>10</v>
      </c>
      <c r="J710" s="7" t="s">
        <v>50</v>
      </c>
      <c r="K710" s="7" t="s">
        <v>33</v>
      </c>
      <c r="L710" s="7" t="s">
        <v>53</v>
      </c>
      <c r="M710" s="7" t="s">
        <v>10</v>
      </c>
      <c r="N710" s="7" t="s">
        <v>10</v>
      </c>
      <c r="O710" s="7" t="s">
        <v>33</v>
      </c>
      <c r="P710" s="11" t="str">
        <f t="shared" si="20"/>
        <v>平</v>
      </c>
      <c r="Q710" s="11" t="str">
        <f t="shared" si="21"/>
        <v>胜</v>
      </c>
    </row>
    <row r="711" spans="4:17" x14ac:dyDescent="0.15">
      <c r="D711" s="7" t="s">
        <v>6</v>
      </c>
      <c r="E711" s="7" t="s">
        <v>1313</v>
      </c>
      <c r="F711" s="7" t="s">
        <v>1313</v>
      </c>
      <c r="G711" s="7" t="s">
        <v>1310</v>
      </c>
      <c r="H711" s="7" t="s">
        <v>38</v>
      </c>
      <c r="I711" s="7" t="s">
        <v>9</v>
      </c>
      <c r="J711" s="7" t="s">
        <v>39</v>
      </c>
      <c r="K711" s="7" t="s">
        <v>33</v>
      </c>
      <c r="L711" s="7" t="s">
        <v>42</v>
      </c>
      <c r="M711" s="7" t="s">
        <v>33</v>
      </c>
      <c r="N711" s="7" t="s">
        <v>10</v>
      </c>
      <c r="O711" s="7" t="s">
        <v>33</v>
      </c>
      <c r="P711" s="11" t="str">
        <f t="shared" si="20"/>
        <v>胜</v>
      </c>
      <c r="Q711" s="11" t="str">
        <f t="shared" si="21"/>
        <v>胜</v>
      </c>
    </row>
    <row r="712" spans="4:17" x14ac:dyDescent="0.15">
      <c r="D712" s="7" t="s">
        <v>6</v>
      </c>
      <c r="E712" s="7" t="s">
        <v>1314</v>
      </c>
      <c r="F712" s="7" t="s">
        <v>1314</v>
      </c>
      <c r="G712" s="7" t="s">
        <v>1312</v>
      </c>
      <c r="H712" s="7" t="s">
        <v>46</v>
      </c>
      <c r="I712" s="7" t="s">
        <v>10</v>
      </c>
      <c r="J712" s="7" t="s">
        <v>10</v>
      </c>
      <c r="K712" s="7" t="s">
        <v>33</v>
      </c>
      <c r="L712" s="7" t="s">
        <v>43</v>
      </c>
      <c r="M712" s="7" t="s">
        <v>33</v>
      </c>
      <c r="N712" s="7" t="s">
        <v>10</v>
      </c>
      <c r="O712" s="7" t="s">
        <v>33</v>
      </c>
      <c r="P712" s="11" t="str">
        <f t="shared" si="20"/>
        <v>胜</v>
      </c>
      <c r="Q712" s="11" t="str">
        <f t="shared" si="21"/>
        <v>平</v>
      </c>
    </row>
    <row r="713" spans="4:17" x14ac:dyDescent="0.15">
      <c r="D713" s="7" t="s">
        <v>6</v>
      </c>
      <c r="E713" s="7" t="s">
        <v>1315</v>
      </c>
      <c r="F713" s="7" t="s">
        <v>1315</v>
      </c>
      <c r="G713" s="7" t="s">
        <v>1316</v>
      </c>
      <c r="H713" s="7" t="s">
        <v>49</v>
      </c>
      <c r="I713" s="7" t="s">
        <v>33</v>
      </c>
      <c r="J713" s="7" t="s">
        <v>10</v>
      </c>
      <c r="K713" s="7" t="s">
        <v>33</v>
      </c>
      <c r="L713" s="7" t="s">
        <v>37</v>
      </c>
      <c r="M713" s="7" t="s">
        <v>10</v>
      </c>
      <c r="N713" s="7" t="s">
        <v>10</v>
      </c>
      <c r="O713" s="7" t="s">
        <v>33</v>
      </c>
      <c r="P713" s="11" t="str">
        <f t="shared" si="20"/>
        <v>负</v>
      </c>
      <c r="Q713" s="11" t="str">
        <f t="shared" si="21"/>
        <v>平</v>
      </c>
    </row>
    <row r="714" spans="4:17" x14ac:dyDescent="0.15">
      <c r="D714" s="7" t="s">
        <v>6</v>
      </c>
      <c r="E714" s="7" t="s">
        <v>1317</v>
      </c>
      <c r="F714" s="7" t="s">
        <v>1317</v>
      </c>
      <c r="G714" s="7" t="s">
        <v>1318</v>
      </c>
      <c r="H714" s="7" t="s">
        <v>40</v>
      </c>
      <c r="I714" s="7" t="s">
        <v>9</v>
      </c>
      <c r="J714" s="7" t="s">
        <v>50</v>
      </c>
      <c r="K714" s="7" t="s">
        <v>33</v>
      </c>
      <c r="L714" s="7" t="s">
        <v>45</v>
      </c>
      <c r="M714" s="7" t="s">
        <v>33</v>
      </c>
      <c r="N714" s="7" t="s">
        <v>9</v>
      </c>
      <c r="O714" s="7" t="s">
        <v>33</v>
      </c>
      <c r="P714" s="11" t="str">
        <f t="shared" si="20"/>
        <v>胜</v>
      </c>
      <c r="Q714" s="11" t="str">
        <f t="shared" si="21"/>
        <v>胜</v>
      </c>
    </row>
    <row r="715" spans="4:17" x14ac:dyDescent="0.15">
      <c r="D715" s="7" t="s">
        <v>6</v>
      </c>
      <c r="E715" s="7" t="s">
        <v>1319</v>
      </c>
      <c r="F715" s="7" t="s">
        <v>1319</v>
      </c>
      <c r="G715" s="7" t="s">
        <v>1320</v>
      </c>
      <c r="H715" s="7" t="s">
        <v>53</v>
      </c>
      <c r="I715" s="7" t="s">
        <v>33</v>
      </c>
      <c r="J715" s="7" t="s">
        <v>9</v>
      </c>
      <c r="K715" s="7" t="s">
        <v>33</v>
      </c>
      <c r="L715" s="7" t="s">
        <v>49</v>
      </c>
      <c r="M715" s="7" t="s">
        <v>50</v>
      </c>
      <c r="N715" s="7" t="s">
        <v>50</v>
      </c>
      <c r="O715" s="7" t="s">
        <v>33</v>
      </c>
      <c r="P715" s="11" t="str">
        <f t="shared" si="20"/>
        <v>负</v>
      </c>
      <c r="Q715" s="11" t="str">
        <f t="shared" si="21"/>
        <v>负</v>
      </c>
    </row>
    <row r="716" spans="4:17" x14ac:dyDescent="0.15">
      <c r="D716" s="7" t="s">
        <v>6</v>
      </c>
      <c r="E716" s="7" t="s">
        <v>1321</v>
      </c>
      <c r="F716" s="7" t="s">
        <v>1321</v>
      </c>
      <c r="G716" s="7" t="s">
        <v>1322</v>
      </c>
      <c r="H716" s="7" t="s">
        <v>42</v>
      </c>
      <c r="I716" s="7" t="s">
        <v>10</v>
      </c>
      <c r="J716" s="7" t="s">
        <v>9</v>
      </c>
      <c r="K716" s="7" t="s">
        <v>33</v>
      </c>
      <c r="L716" s="7" t="s">
        <v>44</v>
      </c>
      <c r="M716" s="7" t="s">
        <v>10</v>
      </c>
      <c r="N716" s="7" t="s">
        <v>50</v>
      </c>
      <c r="O716" s="7" t="s">
        <v>33</v>
      </c>
      <c r="P716" s="11" t="str">
        <f t="shared" si="20"/>
        <v>平</v>
      </c>
      <c r="Q716" s="11" t="str">
        <f t="shared" si="21"/>
        <v>负</v>
      </c>
    </row>
    <row r="717" spans="4:17" x14ac:dyDescent="0.15">
      <c r="D717" s="7" t="s">
        <v>6</v>
      </c>
      <c r="E717" s="7" t="s">
        <v>1323</v>
      </c>
      <c r="F717" s="7" t="s">
        <v>1323</v>
      </c>
      <c r="G717" s="7" t="s">
        <v>1324</v>
      </c>
      <c r="H717" s="7" t="s">
        <v>35</v>
      </c>
      <c r="I717" s="7" t="s">
        <v>9</v>
      </c>
      <c r="J717" s="7" t="s">
        <v>39</v>
      </c>
      <c r="K717" s="7" t="s">
        <v>33</v>
      </c>
      <c r="L717" s="7" t="s">
        <v>52</v>
      </c>
      <c r="M717" s="7" t="s">
        <v>9</v>
      </c>
      <c r="N717" s="7" t="s">
        <v>9</v>
      </c>
      <c r="O717" s="7" t="s">
        <v>33</v>
      </c>
      <c r="P717" s="11" t="str">
        <f t="shared" ref="P717:P780" si="22">IF(I717=M717,"平",IF(I717&gt;M717,"胜","负"))</f>
        <v>平</v>
      </c>
      <c r="Q717" s="11" t="str">
        <f t="shared" ref="Q717:Q780" si="23">IF(J717=N717,"平",IF(J717&gt;N717,"胜","负"))</f>
        <v>胜</v>
      </c>
    </row>
    <row r="718" spans="4:17" x14ac:dyDescent="0.15">
      <c r="D718" s="7" t="s">
        <v>6</v>
      </c>
      <c r="E718" s="7" t="s">
        <v>1325</v>
      </c>
      <c r="F718" s="7" t="s">
        <v>1325</v>
      </c>
      <c r="G718" s="7" t="s">
        <v>1326</v>
      </c>
      <c r="H718" s="7" t="s">
        <v>45</v>
      </c>
      <c r="I718" s="7" t="s">
        <v>33</v>
      </c>
      <c r="J718" s="7" t="s">
        <v>9</v>
      </c>
      <c r="K718" s="7" t="s">
        <v>33</v>
      </c>
      <c r="L718" s="7" t="s">
        <v>56</v>
      </c>
      <c r="M718" s="7" t="s">
        <v>33</v>
      </c>
      <c r="N718" s="7" t="s">
        <v>10</v>
      </c>
      <c r="O718" s="7" t="s">
        <v>33</v>
      </c>
      <c r="P718" s="11" t="str">
        <f t="shared" si="22"/>
        <v>平</v>
      </c>
      <c r="Q718" s="11" t="str">
        <f t="shared" si="23"/>
        <v>胜</v>
      </c>
    </row>
    <row r="719" spans="4:17" x14ac:dyDescent="0.15">
      <c r="D719" s="7" t="s">
        <v>6</v>
      </c>
      <c r="E719" s="7" t="s">
        <v>1327</v>
      </c>
      <c r="F719" s="7" t="s">
        <v>1327</v>
      </c>
      <c r="G719" s="7" t="s">
        <v>1328</v>
      </c>
      <c r="H719" s="7" t="s">
        <v>37</v>
      </c>
      <c r="I719" s="7" t="s">
        <v>9</v>
      </c>
      <c r="J719" s="7" t="s">
        <v>39</v>
      </c>
      <c r="K719" s="7" t="s">
        <v>33</v>
      </c>
      <c r="L719" s="7" t="s">
        <v>40</v>
      </c>
      <c r="M719" s="7" t="s">
        <v>33</v>
      </c>
      <c r="N719" s="7" t="s">
        <v>10</v>
      </c>
      <c r="O719" s="7" t="s">
        <v>33</v>
      </c>
      <c r="P719" s="11" t="str">
        <f t="shared" si="22"/>
        <v>胜</v>
      </c>
      <c r="Q719" s="11" t="str">
        <f t="shared" si="23"/>
        <v>胜</v>
      </c>
    </row>
    <row r="720" spans="4:17" x14ac:dyDescent="0.15">
      <c r="D720" s="7" t="s">
        <v>6</v>
      </c>
      <c r="E720" s="7" t="s">
        <v>1329</v>
      </c>
      <c r="F720" s="7" t="s">
        <v>1329</v>
      </c>
      <c r="G720" s="7" t="s">
        <v>1330</v>
      </c>
      <c r="H720" s="7" t="s">
        <v>41</v>
      </c>
      <c r="I720" s="7" t="s">
        <v>33</v>
      </c>
      <c r="J720" s="7" t="s">
        <v>10</v>
      </c>
      <c r="K720" s="7" t="s">
        <v>33</v>
      </c>
      <c r="L720" s="7" t="s">
        <v>38</v>
      </c>
      <c r="M720" s="7" t="s">
        <v>33</v>
      </c>
      <c r="N720" s="7" t="s">
        <v>33</v>
      </c>
      <c r="O720" s="7" t="s">
        <v>33</v>
      </c>
      <c r="P720" s="11" t="str">
        <f t="shared" si="22"/>
        <v>平</v>
      </c>
      <c r="Q720" s="11" t="str">
        <f t="shared" si="23"/>
        <v>胜</v>
      </c>
    </row>
    <row r="721" spans="4:17" x14ac:dyDescent="0.15">
      <c r="D721" s="7" t="s">
        <v>6</v>
      </c>
      <c r="E721" s="7" t="s">
        <v>1331</v>
      </c>
      <c r="F721" s="7" t="s">
        <v>1331</v>
      </c>
      <c r="G721" s="7" t="s">
        <v>1332</v>
      </c>
      <c r="H721" s="7" t="s">
        <v>43</v>
      </c>
      <c r="I721" s="7" t="s">
        <v>33</v>
      </c>
      <c r="J721" s="7" t="s">
        <v>33</v>
      </c>
      <c r="K721" s="7" t="s">
        <v>33</v>
      </c>
      <c r="L721" s="7" t="s">
        <v>48</v>
      </c>
      <c r="M721" s="7" t="s">
        <v>10</v>
      </c>
      <c r="N721" s="7" t="s">
        <v>10</v>
      </c>
      <c r="O721" s="7" t="s">
        <v>33</v>
      </c>
      <c r="P721" s="11" t="str">
        <f t="shared" si="22"/>
        <v>负</v>
      </c>
      <c r="Q721" s="11" t="str">
        <f t="shared" si="23"/>
        <v>负</v>
      </c>
    </row>
    <row r="722" spans="4:17" x14ac:dyDescent="0.15">
      <c r="D722" s="7" t="s">
        <v>6</v>
      </c>
      <c r="E722" s="7" t="s">
        <v>1333</v>
      </c>
      <c r="F722" s="7" t="s">
        <v>1333</v>
      </c>
      <c r="G722" s="7" t="s">
        <v>1334</v>
      </c>
      <c r="H722" s="7" t="s">
        <v>54</v>
      </c>
      <c r="I722" s="7" t="s">
        <v>33</v>
      </c>
      <c r="J722" s="7" t="s">
        <v>33</v>
      </c>
      <c r="K722" s="7" t="s">
        <v>33</v>
      </c>
      <c r="L722" s="7" t="s">
        <v>46</v>
      </c>
      <c r="M722" s="7" t="s">
        <v>33</v>
      </c>
      <c r="N722" s="7" t="s">
        <v>33</v>
      </c>
      <c r="O722" s="7" t="s">
        <v>33</v>
      </c>
      <c r="P722" s="11" t="str">
        <f t="shared" si="22"/>
        <v>平</v>
      </c>
      <c r="Q722" s="11" t="str">
        <f t="shared" si="23"/>
        <v>平</v>
      </c>
    </row>
    <row r="723" spans="4:17" x14ac:dyDescent="0.15">
      <c r="D723" s="7" t="s">
        <v>6</v>
      </c>
      <c r="E723" s="7" t="s">
        <v>1335</v>
      </c>
      <c r="F723" s="7" t="s">
        <v>1335</v>
      </c>
      <c r="G723" s="7" t="s">
        <v>1336</v>
      </c>
      <c r="H723" s="7" t="s">
        <v>56</v>
      </c>
      <c r="I723" s="7" t="s">
        <v>33</v>
      </c>
      <c r="J723" s="7" t="s">
        <v>10</v>
      </c>
      <c r="K723" s="7" t="s">
        <v>33</v>
      </c>
      <c r="L723" s="7" t="s">
        <v>43</v>
      </c>
      <c r="M723" s="7" t="s">
        <v>10</v>
      </c>
      <c r="N723" s="7" t="s">
        <v>10</v>
      </c>
      <c r="O723" s="7" t="s">
        <v>33</v>
      </c>
      <c r="P723" s="11" t="str">
        <f t="shared" si="22"/>
        <v>负</v>
      </c>
      <c r="Q723" s="11" t="str">
        <f t="shared" si="23"/>
        <v>平</v>
      </c>
    </row>
    <row r="724" spans="4:17" x14ac:dyDescent="0.15">
      <c r="D724" s="7" t="s">
        <v>6</v>
      </c>
      <c r="E724" s="7" t="s">
        <v>1337</v>
      </c>
      <c r="F724" s="7" t="s">
        <v>1337</v>
      </c>
      <c r="G724" s="7" t="s">
        <v>1338</v>
      </c>
      <c r="H724" s="7" t="s">
        <v>48</v>
      </c>
      <c r="I724" s="7" t="s">
        <v>10</v>
      </c>
      <c r="J724" s="7" t="s">
        <v>10</v>
      </c>
      <c r="K724" s="7" t="s">
        <v>33</v>
      </c>
      <c r="L724" s="7" t="s">
        <v>37</v>
      </c>
      <c r="M724" s="7" t="s">
        <v>33</v>
      </c>
      <c r="N724" s="7" t="s">
        <v>33</v>
      </c>
      <c r="O724" s="7" t="s">
        <v>33</v>
      </c>
      <c r="P724" s="11" t="str">
        <f t="shared" si="22"/>
        <v>胜</v>
      </c>
      <c r="Q724" s="11" t="str">
        <f t="shared" si="23"/>
        <v>胜</v>
      </c>
    </row>
    <row r="725" spans="4:17" x14ac:dyDescent="0.15">
      <c r="D725" s="7" t="s">
        <v>6</v>
      </c>
      <c r="E725" s="7" t="s">
        <v>1339</v>
      </c>
      <c r="F725" s="7" t="s">
        <v>1339</v>
      </c>
      <c r="G725" s="7" t="s">
        <v>1340</v>
      </c>
      <c r="H725" s="7" t="s">
        <v>44</v>
      </c>
      <c r="I725" s="7" t="s">
        <v>33</v>
      </c>
      <c r="J725" s="7" t="s">
        <v>10</v>
      </c>
      <c r="K725" s="7" t="s">
        <v>33</v>
      </c>
      <c r="L725" s="7" t="s">
        <v>45</v>
      </c>
      <c r="M725" s="7" t="s">
        <v>33</v>
      </c>
      <c r="N725" s="7" t="s">
        <v>33</v>
      </c>
      <c r="O725" s="7" t="s">
        <v>33</v>
      </c>
      <c r="P725" s="11" t="str">
        <f t="shared" si="22"/>
        <v>平</v>
      </c>
      <c r="Q725" s="11" t="str">
        <f t="shared" si="23"/>
        <v>胜</v>
      </c>
    </row>
    <row r="726" spans="4:17" x14ac:dyDescent="0.15">
      <c r="D726" s="7" t="s">
        <v>6</v>
      </c>
      <c r="E726" s="7" t="s">
        <v>1341</v>
      </c>
      <c r="F726" s="7" t="s">
        <v>1341</v>
      </c>
      <c r="G726" s="7" t="s">
        <v>1338</v>
      </c>
      <c r="H726" s="7" t="s">
        <v>38</v>
      </c>
      <c r="I726" s="7" t="s">
        <v>33</v>
      </c>
      <c r="J726" s="7" t="s">
        <v>39</v>
      </c>
      <c r="K726" s="7" t="s">
        <v>33</v>
      </c>
      <c r="L726" s="7" t="s">
        <v>53</v>
      </c>
      <c r="M726" s="7" t="s">
        <v>33</v>
      </c>
      <c r="N726" s="7" t="s">
        <v>33</v>
      </c>
      <c r="O726" s="7" t="s">
        <v>33</v>
      </c>
      <c r="P726" s="11" t="str">
        <f t="shared" si="22"/>
        <v>平</v>
      </c>
      <c r="Q726" s="11" t="str">
        <f t="shared" si="23"/>
        <v>胜</v>
      </c>
    </row>
    <row r="727" spans="4:17" x14ac:dyDescent="0.15">
      <c r="D727" s="7" t="s">
        <v>6</v>
      </c>
      <c r="E727" s="7" t="s">
        <v>1342</v>
      </c>
      <c r="F727" s="7" t="s">
        <v>1342</v>
      </c>
      <c r="G727" s="7" t="s">
        <v>1338</v>
      </c>
      <c r="H727" s="7" t="s">
        <v>52</v>
      </c>
      <c r="I727" s="7" t="s">
        <v>10</v>
      </c>
      <c r="J727" s="7" t="s">
        <v>10</v>
      </c>
      <c r="K727" s="7" t="s">
        <v>33</v>
      </c>
      <c r="L727" s="7" t="s">
        <v>41</v>
      </c>
      <c r="M727" s="7" t="s">
        <v>33</v>
      </c>
      <c r="N727" s="7" t="s">
        <v>33</v>
      </c>
      <c r="O727" s="7" t="s">
        <v>33</v>
      </c>
      <c r="P727" s="11" t="str">
        <f t="shared" si="22"/>
        <v>胜</v>
      </c>
      <c r="Q727" s="11" t="str">
        <f t="shared" si="23"/>
        <v>胜</v>
      </c>
    </row>
    <row r="728" spans="4:17" x14ac:dyDescent="0.15">
      <c r="D728" s="7" t="s">
        <v>6</v>
      </c>
      <c r="E728" s="7" t="s">
        <v>1343</v>
      </c>
      <c r="F728" s="7" t="s">
        <v>1343</v>
      </c>
      <c r="G728" s="7" t="s">
        <v>1338</v>
      </c>
      <c r="H728" s="7" t="s">
        <v>35</v>
      </c>
      <c r="I728" s="7" t="s">
        <v>33</v>
      </c>
      <c r="J728" s="7" t="s">
        <v>33</v>
      </c>
      <c r="K728" s="7" t="s">
        <v>33</v>
      </c>
      <c r="L728" s="7" t="s">
        <v>54</v>
      </c>
      <c r="M728" s="7" t="s">
        <v>33</v>
      </c>
      <c r="N728" s="7" t="s">
        <v>33</v>
      </c>
      <c r="O728" s="7" t="s">
        <v>33</v>
      </c>
      <c r="P728" s="11" t="str">
        <f t="shared" si="22"/>
        <v>平</v>
      </c>
      <c r="Q728" s="11" t="str">
        <f t="shared" si="23"/>
        <v>平</v>
      </c>
    </row>
    <row r="729" spans="4:17" x14ac:dyDescent="0.15">
      <c r="D729" s="7" t="s">
        <v>6</v>
      </c>
      <c r="E729" s="7" t="s">
        <v>1344</v>
      </c>
      <c r="F729" s="7" t="s">
        <v>1344</v>
      </c>
      <c r="G729" s="7" t="s">
        <v>1345</v>
      </c>
      <c r="H729" s="7" t="s">
        <v>46</v>
      </c>
      <c r="I729" s="7" t="s">
        <v>39</v>
      </c>
      <c r="J729" s="7" t="s">
        <v>47</v>
      </c>
      <c r="K729" s="7" t="s">
        <v>33</v>
      </c>
      <c r="L729" s="7" t="s">
        <v>42</v>
      </c>
      <c r="M729" s="7" t="s">
        <v>33</v>
      </c>
      <c r="N729" s="7" t="s">
        <v>33</v>
      </c>
      <c r="O729" s="7" t="s">
        <v>33</v>
      </c>
      <c r="P729" s="11" t="str">
        <f t="shared" si="22"/>
        <v>胜</v>
      </c>
      <c r="Q729" s="11" t="str">
        <f t="shared" si="23"/>
        <v>胜</v>
      </c>
    </row>
    <row r="730" spans="4:17" x14ac:dyDescent="0.15">
      <c r="D730" s="7" t="s">
        <v>6</v>
      </c>
      <c r="E730" s="7" t="s">
        <v>1346</v>
      </c>
      <c r="F730" s="7" t="s">
        <v>1346</v>
      </c>
      <c r="G730" s="7" t="s">
        <v>1347</v>
      </c>
      <c r="H730" s="7" t="s">
        <v>49</v>
      </c>
      <c r="I730" s="7" t="s">
        <v>10</v>
      </c>
      <c r="J730" s="7" t="s">
        <v>10</v>
      </c>
      <c r="K730" s="7" t="s">
        <v>33</v>
      </c>
      <c r="L730" s="7" t="s">
        <v>40</v>
      </c>
      <c r="M730" s="7" t="s">
        <v>10</v>
      </c>
      <c r="N730" s="7" t="s">
        <v>10</v>
      </c>
      <c r="O730" s="7" t="s">
        <v>33</v>
      </c>
      <c r="P730" s="11" t="str">
        <f t="shared" si="22"/>
        <v>平</v>
      </c>
      <c r="Q730" s="11" t="str">
        <f t="shared" si="23"/>
        <v>平</v>
      </c>
    </row>
    <row r="731" spans="4:17" x14ac:dyDescent="0.15">
      <c r="D731" s="7" t="s">
        <v>6</v>
      </c>
      <c r="E731" s="7" t="s">
        <v>1348</v>
      </c>
      <c r="F731" s="7" t="s">
        <v>1348</v>
      </c>
      <c r="G731" s="7" t="s">
        <v>1349</v>
      </c>
      <c r="H731" s="7" t="s">
        <v>49</v>
      </c>
      <c r="I731" s="7" t="s">
        <v>9</v>
      </c>
      <c r="J731" s="7" t="s">
        <v>39</v>
      </c>
      <c r="K731" s="7" t="s">
        <v>33</v>
      </c>
      <c r="L731" s="7" t="s">
        <v>44</v>
      </c>
      <c r="M731" s="7" t="s">
        <v>10</v>
      </c>
      <c r="N731" s="7" t="s">
        <v>10</v>
      </c>
      <c r="O731" s="7" t="s">
        <v>33</v>
      </c>
      <c r="P731" s="11" t="str">
        <f t="shared" si="22"/>
        <v>胜</v>
      </c>
      <c r="Q731" s="11" t="str">
        <f t="shared" si="23"/>
        <v>胜</v>
      </c>
    </row>
    <row r="732" spans="4:17" x14ac:dyDescent="0.15">
      <c r="D732" s="7" t="s">
        <v>6</v>
      </c>
      <c r="E732" s="7" t="s">
        <v>1350</v>
      </c>
      <c r="F732" s="7" t="s">
        <v>1350</v>
      </c>
      <c r="G732" s="7" t="s">
        <v>1351</v>
      </c>
      <c r="H732" s="7" t="s">
        <v>43</v>
      </c>
      <c r="I732" s="7" t="s">
        <v>39</v>
      </c>
      <c r="J732" s="7" t="s">
        <v>47</v>
      </c>
      <c r="K732" s="7" t="s">
        <v>33</v>
      </c>
      <c r="L732" s="7" t="s">
        <v>54</v>
      </c>
      <c r="M732" s="7" t="s">
        <v>10</v>
      </c>
      <c r="N732" s="7" t="s">
        <v>10</v>
      </c>
      <c r="O732" s="7" t="s">
        <v>33</v>
      </c>
      <c r="P732" s="11" t="str">
        <f t="shared" si="22"/>
        <v>胜</v>
      </c>
      <c r="Q732" s="11" t="str">
        <f t="shared" si="23"/>
        <v>胜</v>
      </c>
    </row>
    <row r="733" spans="4:17" x14ac:dyDescent="0.15">
      <c r="D733" s="7" t="s">
        <v>6</v>
      </c>
      <c r="E733" s="7" t="s">
        <v>1352</v>
      </c>
      <c r="F733" s="7" t="s">
        <v>1352</v>
      </c>
      <c r="G733" s="7" t="s">
        <v>1353</v>
      </c>
      <c r="H733" s="7" t="s">
        <v>37</v>
      </c>
      <c r="I733" s="7" t="s">
        <v>33</v>
      </c>
      <c r="J733" s="7" t="s">
        <v>39</v>
      </c>
      <c r="K733" s="7" t="s">
        <v>33</v>
      </c>
      <c r="L733" s="7" t="s">
        <v>35</v>
      </c>
      <c r="M733" s="7" t="s">
        <v>33</v>
      </c>
      <c r="N733" s="7" t="s">
        <v>33</v>
      </c>
      <c r="O733" s="7" t="s">
        <v>33</v>
      </c>
      <c r="P733" s="11" t="str">
        <f t="shared" si="22"/>
        <v>平</v>
      </c>
      <c r="Q733" s="11" t="str">
        <f t="shared" si="23"/>
        <v>胜</v>
      </c>
    </row>
    <row r="734" spans="4:17" x14ac:dyDescent="0.15">
      <c r="D734" s="7" t="s">
        <v>6</v>
      </c>
      <c r="E734" s="7" t="s">
        <v>1354</v>
      </c>
      <c r="F734" s="7" t="s">
        <v>1354</v>
      </c>
      <c r="G734" s="7" t="s">
        <v>1351</v>
      </c>
      <c r="H734" s="7" t="s">
        <v>41</v>
      </c>
      <c r="I734" s="7" t="s">
        <v>10</v>
      </c>
      <c r="J734" s="7" t="s">
        <v>10</v>
      </c>
      <c r="K734" s="7" t="s">
        <v>33</v>
      </c>
      <c r="L734" s="7" t="s">
        <v>46</v>
      </c>
      <c r="M734" s="7" t="s">
        <v>33</v>
      </c>
      <c r="N734" s="7" t="s">
        <v>10</v>
      </c>
      <c r="O734" s="7" t="s">
        <v>33</v>
      </c>
      <c r="P734" s="11" t="str">
        <f t="shared" si="22"/>
        <v>胜</v>
      </c>
      <c r="Q734" s="11" t="str">
        <f t="shared" si="23"/>
        <v>平</v>
      </c>
    </row>
    <row r="735" spans="4:17" x14ac:dyDescent="0.15">
      <c r="D735" s="7" t="s">
        <v>6</v>
      </c>
      <c r="E735" s="7" t="s">
        <v>1355</v>
      </c>
      <c r="F735" s="7" t="s">
        <v>1355</v>
      </c>
      <c r="G735" s="7" t="s">
        <v>1356</v>
      </c>
      <c r="H735" s="7" t="s">
        <v>42</v>
      </c>
      <c r="I735" s="7" t="s">
        <v>33</v>
      </c>
      <c r="J735" s="7" t="s">
        <v>10</v>
      </c>
      <c r="K735" s="7" t="s">
        <v>33</v>
      </c>
      <c r="L735" s="7" t="s">
        <v>56</v>
      </c>
      <c r="M735" s="7" t="s">
        <v>10</v>
      </c>
      <c r="N735" s="7" t="s">
        <v>50</v>
      </c>
      <c r="O735" s="7" t="s">
        <v>33</v>
      </c>
      <c r="P735" s="11" t="str">
        <f t="shared" si="22"/>
        <v>负</v>
      </c>
      <c r="Q735" s="11" t="str">
        <f t="shared" si="23"/>
        <v>负</v>
      </c>
    </row>
    <row r="736" spans="4:17" x14ac:dyDescent="0.15">
      <c r="D736" s="7" t="s">
        <v>6</v>
      </c>
      <c r="E736" s="7" t="s">
        <v>1357</v>
      </c>
      <c r="F736" s="7" t="s">
        <v>1357</v>
      </c>
      <c r="G736" s="7" t="s">
        <v>1351</v>
      </c>
      <c r="H736" s="7" t="s">
        <v>53</v>
      </c>
      <c r="I736" s="7" t="s">
        <v>10</v>
      </c>
      <c r="J736" s="7" t="s">
        <v>10</v>
      </c>
      <c r="K736" s="7" t="s">
        <v>33</v>
      </c>
      <c r="L736" s="7" t="s">
        <v>52</v>
      </c>
      <c r="M736" s="7" t="s">
        <v>10</v>
      </c>
      <c r="N736" s="7" t="s">
        <v>10</v>
      </c>
      <c r="O736" s="7" t="s">
        <v>33</v>
      </c>
      <c r="P736" s="11" t="str">
        <f t="shared" si="22"/>
        <v>平</v>
      </c>
      <c r="Q736" s="11" t="str">
        <f t="shared" si="23"/>
        <v>平</v>
      </c>
    </row>
    <row r="737" spans="4:17" x14ac:dyDescent="0.15">
      <c r="D737" s="7" t="s">
        <v>6</v>
      </c>
      <c r="E737" s="7" t="s">
        <v>1358</v>
      </c>
      <c r="F737" s="7" t="s">
        <v>1358</v>
      </c>
      <c r="G737" s="7" t="s">
        <v>1359</v>
      </c>
      <c r="H737" s="7" t="s">
        <v>45</v>
      </c>
      <c r="I737" s="7" t="s">
        <v>10</v>
      </c>
      <c r="J737" s="7" t="s">
        <v>10</v>
      </c>
      <c r="K737" s="7" t="s">
        <v>33</v>
      </c>
      <c r="L737" s="7" t="s">
        <v>48</v>
      </c>
      <c r="M737" s="7" t="s">
        <v>33</v>
      </c>
      <c r="N737" s="7" t="s">
        <v>10</v>
      </c>
      <c r="O737" s="7" t="s">
        <v>33</v>
      </c>
      <c r="P737" s="11" t="str">
        <f t="shared" si="22"/>
        <v>胜</v>
      </c>
      <c r="Q737" s="11" t="str">
        <f t="shared" si="23"/>
        <v>平</v>
      </c>
    </row>
    <row r="738" spans="4:17" x14ac:dyDescent="0.15">
      <c r="D738" s="7" t="s">
        <v>6</v>
      </c>
      <c r="E738" s="7" t="s">
        <v>1360</v>
      </c>
      <c r="F738" s="7" t="s">
        <v>1360</v>
      </c>
      <c r="G738" s="7" t="s">
        <v>1361</v>
      </c>
      <c r="H738" s="7" t="s">
        <v>40</v>
      </c>
      <c r="I738" s="7" t="s">
        <v>33</v>
      </c>
      <c r="J738" s="7" t="s">
        <v>10</v>
      </c>
      <c r="K738" s="7" t="s">
        <v>33</v>
      </c>
      <c r="L738" s="7" t="s">
        <v>38</v>
      </c>
      <c r="M738" s="7" t="s">
        <v>10</v>
      </c>
      <c r="N738" s="7" t="s">
        <v>10</v>
      </c>
      <c r="O738" s="7" t="s">
        <v>33</v>
      </c>
      <c r="P738" s="11" t="str">
        <f t="shared" si="22"/>
        <v>负</v>
      </c>
      <c r="Q738" s="11" t="str">
        <f t="shared" si="23"/>
        <v>平</v>
      </c>
    </row>
    <row r="739" spans="4:17" x14ac:dyDescent="0.15">
      <c r="D739" s="7" t="s">
        <v>6</v>
      </c>
      <c r="E739" s="7" t="s">
        <v>1362</v>
      </c>
      <c r="F739" s="7" t="s">
        <v>1362</v>
      </c>
      <c r="G739" s="7" t="s">
        <v>1363</v>
      </c>
      <c r="H739" s="7" t="s">
        <v>44</v>
      </c>
      <c r="I739" s="7" t="s">
        <v>9</v>
      </c>
      <c r="J739" s="7" t="s">
        <v>9</v>
      </c>
      <c r="K739" s="7" t="s">
        <v>33</v>
      </c>
      <c r="L739" s="7" t="s">
        <v>40</v>
      </c>
      <c r="M739" s="7" t="s">
        <v>33</v>
      </c>
      <c r="N739" s="7" t="s">
        <v>33</v>
      </c>
      <c r="O739" s="7" t="s">
        <v>33</v>
      </c>
      <c r="P739" s="11" t="str">
        <f t="shared" si="22"/>
        <v>胜</v>
      </c>
      <c r="Q739" s="11" t="str">
        <f t="shared" si="23"/>
        <v>胜</v>
      </c>
    </row>
    <row r="740" spans="4:17" x14ac:dyDescent="0.15">
      <c r="D740" s="7" t="s">
        <v>6</v>
      </c>
      <c r="E740" s="7" t="s">
        <v>1364</v>
      </c>
      <c r="F740" s="7" t="s">
        <v>1364</v>
      </c>
      <c r="G740" s="7" t="s">
        <v>1365</v>
      </c>
      <c r="H740" s="7" t="s">
        <v>35</v>
      </c>
      <c r="I740" s="7" t="s">
        <v>10</v>
      </c>
      <c r="J740" s="7" t="s">
        <v>10</v>
      </c>
      <c r="K740" s="7" t="s">
        <v>33</v>
      </c>
      <c r="L740" s="7" t="s">
        <v>43</v>
      </c>
      <c r="M740" s="7" t="s">
        <v>33</v>
      </c>
      <c r="N740" s="7" t="s">
        <v>33</v>
      </c>
      <c r="O740" s="7" t="s">
        <v>33</v>
      </c>
      <c r="P740" s="11" t="str">
        <f t="shared" si="22"/>
        <v>胜</v>
      </c>
      <c r="Q740" s="11" t="str">
        <f t="shared" si="23"/>
        <v>胜</v>
      </c>
    </row>
    <row r="741" spans="4:17" x14ac:dyDescent="0.15">
      <c r="D741" s="7" t="s">
        <v>6</v>
      </c>
      <c r="E741" s="7" t="s">
        <v>1366</v>
      </c>
      <c r="F741" s="7" t="s">
        <v>1366</v>
      </c>
      <c r="G741" s="7" t="s">
        <v>1367</v>
      </c>
      <c r="H741" s="7" t="s">
        <v>48</v>
      </c>
      <c r="I741" s="7" t="s">
        <v>10</v>
      </c>
      <c r="J741" s="7" t="s">
        <v>9</v>
      </c>
      <c r="K741" s="7" t="s">
        <v>33</v>
      </c>
      <c r="L741" s="7" t="s">
        <v>53</v>
      </c>
      <c r="M741" s="7" t="s">
        <v>33</v>
      </c>
      <c r="N741" s="7" t="s">
        <v>33</v>
      </c>
      <c r="O741" s="7" t="s">
        <v>33</v>
      </c>
      <c r="P741" s="11" t="str">
        <f t="shared" si="22"/>
        <v>胜</v>
      </c>
      <c r="Q741" s="11" t="str">
        <f t="shared" si="23"/>
        <v>胜</v>
      </c>
    </row>
    <row r="742" spans="4:17" x14ac:dyDescent="0.15">
      <c r="D742" s="7" t="s">
        <v>6</v>
      </c>
      <c r="E742" s="7" t="s">
        <v>1368</v>
      </c>
      <c r="F742" s="7" t="s">
        <v>1368</v>
      </c>
      <c r="G742" s="7" t="s">
        <v>1367</v>
      </c>
      <c r="H742" s="7" t="s">
        <v>38</v>
      </c>
      <c r="I742" s="7" t="s">
        <v>9</v>
      </c>
      <c r="J742" s="7" t="s">
        <v>39</v>
      </c>
      <c r="K742" s="7" t="s">
        <v>33</v>
      </c>
      <c r="L742" s="7" t="s">
        <v>45</v>
      </c>
      <c r="M742" s="7" t="s">
        <v>33</v>
      </c>
      <c r="N742" s="7" t="s">
        <v>9</v>
      </c>
      <c r="O742" s="7" t="s">
        <v>33</v>
      </c>
      <c r="P742" s="11" t="str">
        <f t="shared" si="22"/>
        <v>胜</v>
      </c>
      <c r="Q742" s="11" t="str">
        <f t="shared" si="23"/>
        <v>胜</v>
      </c>
    </row>
    <row r="743" spans="4:17" x14ac:dyDescent="0.15">
      <c r="D743" s="7" t="s">
        <v>6</v>
      </c>
      <c r="E743" s="7" t="s">
        <v>1369</v>
      </c>
      <c r="F743" s="7" t="s">
        <v>1369</v>
      </c>
      <c r="G743" s="7" t="s">
        <v>1370</v>
      </c>
      <c r="H743" s="7" t="s">
        <v>54</v>
      </c>
      <c r="I743" s="7" t="s">
        <v>33</v>
      </c>
      <c r="J743" s="7" t="s">
        <v>33</v>
      </c>
      <c r="K743" s="7" t="s">
        <v>33</v>
      </c>
      <c r="L743" s="7" t="s">
        <v>41</v>
      </c>
      <c r="M743" s="7" t="s">
        <v>33</v>
      </c>
      <c r="N743" s="7" t="s">
        <v>33</v>
      </c>
      <c r="O743" s="7" t="s">
        <v>33</v>
      </c>
      <c r="P743" s="11" t="str">
        <f t="shared" si="22"/>
        <v>平</v>
      </c>
      <c r="Q743" s="11" t="str">
        <f t="shared" si="23"/>
        <v>平</v>
      </c>
    </row>
    <row r="744" spans="4:17" x14ac:dyDescent="0.15">
      <c r="D744" s="7" t="s">
        <v>6</v>
      </c>
      <c r="E744" s="7" t="s">
        <v>1371</v>
      </c>
      <c r="F744" s="7" t="s">
        <v>1371</v>
      </c>
      <c r="G744" s="7" t="s">
        <v>1372</v>
      </c>
      <c r="H744" s="7" t="s">
        <v>52</v>
      </c>
      <c r="I744" s="7" t="s">
        <v>33</v>
      </c>
      <c r="J744" s="7" t="s">
        <v>10</v>
      </c>
      <c r="K744" s="7" t="s">
        <v>33</v>
      </c>
      <c r="L744" s="7" t="s">
        <v>42</v>
      </c>
      <c r="M744" s="7" t="s">
        <v>33</v>
      </c>
      <c r="N744" s="7" t="s">
        <v>9</v>
      </c>
      <c r="O744" s="7" t="s">
        <v>33</v>
      </c>
      <c r="P744" s="11" t="str">
        <f t="shared" si="22"/>
        <v>平</v>
      </c>
      <c r="Q744" s="11" t="str">
        <f t="shared" si="23"/>
        <v>负</v>
      </c>
    </row>
    <row r="745" spans="4:17" x14ac:dyDescent="0.15">
      <c r="D745" s="7" t="s">
        <v>6</v>
      </c>
      <c r="E745" s="7" t="s">
        <v>1373</v>
      </c>
      <c r="F745" s="7" t="s">
        <v>1373</v>
      </c>
      <c r="G745" s="7" t="s">
        <v>1374</v>
      </c>
      <c r="H745" s="7" t="s">
        <v>46</v>
      </c>
      <c r="I745" s="7" t="s">
        <v>33</v>
      </c>
      <c r="J745" s="7" t="s">
        <v>33</v>
      </c>
      <c r="K745" s="7" t="s">
        <v>33</v>
      </c>
      <c r="L745" s="7" t="s">
        <v>49</v>
      </c>
      <c r="M745" s="7" t="s">
        <v>33</v>
      </c>
      <c r="N745" s="7" t="s">
        <v>33</v>
      </c>
      <c r="O745" s="7" t="s">
        <v>33</v>
      </c>
      <c r="P745" s="11" t="str">
        <f t="shared" si="22"/>
        <v>平</v>
      </c>
      <c r="Q745" s="11" t="str">
        <f t="shared" si="23"/>
        <v>平</v>
      </c>
    </row>
    <row r="746" spans="4:17" x14ac:dyDescent="0.15">
      <c r="D746" s="7" t="s">
        <v>6</v>
      </c>
      <c r="E746" s="7" t="s">
        <v>1375</v>
      </c>
      <c r="F746" s="7" t="s">
        <v>1375</v>
      </c>
      <c r="G746" s="7" t="s">
        <v>1376</v>
      </c>
      <c r="H746" s="7" t="s">
        <v>56</v>
      </c>
      <c r="I746" s="7" t="s">
        <v>33</v>
      </c>
      <c r="J746" s="7" t="s">
        <v>39</v>
      </c>
      <c r="K746" s="7" t="s">
        <v>33</v>
      </c>
      <c r="L746" s="7" t="s">
        <v>37</v>
      </c>
      <c r="M746" s="7" t="s">
        <v>9</v>
      </c>
      <c r="N746" s="7" t="s">
        <v>39</v>
      </c>
      <c r="O746" s="7" t="s">
        <v>33</v>
      </c>
      <c r="P746" s="11" t="str">
        <f t="shared" si="22"/>
        <v>负</v>
      </c>
      <c r="Q746" s="11" t="str">
        <f t="shared" si="23"/>
        <v>平</v>
      </c>
    </row>
    <row r="747" spans="4:17" x14ac:dyDescent="0.15">
      <c r="D747" s="7" t="s">
        <v>6</v>
      </c>
      <c r="E747" s="7" t="s">
        <v>1377</v>
      </c>
      <c r="F747" s="7" t="s">
        <v>1377</v>
      </c>
      <c r="G747" s="7" t="s">
        <v>1378</v>
      </c>
      <c r="H747" s="7" t="s">
        <v>37</v>
      </c>
      <c r="I747" s="7" t="s">
        <v>50</v>
      </c>
      <c r="J747" s="7" t="s">
        <v>47</v>
      </c>
      <c r="K747" s="7" t="s">
        <v>33</v>
      </c>
      <c r="L747" s="7" t="s">
        <v>52</v>
      </c>
      <c r="M747" s="7" t="s">
        <v>33</v>
      </c>
      <c r="N747" s="7" t="s">
        <v>10</v>
      </c>
      <c r="O747" s="7" t="s">
        <v>33</v>
      </c>
      <c r="P747" s="11" t="str">
        <f t="shared" si="22"/>
        <v>胜</v>
      </c>
      <c r="Q747" s="11" t="str">
        <f t="shared" si="23"/>
        <v>胜</v>
      </c>
    </row>
    <row r="748" spans="4:17" x14ac:dyDescent="0.15">
      <c r="D748" s="7" t="s">
        <v>6</v>
      </c>
      <c r="E748" s="7" t="s">
        <v>1379</v>
      </c>
      <c r="F748" s="7" t="s">
        <v>1379</v>
      </c>
      <c r="G748" s="7" t="s">
        <v>1380</v>
      </c>
      <c r="H748" s="7" t="s">
        <v>43</v>
      </c>
      <c r="I748" s="7" t="s">
        <v>33</v>
      </c>
      <c r="J748" s="7" t="s">
        <v>33</v>
      </c>
      <c r="K748" s="7" t="s">
        <v>33</v>
      </c>
      <c r="L748" s="7" t="s">
        <v>38</v>
      </c>
      <c r="M748" s="7" t="s">
        <v>10</v>
      </c>
      <c r="N748" s="7" t="s">
        <v>39</v>
      </c>
      <c r="O748" s="7" t="s">
        <v>33</v>
      </c>
      <c r="P748" s="11" t="str">
        <f t="shared" si="22"/>
        <v>负</v>
      </c>
      <c r="Q748" s="11" t="str">
        <f t="shared" si="23"/>
        <v>负</v>
      </c>
    </row>
    <row r="749" spans="4:17" x14ac:dyDescent="0.15">
      <c r="D749" s="7" t="s">
        <v>6</v>
      </c>
      <c r="E749" s="7" t="s">
        <v>1381</v>
      </c>
      <c r="F749" s="7" t="s">
        <v>1381</v>
      </c>
      <c r="G749" s="7" t="s">
        <v>1382</v>
      </c>
      <c r="H749" s="7" t="s">
        <v>40</v>
      </c>
      <c r="I749" s="7" t="s">
        <v>50</v>
      </c>
      <c r="J749" s="7" t="s">
        <v>50</v>
      </c>
      <c r="K749" s="7" t="s">
        <v>33</v>
      </c>
      <c r="L749" s="7" t="s">
        <v>56</v>
      </c>
      <c r="M749" s="7" t="s">
        <v>33</v>
      </c>
      <c r="N749" s="7" t="s">
        <v>9</v>
      </c>
      <c r="O749" s="7" t="s">
        <v>33</v>
      </c>
      <c r="P749" s="11" t="str">
        <f t="shared" si="22"/>
        <v>胜</v>
      </c>
      <c r="Q749" s="11" t="str">
        <f t="shared" si="23"/>
        <v>胜</v>
      </c>
    </row>
    <row r="750" spans="4:17" x14ac:dyDescent="0.15">
      <c r="D750" s="7" t="s">
        <v>6</v>
      </c>
      <c r="E750" s="7" t="s">
        <v>1383</v>
      </c>
      <c r="F750" s="7" t="s">
        <v>1383</v>
      </c>
      <c r="G750" s="7" t="s">
        <v>1384</v>
      </c>
      <c r="H750" s="7" t="s">
        <v>45</v>
      </c>
      <c r="I750" s="7" t="s">
        <v>33</v>
      </c>
      <c r="J750" s="7" t="s">
        <v>10</v>
      </c>
      <c r="K750" s="7" t="s">
        <v>33</v>
      </c>
      <c r="L750" s="7" t="s">
        <v>35</v>
      </c>
      <c r="M750" s="7" t="s">
        <v>33</v>
      </c>
      <c r="N750" s="7" t="s">
        <v>10</v>
      </c>
      <c r="O750" s="7" t="s">
        <v>33</v>
      </c>
      <c r="P750" s="11" t="str">
        <f t="shared" si="22"/>
        <v>平</v>
      </c>
      <c r="Q750" s="11" t="str">
        <f t="shared" si="23"/>
        <v>平</v>
      </c>
    </row>
    <row r="751" spans="4:17" x14ac:dyDescent="0.15">
      <c r="D751" s="7" t="s">
        <v>6</v>
      </c>
      <c r="E751" s="7" t="s">
        <v>1385</v>
      </c>
      <c r="F751" s="7" t="s">
        <v>1385</v>
      </c>
      <c r="G751" s="7" t="s">
        <v>1386</v>
      </c>
      <c r="H751" s="7" t="s">
        <v>42</v>
      </c>
      <c r="I751" s="7" t="s">
        <v>10</v>
      </c>
      <c r="J751" s="7" t="s">
        <v>9</v>
      </c>
      <c r="K751" s="7" t="s">
        <v>33</v>
      </c>
      <c r="L751" s="7" t="s">
        <v>46</v>
      </c>
      <c r="M751" s="7" t="s">
        <v>33</v>
      </c>
      <c r="N751" s="7" t="s">
        <v>33</v>
      </c>
      <c r="O751" s="7" t="s">
        <v>33</v>
      </c>
      <c r="P751" s="11" t="str">
        <f t="shared" si="22"/>
        <v>胜</v>
      </c>
      <c r="Q751" s="11" t="str">
        <f t="shared" si="23"/>
        <v>胜</v>
      </c>
    </row>
    <row r="752" spans="4:17" x14ac:dyDescent="0.15">
      <c r="D752" s="7" t="s">
        <v>6</v>
      </c>
      <c r="E752" s="7" t="s">
        <v>1387</v>
      </c>
      <c r="F752" s="7" t="s">
        <v>1387</v>
      </c>
      <c r="G752" s="7" t="s">
        <v>1388</v>
      </c>
      <c r="H752" s="7" t="s">
        <v>41</v>
      </c>
      <c r="I752" s="7" t="s">
        <v>9</v>
      </c>
      <c r="J752" s="7" t="s">
        <v>39</v>
      </c>
      <c r="K752" s="7" t="s">
        <v>33</v>
      </c>
      <c r="L752" s="7" t="s">
        <v>44</v>
      </c>
      <c r="M752" s="7" t="s">
        <v>10</v>
      </c>
      <c r="N752" s="7" t="s">
        <v>39</v>
      </c>
      <c r="O752" s="7" t="s">
        <v>33</v>
      </c>
      <c r="P752" s="11" t="str">
        <f t="shared" si="22"/>
        <v>胜</v>
      </c>
      <c r="Q752" s="11" t="str">
        <f t="shared" si="23"/>
        <v>平</v>
      </c>
    </row>
    <row r="753" spans="4:17" x14ac:dyDescent="0.15">
      <c r="D753" s="7" t="s">
        <v>6</v>
      </c>
      <c r="E753" s="7" t="s">
        <v>1389</v>
      </c>
      <c r="F753" s="7" t="s">
        <v>1389</v>
      </c>
      <c r="G753" s="7" t="s">
        <v>1390</v>
      </c>
      <c r="H753" s="7" t="s">
        <v>35</v>
      </c>
      <c r="I753" s="7" t="s">
        <v>33</v>
      </c>
      <c r="J753" s="7" t="s">
        <v>33</v>
      </c>
      <c r="K753" s="7" t="s">
        <v>33</v>
      </c>
      <c r="L753" s="7" t="s">
        <v>37</v>
      </c>
      <c r="M753" s="7" t="s">
        <v>10</v>
      </c>
      <c r="N753" s="7" t="s">
        <v>39</v>
      </c>
      <c r="O753" s="7" t="s">
        <v>33</v>
      </c>
      <c r="P753" s="11" t="str">
        <f t="shared" si="22"/>
        <v>负</v>
      </c>
      <c r="Q753" s="11" t="str">
        <f t="shared" si="23"/>
        <v>负</v>
      </c>
    </row>
    <row r="754" spans="4:17" x14ac:dyDescent="0.15">
      <c r="D754" s="7" t="s">
        <v>6</v>
      </c>
      <c r="E754" s="7" t="s">
        <v>1391</v>
      </c>
      <c r="F754" s="7" t="s">
        <v>1391</v>
      </c>
      <c r="G754" s="7" t="s">
        <v>1392</v>
      </c>
      <c r="H754" s="7" t="s">
        <v>44</v>
      </c>
      <c r="I754" s="7" t="s">
        <v>33</v>
      </c>
      <c r="J754" s="7" t="s">
        <v>9</v>
      </c>
      <c r="K754" s="7" t="s">
        <v>33</v>
      </c>
      <c r="L754" s="7" t="s">
        <v>42</v>
      </c>
      <c r="M754" s="7" t="s">
        <v>9</v>
      </c>
      <c r="N754" s="7" t="s">
        <v>9</v>
      </c>
      <c r="O754" s="7" t="s">
        <v>33</v>
      </c>
      <c r="P754" s="11" t="str">
        <f t="shared" si="22"/>
        <v>负</v>
      </c>
      <c r="Q754" s="11" t="str">
        <f t="shared" si="23"/>
        <v>平</v>
      </c>
    </row>
    <row r="755" spans="4:17" x14ac:dyDescent="0.15">
      <c r="D755" s="7" t="s">
        <v>6</v>
      </c>
      <c r="E755" s="7" t="s">
        <v>1393</v>
      </c>
      <c r="F755" s="7" t="s">
        <v>1393</v>
      </c>
      <c r="G755" s="7" t="s">
        <v>1394</v>
      </c>
      <c r="H755" s="7" t="s">
        <v>48</v>
      </c>
      <c r="I755" s="7" t="s">
        <v>33</v>
      </c>
      <c r="J755" s="7" t="s">
        <v>9</v>
      </c>
      <c r="K755" s="7" t="s">
        <v>33</v>
      </c>
      <c r="L755" s="7" t="s">
        <v>43</v>
      </c>
      <c r="M755" s="7" t="s">
        <v>33</v>
      </c>
      <c r="N755" s="7" t="s">
        <v>33</v>
      </c>
      <c r="O755" s="7" t="s">
        <v>33</v>
      </c>
      <c r="P755" s="11" t="str">
        <f t="shared" si="22"/>
        <v>平</v>
      </c>
      <c r="Q755" s="11" t="str">
        <f t="shared" si="23"/>
        <v>胜</v>
      </c>
    </row>
    <row r="756" spans="4:17" x14ac:dyDescent="0.15">
      <c r="D756" s="7" t="s">
        <v>6</v>
      </c>
      <c r="E756" s="7" t="s">
        <v>1395</v>
      </c>
      <c r="F756" s="7" t="s">
        <v>1395</v>
      </c>
      <c r="G756" s="7" t="s">
        <v>1396</v>
      </c>
      <c r="H756" s="7" t="s">
        <v>38</v>
      </c>
      <c r="I756" s="7" t="s">
        <v>33</v>
      </c>
      <c r="J756" s="7" t="s">
        <v>33</v>
      </c>
      <c r="K756" s="7" t="s">
        <v>33</v>
      </c>
      <c r="L756" s="7" t="s">
        <v>40</v>
      </c>
      <c r="M756" s="7" t="s">
        <v>33</v>
      </c>
      <c r="N756" s="7" t="s">
        <v>33</v>
      </c>
      <c r="O756" s="7" t="s">
        <v>33</v>
      </c>
      <c r="P756" s="11" t="str">
        <f t="shared" si="22"/>
        <v>平</v>
      </c>
      <c r="Q756" s="11" t="str">
        <f t="shared" si="23"/>
        <v>平</v>
      </c>
    </row>
    <row r="757" spans="4:17" x14ac:dyDescent="0.15">
      <c r="D757" s="7" t="s">
        <v>6</v>
      </c>
      <c r="E757" s="7" t="s">
        <v>1397</v>
      </c>
      <c r="F757" s="7" t="s">
        <v>1397</v>
      </c>
      <c r="G757" s="7" t="s">
        <v>1398</v>
      </c>
      <c r="H757" s="7" t="s">
        <v>54</v>
      </c>
      <c r="I757" s="7" t="s">
        <v>33</v>
      </c>
      <c r="J757" s="7" t="s">
        <v>33</v>
      </c>
      <c r="K757" s="7" t="s">
        <v>33</v>
      </c>
      <c r="L757" s="7" t="s">
        <v>45</v>
      </c>
      <c r="M757" s="7" t="s">
        <v>9</v>
      </c>
      <c r="N757" s="7" t="s">
        <v>9</v>
      </c>
      <c r="O757" s="7" t="s">
        <v>33</v>
      </c>
      <c r="P757" s="11" t="str">
        <f t="shared" si="22"/>
        <v>负</v>
      </c>
      <c r="Q757" s="11" t="str">
        <f t="shared" si="23"/>
        <v>负</v>
      </c>
    </row>
    <row r="758" spans="4:17" x14ac:dyDescent="0.15">
      <c r="D758" s="7" t="s">
        <v>6</v>
      </c>
      <c r="E758" s="7" t="s">
        <v>1399</v>
      </c>
      <c r="F758" s="7" t="s">
        <v>1399</v>
      </c>
      <c r="G758" s="7" t="s">
        <v>1400</v>
      </c>
      <c r="H758" s="7" t="s">
        <v>52</v>
      </c>
      <c r="I758" s="7" t="s">
        <v>9</v>
      </c>
      <c r="J758" s="7" t="s">
        <v>39</v>
      </c>
      <c r="K758" s="7" t="s">
        <v>33</v>
      </c>
      <c r="L758" s="7" t="s">
        <v>53</v>
      </c>
      <c r="M758" s="7" t="s">
        <v>33</v>
      </c>
      <c r="N758" s="7" t="s">
        <v>33</v>
      </c>
      <c r="O758" s="7" t="s">
        <v>33</v>
      </c>
      <c r="P758" s="11" t="str">
        <f t="shared" si="22"/>
        <v>胜</v>
      </c>
      <c r="Q758" s="11" t="str">
        <f t="shared" si="23"/>
        <v>胜</v>
      </c>
    </row>
    <row r="759" spans="4:17" x14ac:dyDescent="0.15">
      <c r="D759" s="7" t="s">
        <v>6</v>
      </c>
      <c r="E759" s="7" t="s">
        <v>1401</v>
      </c>
      <c r="F759" s="7" t="s">
        <v>1401</v>
      </c>
      <c r="G759" s="7" t="s">
        <v>1402</v>
      </c>
      <c r="H759" s="7" t="s">
        <v>46</v>
      </c>
      <c r="I759" s="7" t="s">
        <v>33</v>
      </c>
      <c r="J759" s="7" t="s">
        <v>33</v>
      </c>
      <c r="K759" s="7" t="s">
        <v>33</v>
      </c>
      <c r="L759" s="7" t="s">
        <v>41</v>
      </c>
      <c r="M759" s="7" t="s">
        <v>33</v>
      </c>
      <c r="N759" s="7" t="s">
        <v>10</v>
      </c>
      <c r="O759" s="7" t="s">
        <v>33</v>
      </c>
      <c r="P759" s="11" t="str">
        <f t="shared" si="22"/>
        <v>平</v>
      </c>
      <c r="Q759" s="11" t="str">
        <f t="shared" si="23"/>
        <v>负</v>
      </c>
    </row>
    <row r="760" spans="4:17" x14ac:dyDescent="0.15">
      <c r="D760" s="7" t="s">
        <v>6</v>
      </c>
      <c r="E760" s="7" t="s">
        <v>1403</v>
      </c>
      <c r="F760" s="7" t="s">
        <v>1403</v>
      </c>
      <c r="G760" s="7" t="s">
        <v>1404</v>
      </c>
      <c r="H760" s="7" t="s">
        <v>56</v>
      </c>
      <c r="I760" s="7" t="s">
        <v>10</v>
      </c>
      <c r="J760" s="7" t="s">
        <v>10</v>
      </c>
      <c r="K760" s="7" t="s">
        <v>33</v>
      </c>
      <c r="L760" s="7" t="s">
        <v>49</v>
      </c>
      <c r="M760" s="7" t="s">
        <v>33</v>
      </c>
      <c r="N760" s="7" t="s">
        <v>10</v>
      </c>
      <c r="O760" s="7" t="s">
        <v>33</v>
      </c>
      <c r="P760" s="11" t="str">
        <f t="shared" si="22"/>
        <v>胜</v>
      </c>
      <c r="Q760" s="11" t="str">
        <f t="shared" si="23"/>
        <v>平</v>
      </c>
    </row>
    <row r="761" spans="4:17" x14ac:dyDescent="0.15">
      <c r="D761" s="7" t="s">
        <v>6</v>
      </c>
      <c r="E761" s="7" t="s">
        <v>1405</v>
      </c>
      <c r="F761" s="7" t="s">
        <v>1405</v>
      </c>
      <c r="G761" s="7" t="s">
        <v>1406</v>
      </c>
      <c r="H761" s="7" t="s">
        <v>37</v>
      </c>
      <c r="I761" s="7" t="s">
        <v>9</v>
      </c>
      <c r="J761" s="7" t="s">
        <v>50</v>
      </c>
      <c r="K761" s="7" t="s">
        <v>33</v>
      </c>
      <c r="L761" s="7" t="s">
        <v>56</v>
      </c>
      <c r="M761" s="7" t="s">
        <v>33</v>
      </c>
      <c r="N761" s="7" t="s">
        <v>10</v>
      </c>
      <c r="O761" s="7" t="s">
        <v>33</v>
      </c>
      <c r="P761" s="11" t="str">
        <f t="shared" si="22"/>
        <v>胜</v>
      </c>
      <c r="Q761" s="11" t="str">
        <f t="shared" si="23"/>
        <v>胜</v>
      </c>
    </row>
    <row r="762" spans="4:17" x14ac:dyDescent="0.15">
      <c r="D762" s="7" t="s">
        <v>6</v>
      </c>
      <c r="E762" s="7" t="s">
        <v>1407</v>
      </c>
      <c r="F762" s="7" t="s">
        <v>1407</v>
      </c>
      <c r="G762" s="7" t="s">
        <v>1408</v>
      </c>
      <c r="H762" s="7" t="s">
        <v>42</v>
      </c>
      <c r="I762" s="7" t="s">
        <v>33</v>
      </c>
      <c r="J762" s="7" t="s">
        <v>10</v>
      </c>
      <c r="K762" s="7" t="s">
        <v>33</v>
      </c>
      <c r="L762" s="7" t="s">
        <v>52</v>
      </c>
      <c r="M762" s="7" t="s">
        <v>10</v>
      </c>
      <c r="N762" s="7" t="s">
        <v>39</v>
      </c>
      <c r="O762" s="7" t="s">
        <v>33</v>
      </c>
      <c r="P762" s="11" t="str">
        <f t="shared" si="22"/>
        <v>负</v>
      </c>
      <c r="Q762" s="11" t="str">
        <f t="shared" si="23"/>
        <v>负</v>
      </c>
    </row>
    <row r="763" spans="4:17" x14ac:dyDescent="0.15">
      <c r="D763" s="7" t="s">
        <v>6</v>
      </c>
      <c r="E763" s="7" t="s">
        <v>1409</v>
      </c>
      <c r="F763" s="7" t="s">
        <v>1409</v>
      </c>
      <c r="G763" s="7" t="s">
        <v>1408</v>
      </c>
      <c r="H763" s="7" t="s">
        <v>54</v>
      </c>
      <c r="I763" s="7" t="s">
        <v>9</v>
      </c>
      <c r="J763" s="7" t="s">
        <v>9</v>
      </c>
      <c r="K763" s="7" t="s">
        <v>33</v>
      </c>
      <c r="L763" s="7" t="s">
        <v>35</v>
      </c>
      <c r="M763" s="7" t="s">
        <v>33</v>
      </c>
      <c r="N763" s="7" t="s">
        <v>10</v>
      </c>
      <c r="O763" s="7" t="s">
        <v>33</v>
      </c>
      <c r="P763" s="11" t="str">
        <f t="shared" si="22"/>
        <v>胜</v>
      </c>
      <c r="Q763" s="11" t="str">
        <f t="shared" si="23"/>
        <v>胜</v>
      </c>
    </row>
    <row r="764" spans="4:17" x14ac:dyDescent="0.15">
      <c r="D764" s="7" t="s">
        <v>6</v>
      </c>
      <c r="E764" s="7" t="s">
        <v>1410</v>
      </c>
      <c r="F764" s="7" t="s">
        <v>1410</v>
      </c>
      <c r="G764" s="7" t="s">
        <v>1408</v>
      </c>
      <c r="H764" s="7" t="s">
        <v>53</v>
      </c>
      <c r="I764" s="7" t="s">
        <v>10</v>
      </c>
      <c r="J764" s="7" t="s">
        <v>10</v>
      </c>
      <c r="K764" s="7" t="s">
        <v>33</v>
      </c>
      <c r="L764" s="7" t="s">
        <v>38</v>
      </c>
      <c r="M764" s="7" t="s">
        <v>10</v>
      </c>
      <c r="N764" s="7" t="s">
        <v>9</v>
      </c>
      <c r="O764" s="7" t="s">
        <v>33</v>
      </c>
      <c r="P764" s="11" t="str">
        <f t="shared" si="22"/>
        <v>平</v>
      </c>
      <c r="Q764" s="11" t="str">
        <f t="shared" si="23"/>
        <v>负</v>
      </c>
    </row>
    <row r="765" spans="4:17" x14ac:dyDescent="0.15">
      <c r="D765" s="7" t="s">
        <v>6</v>
      </c>
      <c r="E765" s="7" t="s">
        <v>1411</v>
      </c>
      <c r="F765" s="7" t="s">
        <v>1411</v>
      </c>
      <c r="G765" s="7" t="s">
        <v>1408</v>
      </c>
      <c r="H765" s="7" t="s">
        <v>45</v>
      </c>
      <c r="I765" s="7" t="s">
        <v>33</v>
      </c>
      <c r="J765" s="7" t="s">
        <v>9</v>
      </c>
      <c r="K765" s="7" t="s">
        <v>33</v>
      </c>
      <c r="L765" s="7" t="s">
        <v>44</v>
      </c>
      <c r="M765" s="7" t="s">
        <v>9</v>
      </c>
      <c r="N765" s="7" t="s">
        <v>9</v>
      </c>
      <c r="O765" s="7" t="s">
        <v>33</v>
      </c>
      <c r="P765" s="11" t="str">
        <f t="shared" si="22"/>
        <v>负</v>
      </c>
      <c r="Q765" s="11" t="str">
        <f t="shared" si="23"/>
        <v>平</v>
      </c>
    </row>
    <row r="766" spans="4:17" x14ac:dyDescent="0.15">
      <c r="D766" s="7" t="s">
        <v>6</v>
      </c>
      <c r="E766" s="7" t="s">
        <v>1412</v>
      </c>
      <c r="F766" s="7" t="s">
        <v>1412</v>
      </c>
      <c r="G766" s="7" t="s">
        <v>1408</v>
      </c>
      <c r="H766" s="7" t="s">
        <v>41</v>
      </c>
      <c r="I766" s="7" t="s">
        <v>33</v>
      </c>
      <c r="J766" s="7" t="s">
        <v>9</v>
      </c>
      <c r="K766" s="7" t="s">
        <v>33</v>
      </c>
      <c r="L766" s="7" t="s">
        <v>48</v>
      </c>
      <c r="M766" s="7" t="s">
        <v>10</v>
      </c>
      <c r="N766" s="7" t="s">
        <v>10</v>
      </c>
      <c r="O766" s="7" t="s">
        <v>33</v>
      </c>
      <c r="P766" s="11" t="str">
        <f t="shared" si="22"/>
        <v>负</v>
      </c>
      <c r="Q766" s="11" t="str">
        <f t="shared" si="23"/>
        <v>胜</v>
      </c>
    </row>
    <row r="767" spans="4:17" x14ac:dyDescent="0.15">
      <c r="D767" s="7" t="s">
        <v>6</v>
      </c>
      <c r="E767" s="7" t="s">
        <v>1413</v>
      </c>
      <c r="F767" s="7" t="s">
        <v>1413</v>
      </c>
      <c r="G767" s="7" t="s">
        <v>1414</v>
      </c>
      <c r="H767" s="7" t="s">
        <v>43</v>
      </c>
      <c r="I767" s="7" t="s">
        <v>10</v>
      </c>
      <c r="J767" s="7" t="s">
        <v>39</v>
      </c>
      <c r="K767" s="7" t="s">
        <v>33</v>
      </c>
      <c r="L767" s="7" t="s">
        <v>46</v>
      </c>
      <c r="M767" s="7" t="s">
        <v>9</v>
      </c>
      <c r="N767" s="7" t="s">
        <v>39</v>
      </c>
      <c r="O767" s="7" t="s">
        <v>33</v>
      </c>
      <c r="P767" s="11" t="str">
        <f t="shared" si="22"/>
        <v>负</v>
      </c>
      <c r="Q767" s="11" t="str">
        <f t="shared" si="23"/>
        <v>平</v>
      </c>
    </row>
    <row r="768" spans="4:17" x14ac:dyDescent="0.15">
      <c r="D768" s="7" t="s">
        <v>6</v>
      </c>
      <c r="E768" s="7" t="s">
        <v>1415</v>
      </c>
      <c r="F768" s="7" t="s">
        <v>1415</v>
      </c>
      <c r="G768" s="7" t="s">
        <v>1416</v>
      </c>
      <c r="H768" s="7" t="s">
        <v>40</v>
      </c>
      <c r="I768" s="7" t="s">
        <v>9</v>
      </c>
      <c r="J768" s="7" t="s">
        <v>9</v>
      </c>
      <c r="K768" s="7" t="s">
        <v>33</v>
      </c>
      <c r="L768" s="7" t="s">
        <v>49</v>
      </c>
      <c r="M768" s="7" t="s">
        <v>33</v>
      </c>
      <c r="N768" s="7" t="s">
        <v>33</v>
      </c>
      <c r="O768" s="7" t="s">
        <v>33</v>
      </c>
      <c r="P768" s="11" t="str">
        <f t="shared" si="22"/>
        <v>胜</v>
      </c>
      <c r="Q768" s="11" t="str">
        <f t="shared" si="23"/>
        <v>胜</v>
      </c>
    </row>
    <row r="769" spans="4:17" x14ac:dyDescent="0.15">
      <c r="D769" s="7" t="s">
        <v>6</v>
      </c>
      <c r="E769" s="7" t="s">
        <v>1417</v>
      </c>
      <c r="F769" s="7" t="s">
        <v>1417</v>
      </c>
      <c r="G769" s="7" t="s">
        <v>1418</v>
      </c>
      <c r="H769" s="7" t="s">
        <v>52</v>
      </c>
      <c r="I769" s="7" t="s">
        <v>10</v>
      </c>
      <c r="J769" s="7" t="s">
        <v>9</v>
      </c>
      <c r="K769" s="7" t="s">
        <v>33</v>
      </c>
      <c r="L769" s="7" t="s">
        <v>35</v>
      </c>
      <c r="M769" s="7" t="s">
        <v>33</v>
      </c>
      <c r="N769" s="7" t="s">
        <v>10</v>
      </c>
      <c r="O769" s="7" t="s">
        <v>33</v>
      </c>
      <c r="P769" s="11" t="str">
        <f t="shared" si="22"/>
        <v>胜</v>
      </c>
      <c r="Q769" s="11" t="str">
        <f t="shared" si="23"/>
        <v>胜</v>
      </c>
    </row>
    <row r="770" spans="4:17" x14ac:dyDescent="0.15">
      <c r="D770" s="7" t="s">
        <v>6</v>
      </c>
      <c r="E770" s="7" t="s">
        <v>1419</v>
      </c>
      <c r="F770" s="7" t="s">
        <v>1419</v>
      </c>
      <c r="G770" s="7" t="s">
        <v>1420</v>
      </c>
      <c r="H770" s="7" t="s">
        <v>38</v>
      </c>
      <c r="I770" s="7" t="s">
        <v>10</v>
      </c>
      <c r="J770" s="7" t="s">
        <v>10</v>
      </c>
      <c r="K770" s="7" t="s">
        <v>33</v>
      </c>
      <c r="L770" s="7" t="s">
        <v>37</v>
      </c>
      <c r="M770" s="7" t="s">
        <v>33</v>
      </c>
      <c r="N770" s="7" t="s">
        <v>9</v>
      </c>
      <c r="O770" s="7" t="s">
        <v>33</v>
      </c>
      <c r="P770" s="11" t="str">
        <f t="shared" si="22"/>
        <v>胜</v>
      </c>
      <c r="Q770" s="11" t="str">
        <f t="shared" si="23"/>
        <v>负</v>
      </c>
    </row>
    <row r="771" spans="4:17" x14ac:dyDescent="0.15">
      <c r="D771" s="7" t="s">
        <v>6</v>
      </c>
      <c r="E771" s="7" t="s">
        <v>1421</v>
      </c>
      <c r="F771" s="7" t="s">
        <v>1421</v>
      </c>
      <c r="G771" s="7" t="s">
        <v>1422</v>
      </c>
      <c r="H771" s="7" t="s">
        <v>48</v>
      </c>
      <c r="I771" s="7" t="s">
        <v>9</v>
      </c>
      <c r="J771" s="7" t="s">
        <v>9</v>
      </c>
      <c r="K771" s="7" t="s">
        <v>33</v>
      </c>
      <c r="L771" s="7" t="s">
        <v>42</v>
      </c>
      <c r="M771" s="7" t="s">
        <v>33</v>
      </c>
      <c r="N771" s="7" t="s">
        <v>9</v>
      </c>
      <c r="O771" s="7" t="s">
        <v>33</v>
      </c>
      <c r="P771" s="11" t="str">
        <f t="shared" si="22"/>
        <v>胜</v>
      </c>
      <c r="Q771" s="11" t="str">
        <f t="shared" si="23"/>
        <v>平</v>
      </c>
    </row>
    <row r="772" spans="4:17" x14ac:dyDescent="0.15">
      <c r="D772" s="7" t="s">
        <v>6</v>
      </c>
      <c r="E772" s="7" t="s">
        <v>1423</v>
      </c>
      <c r="F772" s="7" t="s">
        <v>1423</v>
      </c>
      <c r="G772" s="7" t="s">
        <v>1422</v>
      </c>
      <c r="H772" s="7" t="s">
        <v>56</v>
      </c>
      <c r="I772" s="7" t="s">
        <v>10</v>
      </c>
      <c r="J772" s="7" t="s">
        <v>9</v>
      </c>
      <c r="K772" s="7" t="s">
        <v>33</v>
      </c>
      <c r="L772" s="7" t="s">
        <v>41</v>
      </c>
      <c r="M772" s="7" t="s">
        <v>33</v>
      </c>
      <c r="N772" s="7" t="s">
        <v>9</v>
      </c>
      <c r="O772" s="7" t="s">
        <v>33</v>
      </c>
      <c r="P772" s="11" t="str">
        <f t="shared" si="22"/>
        <v>胜</v>
      </c>
      <c r="Q772" s="11" t="str">
        <f t="shared" si="23"/>
        <v>平</v>
      </c>
    </row>
    <row r="773" spans="4:17" x14ac:dyDescent="0.15">
      <c r="D773" s="7" t="s">
        <v>6</v>
      </c>
      <c r="E773" s="7" t="s">
        <v>1424</v>
      </c>
      <c r="F773" s="7" t="s">
        <v>1424</v>
      </c>
      <c r="G773" s="7" t="s">
        <v>1425</v>
      </c>
      <c r="H773" s="7" t="s">
        <v>46</v>
      </c>
      <c r="I773" s="7" t="s">
        <v>10</v>
      </c>
      <c r="J773" s="7" t="s">
        <v>9</v>
      </c>
      <c r="K773" s="7" t="s">
        <v>33</v>
      </c>
      <c r="L773" s="7" t="s">
        <v>54</v>
      </c>
      <c r="M773" s="7" t="s">
        <v>33</v>
      </c>
      <c r="N773" s="7" t="s">
        <v>33</v>
      </c>
      <c r="O773" s="7" t="s">
        <v>33</v>
      </c>
      <c r="P773" s="11" t="str">
        <f t="shared" si="22"/>
        <v>胜</v>
      </c>
      <c r="Q773" s="11" t="str">
        <f t="shared" si="23"/>
        <v>胜</v>
      </c>
    </row>
    <row r="774" spans="4:17" x14ac:dyDescent="0.15">
      <c r="D774" s="7" t="s">
        <v>6</v>
      </c>
      <c r="E774" s="7" t="s">
        <v>1426</v>
      </c>
      <c r="F774" s="7" t="s">
        <v>1426</v>
      </c>
      <c r="G774" s="7" t="s">
        <v>1422</v>
      </c>
      <c r="H774" s="7" t="s">
        <v>43</v>
      </c>
      <c r="I774" s="7" t="s">
        <v>33</v>
      </c>
      <c r="J774" s="7" t="s">
        <v>10</v>
      </c>
      <c r="K774" s="7" t="s">
        <v>33</v>
      </c>
      <c r="L774" s="7" t="s">
        <v>45</v>
      </c>
      <c r="M774" s="7" t="s">
        <v>10</v>
      </c>
      <c r="N774" s="7" t="s">
        <v>10</v>
      </c>
      <c r="O774" s="7" t="s">
        <v>33</v>
      </c>
      <c r="P774" s="11" t="str">
        <f t="shared" si="22"/>
        <v>负</v>
      </c>
      <c r="Q774" s="11" t="str">
        <f t="shared" si="23"/>
        <v>平</v>
      </c>
    </row>
    <row r="775" spans="4:17" x14ac:dyDescent="0.15">
      <c r="D775" s="7" t="s">
        <v>6</v>
      </c>
      <c r="E775" s="7" t="s">
        <v>1427</v>
      </c>
      <c r="F775" s="7" t="s">
        <v>1427</v>
      </c>
      <c r="G775" s="7" t="s">
        <v>1428</v>
      </c>
      <c r="H775" s="7" t="s">
        <v>40</v>
      </c>
      <c r="I775" s="7" t="s">
        <v>39</v>
      </c>
      <c r="J775" s="7" t="s">
        <v>39</v>
      </c>
      <c r="K775" s="7" t="s">
        <v>33</v>
      </c>
      <c r="L775" s="7" t="s">
        <v>44</v>
      </c>
      <c r="M775" s="7" t="s">
        <v>10</v>
      </c>
      <c r="N775" s="7" t="s">
        <v>10</v>
      </c>
      <c r="O775" s="7" t="s">
        <v>33</v>
      </c>
      <c r="P775" s="11" t="str">
        <f t="shared" si="22"/>
        <v>胜</v>
      </c>
      <c r="Q775" s="11" t="str">
        <f t="shared" si="23"/>
        <v>胜</v>
      </c>
    </row>
    <row r="776" spans="4:17" x14ac:dyDescent="0.15">
      <c r="D776" s="7" t="s">
        <v>6</v>
      </c>
      <c r="E776" s="7" t="s">
        <v>1429</v>
      </c>
      <c r="F776" s="7" t="s">
        <v>1429</v>
      </c>
      <c r="G776" s="7" t="s">
        <v>1430</v>
      </c>
      <c r="H776" s="7" t="s">
        <v>49</v>
      </c>
      <c r="I776" s="7" t="s">
        <v>33</v>
      </c>
      <c r="J776" s="7" t="s">
        <v>33</v>
      </c>
      <c r="K776" s="7" t="s">
        <v>33</v>
      </c>
      <c r="L776" s="7" t="s">
        <v>53</v>
      </c>
      <c r="M776" s="7" t="s">
        <v>33</v>
      </c>
      <c r="N776" s="7" t="s">
        <v>33</v>
      </c>
      <c r="O776" s="7" t="s">
        <v>33</v>
      </c>
      <c r="P776" s="11" t="str">
        <f t="shared" si="22"/>
        <v>平</v>
      </c>
      <c r="Q776" s="11" t="str">
        <f t="shared" si="23"/>
        <v>平</v>
      </c>
    </row>
    <row r="777" spans="4:17" x14ac:dyDescent="0.15">
      <c r="D777" s="7" t="s">
        <v>6</v>
      </c>
      <c r="E777" s="7" t="s">
        <v>1431</v>
      </c>
      <c r="F777" s="7" t="s">
        <v>1431</v>
      </c>
      <c r="G777" s="7" t="s">
        <v>1432</v>
      </c>
      <c r="H777" s="7" t="s">
        <v>44</v>
      </c>
      <c r="I777" s="7" t="s">
        <v>9</v>
      </c>
      <c r="J777" s="7" t="s">
        <v>9</v>
      </c>
      <c r="K777" s="7" t="s">
        <v>33</v>
      </c>
      <c r="L777" s="7" t="s">
        <v>49</v>
      </c>
      <c r="M777" s="7" t="s">
        <v>10</v>
      </c>
      <c r="N777" s="7" t="s">
        <v>10</v>
      </c>
      <c r="O777" s="7" t="s">
        <v>33</v>
      </c>
      <c r="P777" s="11" t="str">
        <f t="shared" si="22"/>
        <v>胜</v>
      </c>
      <c r="Q777" s="11" t="str">
        <f t="shared" si="23"/>
        <v>胜</v>
      </c>
    </row>
    <row r="778" spans="4:17" x14ac:dyDescent="0.15">
      <c r="D778" s="7" t="s">
        <v>6</v>
      </c>
      <c r="E778" s="7" t="s">
        <v>1433</v>
      </c>
      <c r="F778" s="7" t="s">
        <v>1433</v>
      </c>
      <c r="G778" s="7" t="s">
        <v>1434</v>
      </c>
      <c r="H778" s="7" t="s">
        <v>54</v>
      </c>
      <c r="I778" s="7" t="s">
        <v>33</v>
      </c>
      <c r="J778" s="7" t="s">
        <v>10</v>
      </c>
      <c r="K778" s="7" t="s">
        <v>33</v>
      </c>
      <c r="L778" s="7" t="s">
        <v>52</v>
      </c>
      <c r="M778" s="7" t="s">
        <v>33</v>
      </c>
      <c r="N778" s="7" t="s">
        <v>33</v>
      </c>
      <c r="O778" s="7" t="s">
        <v>33</v>
      </c>
      <c r="P778" s="11" t="str">
        <f t="shared" si="22"/>
        <v>平</v>
      </c>
      <c r="Q778" s="11" t="str">
        <f t="shared" si="23"/>
        <v>胜</v>
      </c>
    </row>
    <row r="779" spans="4:17" x14ac:dyDescent="0.15">
      <c r="D779" s="7" t="s">
        <v>6</v>
      </c>
      <c r="E779" s="7" t="s">
        <v>1435</v>
      </c>
      <c r="F779" s="7" t="s">
        <v>1435</v>
      </c>
      <c r="G779" s="7" t="s">
        <v>1436</v>
      </c>
      <c r="H779" s="7" t="s">
        <v>37</v>
      </c>
      <c r="I779" s="7" t="s">
        <v>33</v>
      </c>
      <c r="J779" s="7" t="s">
        <v>33</v>
      </c>
      <c r="K779" s="7" t="s">
        <v>33</v>
      </c>
      <c r="L779" s="7" t="s">
        <v>48</v>
      </c>
      <c r="M779" s="7" t="s">
        <v>10</v>
      </c>
      <c r="N779" s="7" t="s">
        <v>10</v>
      </c>
      <c r="O779" s="7" t="s">
        <v>33</v>
      </c>
      <c r="P779" s="11" t="str">
        <f t="shared" si="22"/>
        <v>负</v>
      </c>
      <c r="Q779" s="11" t="str">
        <f t="shared" si="23"/>
        <v>负</v>
      </c>
    </row>
    <row r="780" spans="4:17" x14ac:dyDescent="0.15">
      <c r="D780" s="7" t="s">
        <v>6</v>
      </c>
      <c r="E780" s="7" t="s">
        <v>1437</v>
      </c>
      <c r="F780" s="7" t="s">
        <v>1437</v>
      </c>
      <c r="G780" s="7" t="s">
        <v>1438</v>
      </c>
      <c r="H780" s="7" t="s">
        <v>35</v>
      </c>
      <c r="I780" s="7" t="s">
        <v>10</v>
      </c>
      <c r="J780" s="7" t="s">
        <v>9</v>
      </c>
      <c r="K780" s="7" t="s">
        <v>33</v>
      </c>
      <c r="L780" s="7" t="s">
        <v>56</v>
      </c>
      <c r="M780" s="7" t="s">
        <v>33</v>
      </c>
      <c r="N780" s="7" t="s">
        <v>33</v>
      </c>
      <c r="O780" s="7" t="s">
        <v>33</v>
      </c>
      <c r="P780" s="11" t="str">
        <f t="shared" si="22"/>
        <v>胜</v>
      </c>
      <c r="Q780" s="11" t="str">
        <f t="shared" si="23"/>
        <v>胜</v>
      </c>
    </row>
    <row r="781" spans="4:17" x14ac:dyDescent="0.15">
      <c r="D781" s="7" t="s">
        <v>6</v>
      </c>
      <c r="E781" s="7" t="s">
        <v>1439</v>
      </c>
      <c r="F781" s="7" t="s">
        <v>1439</v>
      </c>
      <c r="G781" s="7" t="s">
        <v>1440</v>
      </c>
      <c r="H781" s="7" t="s">
        <v>42</v>
      </c>
      <c r="I781" s="7" t="s">
        <v>10</v>
      </c>
      <c r="J781" s="7" t="s">
        <v>39</v>
      </c>
      <c r="K781" s="7" t="s">
        <v>33</v>
      </c>
      <c r="L781" s="7" t="s">
        <v>38</v>
      </c>
      <c r="M781" s="7" t="s">
        <v>33</v>
      </c>
      <c r="N781" s="7" t="s">
        <v>9</v>
      </c>
      <c r="O781" s="7" t="s">
        <v>33</v>
      </c>
      <c r="P781" s="11" t="str">
        <f t="shared" ref="P781:P844" si="24">IF(I781=M781,"平",IF(I781&gt;M781,"胜","负"))</f>
        <v>胜</v>
      </c>
      <c r="Q781" s="11" t="str">
        <f t="shared" ref="Q781:Q844" si="25">IF(J781=N781,"平",IF(J781&gt;N781,"胜","负"))</f>
        <v>胜</v>
      </c>
    </row>
    <row r="782" spans="4:17" x14ac:dyDescent="0.15">
      <c r="D782" s="7" t="s">
        <v>6</v>
      </c>
      <c r="E782" s="7" t="s">
        <v>1441</v>
      </c>
      <c r="F782" s="7" t="s">
        <v>1441</v>
      </c>
      <c r="G782" s="7" t="s">
        <v>1440</v>
      </c>
      <c r="H782" s="7" t="s">
        <v>53</v>
      </c>
      <c r="I782" s="7" t="s">
        <v>10</v>
      </c>
      <c r="J782" s="7" t="s">
        <v>39</v>
      </c>
      <c r="K782" s="7" t="s">
        <v>33</v>
      </c>
      <c r="L782" s="7" t="s">
        <v>43</v>
      </c>
      <c r="M782" s="7" t="s">
        <v>10</v>
      </c>
      <c r="N782" s="7" t="s">
        <v>9</v>
      </c>
      <c r="O782" s="7" t="s">
        <v>33</v>
      </c>
      <c r="P782" s="11" t="str">
        <f t="shared" si="24"/>
        <v>平</v>
      </c>
      <c r="Q782" s="11" t="str">
        <f t="shared" si="25"/>
        <v>胜</v>
      </c>
    </row>
    <row r="783" spans="4:17" x14ac:dyDescent="0.15">
      <c r="D783" s="7" t="s">
        <v>6</v>
      </c>
      <c r="E783" s="7" t="s">
        <v>1442</v>
      </c>
      <c r="F783" s="7" t="s">
        <v>1442</v>
      </c>
      <c r="G783" s="7" t="s">
        <v>1443</v>
      </c>
      <c r="H783" s="7" t="s">
        <v>45</v>
      </c>
      <c r="I783" s="7" t="s">
        <v>10</v>
      </c>
      <c r="J783" s="7" t="s">
        <v>9</v>
      </c>
      <c r="K783" s="7" t="s">
        <v>33</v>
      </c>
      <c r="L783" s="7" t="s">
        <v>46</v>
      </c>
      <c r="M783" s="7" t="s">
        <v>10</v>
      </c>
      <c r="N783" s="7" t="s">
        <v>50</v>
      </c>
      <c r="O783" s="7" t="s">
        <v>33</v>
      </c>
      <c r="P783" s="11" t="str">
        <f t="shared" si="24"/>
        <v>平</v>
      </c>
      <c r="Q783" s="11" t="str">
        <f t="shared" si="25"/>
        <v>负</v>
      </c>
    </row>
    <row r="784" spans="4:17" x14ac:dyDescent="0.15">
      <c r="D784" s="7" t="s">
        <v>6</v>
      </c>
      <c r="E784" s="7" t="s">
        <v>1444</v>
      </c>
      <c r="F784" s="7" t="s">
        <v>1444</v>
      </c>
      <c r="G784" s="7" t="s">
        <v>1445</v>
      </c>
      <c r="H784" s="7" t="s">
        <v>41</v>
      </c>
      <c r="I784" s="7" t="s">
        <v>33</v>
      </c>
      <c r="J784" s="7" t="s">
        <v>33</v>
      </c>
      <c r="K784" s="7" t="s">
        <v>33</v>
      </c>
      <c r="L784" s="7" t="s">
        <v>40</v>
      </c>
      <c r="M784" s="7" t="s">
        <v>33</v>
      </c>
      <c r="N784" s="7" t="s">
        <v>33</v>
      </c>
      <c r="O784" s="7" t="s">
        <v>33</v>
      </c>
      <c r="P784" s="11" t="str">
        <f t="shared" si="24"/>
        <v>平</v>
      </c>
      <c r="Q784" s="11" t="str">
        <f t="shared" si="25"/>
        <v>平</v>
      </c>
    </row>
    <row r="785" spans="4:17" x14ac:dyDescent="0.15">
      <c r="D785" s="7" t="s">
        <v>6</v>
      </c>
      <c r="E785" s="7" t="s">
        <v>1446</v>
      </c>
      <c r="F785" s="7" t="s">
        <v>1446</v>
      </c>
      <c r="G785" s="7" t="s">
        <v>1447</v>
      </c>
      <c r="H785" s="7" t="s">
        <v>46</v>
      </c>
      <c r="I785" s="7" t="s">
        <v>10</v>
      </c>
      <c r="J785" s="7" t="s">
        <v>9</v>
      </c>
      <c r="K785" s="7" t="s">
        <v>33</v>
      </c>
      <c r="L785" s="7" t="s">
        <v>35</v>
      </c>
      <c r="M785" s="7" t="s">
        <v>10</v>
      </c>
      <c r="N785" s="7" t="s">
        <v>10</v>
      </c>
      <c r="O785" s="7" t="s">
        <v>33</v>
      </c>
      <c r="P785" s="11" t="str">
        <f t="shared" si="24"/>
        <v>平</v>
      </c>
      <c r="Q785" s="11" t="str">
        <f t="shared" si="25"/>
        <v>胜</v>
      </c>
    </row>
    <row r="786" spans="4:17" x14ac:dyDescent="0.15">
      <c r="D786" s="7" t="s">
        <v>6</v>
      </c>
      <c r="E786" s="7" t="s">
        <v>1448</v>
      </c>
      <c r="F786" s="7" t="s">
        <v>1448</v>
      </c>
      <c r="G786" s="7" t="s">
        <v>1449</v>
      </c>
      <c r="H786" s="7" t="s">
        <v>43</v>
      </c>
      <c r="I786" s="7" t="s">
        <v>33</v>
      </c>
      <c r="J786" s="7" t="s">
        <v>10</v>
      </c>
      <c r="K786" s="7" t="s">
        <v>33</v>
      </c>
      <c r="L786" s="7" t="s">
        <v>42</v>
      </c>
      <c r="M786" s="7" t="s">
        <v>10</v>
      </c>
      <c r="N786" s="7" t="s">
        <v>10</v>
      </c>
      <c r="O786" s="7" t="s">
        <v>33</v>
      </c>
      <c r="P786" s="11" t="str">
        <f t="shared" si="24"/>
        <v>负</v>
      </c>
      <c r="Q786" s="11" t="str">
        <f t="shared" si="25"/>
        <v>平</v>
      </c>
    </row>
    <row r="787" spans="4:17" x14ac:dyDescent="0.15">
      <c r="D787" s="7" t="s">
        <v>6</v>
      </c>
      <c r="E787" s="7" t="s">
        <v>1450</v>
      </c>
      <c r="F787" s="7" t="s">
        <v>1450</v>
      </c>
      <c r="G787" s="7" t="s">
        <v>1451</v>
      </c>
      <c r="H787" s="7" t="s">
        <v>48</v>
      </c>
      <c r="I787" s="7" t="s">
        <v>10</v>
      </c>
      <c r="J787" s="7" t="s">
        <v>10</v>
      </c>
      <c r="K787" s="7" t="s">
        <v>33</v>
      </c>
      <c r="L787" s="7" t="s">
        <v>44</v>
      </c>
      <c r="M787" s="7" t="s">
        <v>33</v>
      </c>
      <c r="N787" s="7" t="s">
        <v>10</v>
      </c>
      <c r="O787" s="7" t="s">
        <v>33</v>
      </c>
      <c r="P787" s="11" t="str">
        <f t="shared" si="24"/>
        <v>胜</v>
      </c>
      <c r="Q787" s="11" t="str">
        <f t="shared" si="25"/>
        <v>平</v>
      </c>
    </row>
    <row r="788" spans="4:17" x14ac:dyDescent="0.15">
      <c r="D788" s="7" t="s">
        <v>6</v>
      </c>
      <c r="E788" s="7" t="s">
        <v>1452</v>
      </c>
      <c r="F788" s="7" t="s">
        <v>1452</v>
      </c>
      <c r="G788" s="7" t="s">
        <v>1449</v>
      </c>
      <c r="H788" s="7" t="s">
        <v>56</v>
      </c>
      <c r="I788" s="7" t="s">
        <v>39</v>
      </c>
      <c r="J788" s="7" t="s">
        <v>50</v>
      </c>
      <c r="K788" s="7" t="s">
        <v>33</v>
      </c>
      <c r="L788" s="7" t="s">
        <v>53</v>
      </c>
      <c r="M788" s="7" t="s">
        <v>33</v>
      </c>
      <c r="N788" s="7" t="s">
        <v>10</v>
      </c>
      <c r="O788" s="7" t="s">
        <v>33</v>
      </c>
      <c r="P788" s="11" t="str">
        <f t="shared" si="24"/>
        <v>胜</v>
      </c>
      <c r="Q788" s="11" t="str">
        <f t="shared" si="25"/>
        <v>胜</v>
      </c>
    </row>
    <row r="789" spans="4:17" x14ac:dyDescent="0.15">
      <c r="D789" s="7" t="s">
        <v>6</v>
      </c>
      <c r="E789" s="7" t="s">
        <v>1453</v>
      </c>
      <c r="F789" s="7" t="s">
        <v>1453</v>
      </c>
      <c r="G789" s="7" t="s">
        <v>1454</v>
      </c>
      <c r="H789" s="7" t="s">
        <v>52</v>
      </c>
      <c r="I789" s="7" t="s">
        <v>9</v>
      </c>
      <c r="J789" s="7" t="s">
        <v>39</v>
      </c>
      <c r="K789" s="7" t="s">
        <v>33</v>
      </c>
      <c r="L789" s="7" t="s">
        <v>45</v>
      </c>
      <c r="M789" s="7" t="s">
        <v>10</v>
      </c>
      <c r="N789" s="7" t="s">
        <v>10</v>
      </c>
      <c r="O789" s="7" t="s">
        <v>33</v>
      </c>
      <c r="P789" s="11" t="str">
        <f t="shared" si="24"/>
        <v>胜</v>
      </c>
      <c r="Q789" s="11" t="str">
        <f t="shared" si="25"/>
        <v>胜</v>
      </c>
    </row>
    <row r="790" spans="4:17" x14ac:dyDescent="0.15">
      <c r="D790" s="7" t="s">
        <v>6</v>
      </c>
      <c r="E790" s="7" t="s">
        <v>1455</v>
      </c>
      <c r="F790" s="7" t="s">
        <v>1455</v>
      </c>
      <c r="G790" s="7" t="s">
        <v>1449</v>
      </c>
      <c r="H790" s="7" t="s">
        <v>49</v>
      </c>
      <c r="I790" s="7" t="s">
        <v>33</v>
      </c>
      <c r="J790" s="7" t="s">
        <v>10</v>
      </c>
      <c r="K790" s="7" t="s">
        <v>33</v>
      </c>
      <c r="L790" s="7" t="s">
        <v>41</v>
      </c>
      <c r="M790" s="7" t="s">
        <v>10</v>
      </c>
      <c r="N790" s="7" t="s">
        <v>9</v>
      </c>
      <c r="O790" s="7" t="s">
        <v>33</v>
      </c>
      <c r="P790" s="11" t="str">
        <f t="shared" si="24"/>
        <v>负</v>
      </c>
      <c r="Q790" s="11" t="str">
        <f t="shared" si="25"/>
        <v>负</v>
      </c>
    </row>
    <row r="791" spans="4:17" x14ac:dyDescent="0.15">
      <c r="D791" s="7" t="s">
        <v>6</v>
      </c>
      <c r="E791" s="7" t="s">
        <v>1456</v>
      </c>
      <c r="F791" s="7" t="s">
        <v>1456</v>
      </c>
      <c r="G791" s="7" t="s">
        <v>1457</v>
      </c>
      <c r="H791" s="7" t="s">
        <v>40</v>
      </c>
      <c r="I791" s="7" t="s">
        <v>33</v>
      </c>
      <c r="J791" s="7" t="s">
        <v>33</v>
      </c>
      <c r="K791" s="7" t="s">
        <v>33</v>
      </c>
      <c r="L791" s="7" t="s">
        <v>37</v>
      </c>
      <c r="M791" s="7" t="s">
        <v>33</v>
      </c>
      <c r="N791" s="7" t="s">
        <v>9</v>
      </c>
      <c r="O791" s="7" t="s">
        <v>33</v>
      </c>
      <c r="P791" s="11" t="str">
        <f t="shared" si="24"/>
        <v>平</v>
      </c>
      <c r="Q791" s="11" t="str">
        <f t="shared" si="25"/>
        <v>负</v>
      </c>
    </row>
    <row r="792" spans="4:17" x14ac:dyDescent="0.15">
      <c r="D792" s="7" t="s">
        <v>6</v>
      </c>
      <c r="E792" s="7" t="s">
        <v>1458</v>
      </c>
      <c r="F792" s="7" t="s">
        <v>1458</v>
      </c>
      <c r="G792" s="7" t="s">
        <v>1459</v>
      </c>
      <c r="H792" s="7" t="s">
        <v>38</v>
      </c>
      <c r="I792" s="7" t="s">
        <v>33</v>
      </c>
      <c r="J792" s="7" t="s">
        <v>9</v>
      </c>
      <c r="K792" s="7" t="s">
        <v>33</v>
      </c>
      <c r="L792" s="7" t="s">
        <v>54</v>
      </c>
      <c r="M792" s="7" t="s">
        <v>33</v>
      </c>
      <c r="N792" s="7" t="s">
        <v>10</v>
      </c>
      <c r="O792" s="7" t="s">
        <v>33</v>
      </c>
      <c r="P792" s="11" t="str">
        <f t="shared" si="24"/>
        <v>平</v>
      </c>
      <c r="Q792" s="11" t="str">
        <f t="shared" si="25"/>
        <v>胜</v>
      </c>
    </row>
    <row r="793" spans="4:17" x14ac:dyDescent="0.15">
      <c r="D793" s="7" t="s">
        <v>6</v>
      </c>
      <c r="E793" s="7" t="s">
        <v>1460</v>
      </c>
      <c r="F793" s="7" t="s">
        <v>1460</v>
      </c>
      <c r="G793" s="7" t="s">
        <v>1461</v>
      </c>
      <c r="H793" s="7" t="s">
        <v>42</v>
      </c>
      <c r="I793" s="7" t="s">
        <v>33</v>
      </c>
      <c r="J793" s="7" t="s">
        <v>33</v>
      </c>
      <c r="K793" s="7" t="s">
        <v>33</v>
      </c>
      <c r="L793" s="7" t="s">
        <v>40</v>
      </c>
      <c r="M793" s="7" t="s">
        <v>10</v>
      </c>
      <c r="N793" s="7" t="s">
        <v>9</v>
      </c>
      <c r="O793" s="7" t="s">
        <v>33</v>
      </c>
      <c r="P793" s="11" t="str">
        <f t="shared" si="24"/>
        <v>负</v>
      </c>
      <c r="Q793" s="11" t="str">
        <f t="shared" si="25"/>
        <v>负</v>
      </c>
    </row>
    <row r="794" spans="4:17" x14ac:dyDescent="0.15">
      <c r="D794" s="7" t="s">
        <v>6</v>
      </c>
      <c r="E794" s="7" t="s">
        <v>1462</v>
      </c>
      <c r="F794" s="7" t="s">
        <v>1462</v>
      </c>
      <c r="G794" s="7" t="s">
        <v>1463</v>
      </c>
      <c r="H794" s="7" t="s">
        <v>44</v>
      </c>
      <c r="I794" s="7" t="s">
        <v>33</v>
      </c>
      <c r="J794" s="7" t="s">
        <v>33</v>
      </c>
      <c r="K794" s="7" t="s">
        <v>33</v>
      </c>
      <c r="L794" s="7" t="s">
        <v>56</v>
      </c>
      <c r="M794" s="7" t="s">
        <v>33</v>
      </c>
      <c r="N794" s="7" t="s">
        <v>33</v>
      </c>
      <c r="O794" s="7" t="s">
        <v>33</v>
      </c>
      <c r="P794" s="11" t="str">
        <f t="shared" si="24"/>
        <v>平</v>
      </c>
      <c r="Q794" s="11" t="str">
        <f t="shared" si="25"/>
        <v>平</v>
      </c>
    </row>
    <row r="795" spans="4:17" x14ac:dyDescent="0.15">
      <c r="D795" s="7" t="s">
        <v>6</v>
      </c>
      <c r="E795" s="7" t="s">
        <v>1464</v>
      </c>
      <c r="F795" s="7" t="s">
        <v>1464</v>
      </c>
      <c r="G795" s="7" t="s">
        <v>1465</v>
      </c>
      <c r="H795" s="7" t="s">
        <v>35</v>
      </c>
      <c r="I795" s="7" t="s">
        <v>33</v>
      </c>
      <c r="J795" s="7" t="s">
        <v>33</v>
      </c>
      <c r="K795" s="7" t="s">
        <v>33</v>
      </c>
      <c r="L795" s="7" t="s">
        <v>48</v>
      </c>
      <c r="M795" s="7" t="s">
        <v>33</v>
      </c>
      <c r="N795" s="7" t="s">
        <v>10</v>
      </c>
      <c r="O795" s="7" t="s">
        <v>33</v>
      </c>
      <c r="P795" s="11" t="str">
        <f t="shared" si="24"/>
        <v>平</v>
      </c>
      <c r="Q795" s="11" t="str">
        <f t="shared" si="25"/>
        <v>负</v>
      </c>
    </row>
    <row r="796" spans="4:17" x14ac:dyDescent="0.15">
      <c r="D796" s="7" t="s">
        <v>6</v>
      </c>
      <c r="E796" s="7" t="s">
        <v>1466</v>
      </c>
      <c r="F796" s="7" t="s">
        <v>1466</v>
      </c>
      <c r="G796" s="7" t="s">
        <v>1465</v>
      </c>
      <c r="H796" s="7" t="s">
        <v>52</v>
      </c>
      <c r="I796" s="7" t="s">
        <v>33</v>
      </c>
      <c r="J796" s="7" t="s">
        <v>33</v>
      </c>
      <c r="K796" s="7" t="s">
        <v>33</v>
      </c>
      <c r="L796" s="7" t="s">
        <v>46</v>
      </c>
      <c r="M796" s="7" t="s">
        <v>10</v>
      </c>
      <c r="N796" s="7" t="s">
        <v>10</v>
      </c>
      <c r="O796" s="7" t="s">
        <v>33</v>
      </c>
      <c r="P796" s="11" t="str">
        <f t="shared" si="24"/>
        <v>负</v>
      </c>
      <c r="Q796" s="11" t="str">
        <f t="shared" si="25"/>
        <v>负</v>
      </c>
    </row>
    <row r="797" spans="4:17" x14ac:dyDescent="0.15">
      <c r="D797" s="7" t="s">
        <v>6</v>
      </c>
      <c r="E797" s="7" t="s">
        <v>1467</v>
      </c>
      <c r="F797" s="7" t="s">
        <v>1467</v>
      </c>
      <c r="G797" s="7" t="s">
        <v>1465</v>
      </c>
      <c r="H797" s="7" t="s">
        <v>53</v>
      </c>
      <c r="I797" s="7" t="s">
        <v>50</v>
      </c>
      <c r="J797" s="7" t="s">
        <v>47</v>
      </c>
      <c r="K797" s="7" t="s">
        <v>33</v>
      </c>
      <c r="L797" s="7" t="s">
        <v>41</v>
      </c>
      <c r="M797" s="7" t="s">
        <v>33</v>
      </c>
      <c r="N797" s="7" t="s">
        <v>33</v>
      </c>
      <c r="O797" s="7" t="s">
        <v>33</v>
      </c>
      <c r="P797" s="11" t="str">
        <f t="shared" si="24"/>
        <v>胜</v>
      </c>
      <c r="Q797" s="11" t="str">
        <f t="shared" si="25"/>
        <v>胜</v>
      </c>
    </row>
    <row r="798" spans="4:17" x14ac:dyDescent="0.15">
      <c r="D798" s="7" t="s">
        <v>6</v>
      </c>
      <c r="E798" s="7" t="s">
        <v>1468</v>
      </c>
      <c r="F798" s="7" t="s">
        <v>1468</v>
      </c>
      <c r="G798" s="7" t="s">
        <v>1469</v>
      </c>
      <c r="H798" s="7" t="s">
        <v>45</v>
      </c>
      <c r="I798" s="7" t="s">
        <v>10</v>
      </c>
      <c r="J798" s="7" t="s">
        <v>9</v>
      </c>
      <c r="K798" s="7" t="s">
        <v>33</v>
      </c>
      <c r="L798" s="7" t="s">
        <v>38</v>
      </c>
      <c r="M798" s="7" t="s">
        <v>9</v>
      </c>
      <c r="N798" s="7" t="s">
        <v>39</v>
      </c>
      <c r="O798" s="7" t="s">
        <v>33</v>
      </c>
      <c r="P798" s="11" t="str">
        <f t="shared" si="24"/>
        <v>负</v>
      </c>
      <c r="Q798" s="11" t="str">
        <f t="shared" si="25"/>
        <v>负</v>
      </c>
    </row>
    <row r="799" spans="4:17" x14ac:dyDescent="0.15">
      <c r="D799" s="7" t="s">
        <v>6</v>
      </c>
      <c r="E799" s="7" t="s">
        <v>1470</v>
      </c>
      <c r="F799" s="7" t="s">
        <v>1470</v>
      </c>
      <c r="G799" s="7" t="s">
        <v>1471</v>
      </c>
      <c r="H799" s="7" t="s">
        <v>37</v>
      </c>
      <c r="I799" s="7" t="s">
        <v>9</v>
      </c>
      <c r="J799" s="7" t="s">
        <v>39</v>
      </c>
      <c r="K799" s="7" t="s">
        <v>33</v>
      </c>
      <c r="L799" s="7" t="s">
        <v>49</v>
      </c>
      <c r="M799" s="7" t="s">
        <v>33</v>
      </c>
      <c r="N799" s="7" t="s">
        <v>33</v>
      </c>
      <c r="O799" s="7" t="s">
        <v>33</v>
      </c>
      <c r="P799" s="11" t="str">
        <f t="shared" si="24"/>
        <v>胜</v>
      </c>
      <c r="Q799" s="11" t="str">
        <f t="shared" si="25"/>
        <v>胜</v>
      </c>
    </row>
    <row r="800" spans="4:17" x14ac:dyDescent="0.15">
      <c r="D800" s="7" t="s">
        <v>6</v>
      </c>
      <c r="E800" s="7" t="s">
        <v>1472</v>
      </c>
      <c r="F800" s="7" t="s">
        <v>1472</v>
      </c>
      <c r="G800" s="7" t="s">
        <v>1473</v>
      </c>
      <c r="H800" s="7" t="s">
        <v>54</v>
      </c>
      <c r="I800" s="7" t="s">
        <v>9</v>
      </c>
      <c r="J800" s="7" t="s">
        <v>39</v>
      </c>
      <c r="K800" s="7" t="s">
        <v>33</v>
      </c>
      <c r="L800" s="7" t="s">
        <v>43</v>
      </c>
      <c r="M800" s="7" t="s">
        <v>33</v>
      </c>
      <c r="N800" s="7" t="s">
        <v>9</v>
      </c>
      <c r="O800" s="7" t="s">
        <v>33</v>
      </c>
      <c r="P800" s="11" t="str">
        <f t="shared" si="24"/>
        <v>胜</v>
      </c>
      <c r="Q800" s="11" t="str">
        <f t="shared" si="25"/>
        <v>胜</v>
      </c>
    </row>
    <row r="801" spans="4:17" x14ac:dyDescent="0.15">
      <c r="D801" s="7" t="s">
        <v>6</v>
      </c>
      <c r="E801" s="7" t="s">
        <v>1474</v>
      </c>
      <c r="F801" s="7" t="s">
        <v>1474</v>
      </c>
      <c r="G801" s="7" t="s">
        <v>1475</v>
      </c>
      <c r="H801" s="7" t="s">
        <v>53</v>
      </c>
      <c r="I801" s="7" t="s">
        <v>10</v>
      </c>
      <c r="J801" s="7" t="s">
        <v>9</v>
      </c>
      <c r="K801" s="7" t="s">
        <v>33</v>
      </c>
      <c r="L801" s="7" t="s">
        <v>54</v>
      </c>
      <c r="M801" s="7" t="s">
        <v>10</v>
      </c>
      <c r="N801" s="7" t="s">
        <v>9</v>
      </c>
      <c r="O801" s="7" t="s">
        <v>33</v>
      </c>
      <c r="P801" s="11" t="str">
        <f t="shared" si="24"/>
        <v>平</v>
      </c>
      <c r="Q801" s="11" t="str">
        <f t="shared" si="25"/>
        <v>平</v>
      </c>
    </row>
    <row r="802" spans="4:17" x14ac:dyDescent="0.15">
      <c r="D802" s="7" t="s">
        <v>6</v>
      </c>
      <c r="E802" s="7" t="s">
        <v>1476</v>
      </c>
      <c r="F802" s="7" t="s">
        <v>1476</v>
      </c>
      <c r="G802" s="7" t="s">
        <v>1477</v>
      </c>
      <c r="H802" s="7" t="s">
        <v>48</v>
      </c>
      <c r="I802" s="7" t="s">
        <v>33</v>
      </c>
      <c r="J802" s="7" t="s">
        <v>9</v>
      </c>
      <c r="K802" s="7" t="s">
        <v>33</v>
      </c>
      <c r="L802" s="7" t="s">
        <v>45</v>
      </c>
      <c r="M802" s="7" t="s">
        <v>10</v>
      </c>
      <c r="N802" s="7" t="s">
        <v>10</v>
      </c>
      <c r="O802" s="7" t="s">
        <v>33</v>
      </c>
      <c r="P802" s="11" t="str">
        <f t="shared" si="24"/>
        <v>负</v>
      </c>
      <c r="Q802" s="11" t="str">
        <f t="shared" si="25"/>
        <v>胜</v>
      </c>
    </row>
    <row r="803" spans="4:17" x14ac:dyDescent="0.15">
      <c r="D803" s="7" t="s">
        <v>6</v>
      </c>
      <c r="E803" s="7" t="s">
        <v>1478</v>
      </c>
      <c r="F803" s="7" t="s">
        <v>1478</v>
      </c>
      <c r="G803" s="7" t="s">
        <v>1479</v>
      </c>
      <c r="H803" s="7" t="s">
        <v>56</v>
      </c>
      <c r="I803" s="7" t="s">
        <v>10</v>
      </c>
      <c r="J803" s="7" t="s">
        <v>10</v>
      </c>
      <c r="K803" s="7" t="s">
        <v>33</v>
      </c>
      <c r="L803" s="7" t="s">
        <v>42</v>
      </c>
      <c r="M803" s="7" t="s">
        <v>33</v>
      </c>
      <c r="N803" s="7" t="s">
        <v>33</v>
      </c>
      <c r="O803" s="7" t="s">
        <v>33</v>
      </c>
      <c r="P803" s="11" t="str">
        <f t="shared" si="24"/>
        <v>胜</v>
      </c>
      <c r="Q803" s="11" t="str">
        <f t="shared" si="25"/>
        <v>胜</v>
      </c>
    </row>
    <row r="804" spans="4:17" x14ac:dyDescent="0.15">
      <c r="D804" s="7" t="s">
        <v>6</v>
      </c>
      <c r="E804" s="7" t="s">
        <v>1480</v>
      </c>
      <c r="F804" s="7" t="s">
        <v>1480</v>
      </c>
      <c r="G804" s="7" t="s">
        <v>1481</v>
      </c>
      <c r="H804" s="7" t="s">
        <v>44</v>
      </c>
      <c r="I804" s="7" t="s">
        <v>33</v>
      </c>
      <c r="J804" s="7" t="s">
        <v>33</v>
      </c>
      <c r="K804" s="7" t="s">
        <v>33</v>
      </c>
      <c r="L804" s="7" t="s">
        <v>37</v>
      </c>
      <c r="M804" s="7" t="s">
        <v>9</v>
      </c>
      <c r="N804" s="7" t="s">
        <v>39</v>
      </c>
      <c r="O804" s="7" t="s">
        <v>33</v>
      </c>
      <c r="P804" s="11" t="str">
        <f t="shared" si="24"/>
        <v>负</v>
      </c>
      <c r="Q804" s="11" t="str">
        <f t="shared" si="25"/>
        <v>负</v>
      </c>
    </row>
    <row r="805" spans="4:17" x14ac:dyDescent="0.15">
      <c r="D805" s="7" t="s">
        <v>6</v>
      </c>
      <c r="E805" s="7" t="s">
        <v>1482</v>
      </c>
      <c r="F805" s="7" t="s">
        <v>1482</v>
      </c>
      <c r="G805" s="7" t="s">
        <v>1479</v>
      </c>
      <c r="H805" s="7" t="s">
        <v>40</v>
      </c>
      <c r="I805" s="7" t="s">
        <v>10</v>
      </c>
      <c r="J805" s="7" t="s">
        <v>9</v>
      </c>
      <c r="K805" s="7" t="s">
        <v>33</v>
      </c>
      <c r="L805" s="7" t="s">
        <v>53</v>
      </c>
      <c r="M805" s="7" t="s">
        <v>33</v>
      </c>
      <c r="N805" s="7" t="s">
        <v>10</v>
      </c>
      <c r="O805" s="7" t="s">
        <v>33</v>
      </c>
      <c r="P805" s="11" t="str">
        <f t="shared" si="24"/>
        <v>胜</v>
      </c>
      <c r="Q805" s="11" t="str">
        <f t="shared" si="25"/>
        <v>胜</v>
      </c>
    </row>
    <row r="806" spans="4:17" x14ac:dyDescent="0.15">
      <c r="D806" s="7" t="s">
        <v>6</v>
      </c>
      <c r="E806" s="7" t="s">
        <v>1483</v>
      </c>
      <c r="F806" s="7" t="s">
        <v>1483</v>
      </c>
      <c r="G806" s="7" t="s">
        <v>1484</v>
      </c>
      <c r="H806" s="7" t="s">
        <v>49</v>
      </c>
      <c r="I806" s="7" t="s">
        <v>10</v>
      </c>
      <c r="J806" s="7" t="s">
        <v>9</v>
      </c>
      <c r="K806" s="7" t="s">
        <v>33</v>
      </c>
      <c r="L806" s="7" t="s">
        <v>46</v>
      </c>
      <c r="M806" s="7" t="s">
        <v>33</v>
      </c>
      <c r="N806" s="7" t="s">
        <v>10</v>
      </c>
      <c r="O806" s="7" t="s">
        <v>33</v>
      </c>
      <c r="P806" s="11" t="str">
        <f t="shared" si="24"/>
        <v>胜</v>
      </c>
      <c r="Q806" s="11" t="str">
        <f t="shared" si="25"/>
        <v>胜</v>
      </c>
    </row>
    <row r="807" spans="4:17" x14ac:dyDescent="0.15">
      <c r="D807" s="7" t="s">
        <v>6</v>
      </c>
      <c r="E807" s="7" t="s">
        <v>1485</v>
      </c>
      <c r="F807" s="7" t="s">
        <v>1485</v>
      </c>
      <c r="G807" s="7" t="s">
        <v>1486</v>
      </c>
      <c r="H807" s="7" t="s">
        <v>38</v>
      </c>
      <c r="I807" s="7" t="s">
        <v>10</v>
      </c>
      <c r="J807" s="7" t="s">
        <v>39</v>
      </c>
      <c r="K807" s="7" t="s">
        <v>33</v>
      </c>
      <c r="L807" s="7" t="s">
        <v>52</v>
      </c>
      <c r="M807" s="7" t="s">
        <v>10</v>
      </c>
      <c r="N807" s="7" t="s">
        <v>10</v>
      </c>
      <c r="O807" s="7" t="s">
        <v>33</v>
      </c>
      <c r="P807" s="11" t="str">
        <f t="shared" si="24"/>
        <v>平</v>
      </c>
      <c r="Q807" s="11" t="str">
        <f t="shared" si="25"/>
        <v>胜</v>
      </c>
    </row>
    <row r="808" spans="4:17" x14ac:dyDescent="0.15">
      <c r="D808" s="7" t="s">
        <v>6</v>
      </c>
      <c r="E808" s="7" t="s">
        <v>1487</v>
      </c>
      <c r="F808" s="7" t="s">
        <v>1487</v>
      </c>
      <c r="G808" s="7" t="s">
        <v>1479</v>
      </c>
      <c r="H808" s="7" t="s">
        <v>43</v>
      </c>
      <c r="I808" s="7" t="s">
        <v>33</v>
      </c>
      <c r="J808" s="7" t="s">
        <v>33</v>
      </c>
      <c r="K808" s="7" t="s">
        <v>33</v>
      </c>
      <c r="L808" s="7" t="s">
        <v>35</v>
      </c>
      <c r="M808" s="7" t="s">
        <v>10</v>
      </c>
      <c r="N808" s="7" t="s">
        <v>10</v>
      </c>
      <c r="O808" s="7" t="s">
        <v>33</v>
      </c>
      <c r="P808" s="11" t="str">
        <f t="shared" si="24"/>
        <v>负</v>
      </c>
      <c r="Q808" s="11" t="str">
        <f t="shared" si="25"/>
        <v>负</v>
      </c>
    </row>
    <row r="809" spans="4:17" x14ac:dyDescent="0.15">
      <c r="D809" s="7" t="s">
        <v>6</v>
      </c>
      <c r="E809" s="7" t="s">
        <v>1488</v>
      </c>
      <c r="F809" s="7" t="s">
        <v>1488</v>
      </c>
      <c r="G809" s="7" t="s">
        <v>1489</v>
      </c>
      <c r="H809" s="7" t="s">
        <v>41</v>
      </c>
      <c r="I809" s="7" t="s">
        <v>10</v>
      </c>
      <c r="J809" s="7" t="s">
        <v>9</v>
      </c>
      <c r="K809" s="7" t="s">
        <v>33</v>
      </c>
      <c r="L809" s="7" t="s">
        <v>54</v>
      </c>
      <c r="M809" s="7" t="s">
        <v>33</v>
      </c>
      <c r="N809" s="7" t="s">
        <v>10</v>
      </c>
      <c r="O809" s="7" t="s">
        <v>33</v>
      </c>
      <c r="P809" s="11" t="str">
        <f t="shared" si="24"/>
        <v>胜</v>
      </c>
      <c r="Q809" s="11" t="str">
        <f t="shared" si="25"/>
        <v>胜</v>
      </c>
    </row>
    <row r="810" spans="4:17" x14ac:dyDescent="0.15">
      <c r="D810" s="7" t="s">
        <v>6</v>
      </c>
      <c r="E810" s="7" t="s">
        <v>1490</v>
      </c>
      <c r="F810" s="7" t="s">
        <v>1490</v>
      </c>
      <c r="G810" s="7" t="s">
        <v>1491</v>
      </c>
      <c r="H810" s="7" t="s">
        <v>46</v>
      </c>
      <c r="I810" s="7" t="s">
        <v>33</v>
      </c>
      <c r="J810" s="7" t="s">
        <v>33</v>
      </c>
      <c r="K810" s="7" t="s">
        <v>33</v>
      </c>
      <c r="L810" s="7" t="s">
        <v>56</v>
      </c>
      <c r="M810" s="7" t="s">
        <v>9</v>
      </c>
      <c r="N810" s="7" t="s">
        <v>50</v>
      </c>
      <c r="O810" s="7" t="s">
        <v>33</v>
      </c>
      <c r="P810" s="11" t="str">
        <f t="shared" si="24"/>
        <v>负</v>
      </c>
      <c r="Q810" s="11" t="str">
        <f t="shared" si="25"/>
        <v>负</v>
      </c>
    </row>
    <row r="811" spans="4:17" x14ac:dyDescent="0.15">
      <c r="D811" s="7" t="s">
        <v>6</v>
      </c>
      <c r="E811" s="7" t="s">
        <v>1492</v>
      </c>
      <c r="F811" s="7" t="s">
        <v>1492</v>
      </c>
      <c r="G811" s="7" t="s">
        <v>1493</v>
      </c>
      <c r="H811" s="7" t="s">
        <v>42</v>
      </c>
      <c r="I811" s="7" t="s">
        <v>33</v>
      </c>
      <c r="J811" s="7" t="s">
        <v>50</v>
      </c>
      <c r="K811" s="7" t="s">
        <v>33</v>
      </c>
      <c r="L811" s="7" t="s">
        <v>49</v>
      </c>
      <c r="M811" s="7" t="s">
        <v>9</v>
      </c>
      <c r="N811" s="7" t="s">
        <v>9</v>
      </c>
      <c r="O811" s="7" t="s">
        <v>33</v>
      </c>
      <c r="P811" s="11" t="str">
        <f t="shared" si="24"/>
        <v>负</v>
      </c>
      <c r="Q811" s="11" t="str">
        <f t="shared" si="25"/>
        <v>胜</v>
      </c>
    </row>
    <row r="812" spans="4:17" x14ac:dyDescent="0.15">
      <c r="D812" s="7" t="s">
        <v>6</v>
      </c>
      <c r="E812" s="7" t="s">
        <v>1494</v>
      </c>
      <c r="F812" s="7" t="s">
        <v>1494</v>
      </c>
      <c r="G812" s="7" t="s">
        <v>1495</v>
      </c>
      <c r="H812" s="7" t="s">
        <v>54</v>
      </c>
      <c r="I812" s="7" t="s">
        <v>10</v>
      </c>
      <c r="J812" s="7" t="s">
        <v>10</v>
      </c>
      <c r="K812" s="7" t="s">
        <v>33</v>
      </c>
      <c r="L812" s="7" t="s">
        <v>48</v>
      </c>
      <c r="M812" s="7" t="s">
        <v>33</v>
      </c>
      <c r="N812" s="7" t="s">
        <v>33</v>
      </c>
      <c r="O812" s="7" t="s">
        <v>33</v>
      </c>
      <c r="P812" s="11" t="str">
        <f t="shared" si="24"/>
        <v>胜</v>
      </c>
      <c r="Q812" s="11" t="str">
        <f t="shared" si="25"/>
        <v>胜</v>
      </c>
    </row>
    <row r="813" spans="4:17" x14ac:dyDescent="0.15">
      <c r="D813" s="7" t="s">
        <v>6</v>
      </c>
      <c r="E813" s="7" t="s">
        <v>1496</v>
      </c>
      <c r="F813" s="7" t="s">
        <v>1496</v>
      </c>
      <c r="G813" s="7" t="s">
        <v>1495</v>
      </c>
      <c r="H813" s="7" t="s">
        <v>52</v>
      </c>
      <c r="I813" s="7" t="s">
        <v>33</v>
      </c>
      <c r="J813" s="7" t="s">
        <v>9</v>
      </c>
      <c r="K813" s="7" t="s">
        <v>33</v>
      </c>
      <c r="L813" s="7" t="s">
        <v>43</v>
      </c>
      <c r="M813" s="7" t="s">
        <v>33</v>
      </c>
      <c r="N813" s="7" t="s">
        <v>33</v>
      </c>
      <c r="O813" s="7" t="s">
        <v>33</v>
      </c>
      <c r="P813" s="11" t="str">
        <f t="shared" si="24"/>
        <v>平</v>
      </c>
      <c r="Q813" s="11" t="str">
        <f t="shared" si="25"/>
        <v>胜</v>
      </c>
    </row>
    <row r="814" spans="4:17" x14ac:dyDescent="0.15">
      <c r="D814" s="7" t="s">
        <v>6</v>
      </c>
      <c r="E814" s="7" t="s">
        <v>1497</v>
      </c>
      <c r="F814" s="7" t="s">
        <v>1497</v>
      </c>
      <c r="G814" s="7" t="s">
        <v>1495</v>
      </c>
      <c r="H814" s="7" t="s">
        <v>35</v>
      </c>
      <c r="I814" s="7" t="s">
        <v>9</v>
      </c>
      <c r="J814" s="7" t="s">
        <v>9</v>
      </c>
      <c r="K814" s="7" t="s">
        <v>33</v>
      </c>
      <c r="L814" s="7" t="s">
        <v>38</v>
      </c>
      <c r="M814" s="7" t="s">
        <v>9</v>
      </c>
      <c r="N814" s="7" t="s">
        <v>9</v>
      </c>
      <c r="O814" s="7" t="s">
        <v>33</v>
      </c>
      <c r="P814" s="11" t="str">
        <f t="shared" si="24"/>
        <v>平</v>
      </c>
      <c r="Q814" s="11" t="str">
        <f t="shared" si="25"/>
        <v>平</v>
      </c>
    </row>
    <row r="815" spans="4:17" x14ac:dyDescent="0.15">
      <c r="D815" s="7" t="s">
        <v>6</v>
      </c>
      <c r="E815" s="7" t="s">
        <v>1498</v>
      </c>
      <c r="F815" s="7" t="s">
        <v>1498</v>
      </c>
      <c r="G815" s="7" t="s">
        <v>1495</v>
      </c>
      <c r="H815" s="7" t="s">
        <v>53</v>
      </c>
      <c r="I815" s="7" t="s">
        <v>9</v>
      </c>
      <c r="J815" s="7" t="s">
        <v>9</v>
      </c>
      <c r="K815" s="7" t="s">
        <v>33</v>
      </c>
      <c r="L815" s="7" t="s">
        <v>44</v>
      </c>
      <c r="M815" s="7" t="s">
        <v>33</v>
      </c>
      <c r="N815" s="7" t="s">
        <v>10</v>
      </c>
      <c r="O815" s="7" t="s">
        <v>33</v>
      </c>
      <c r="P815" s="11" t="str">
        <f t="shared" si="24"/>
        <v>胜</v>
      </c>
      <c r="Q815" s="11" t="str">
        <f t="shared" si="25"/>
        <v>胜</v>
      </c>
    </row>
    <row r="816" spans="4:17" x14ac:dyDescent="0.15">
      <c r="D816" s="7" t="s">
        <v>6</v>
      </c>
      <c r="E816" s="7" t="s">
        <v>1499</v>
      </c>
      <c r="F816" s="7" t="s">
        <v>1499</v>
      </c>
      <c r="G816" s="7" t="s">
        <v>1495</v>
      </c>
      <c r="H816" s="7" t="s">
        <v>45</v>
      </c>
      <c r="I816" s="7" t="s">
        <v>33</v>
      </c>
      <c r="J816" s="7" t="s">
        <v>33</v>
      </c>
      <c r="K816" s="7" t="s">
        <v>33</v>
      </c>
      <c r="L816" s="7" t="s">
        <v>40</v>
      </c>
      <c r="M816" s="7" t="s">
        <v>10</v>
      </c>
      <c r="N816" s="7" t="s">
        <v>10</v>
      </c>
      <c r="O816" s="7" t="s">
        <v>33</v>
      </c>
      <c r="P816" s="11" t="str">
        <f t="shared" si="24"/>
        <v>负</v>
      </c>
      <c r="Q816" s="11" t="str">
        <f t="shared" si="25"/>
        <v>负</v>
      </c>
    </row>
    <row r="817" spans="4:17" x14ac:dyDescent="0.15">
      <c r="D817" s="7" t="s">
        <v>6</v>
      </c>
      <c r="E817" s="7" t="s">
        <v>1500</v>
      </c>
      <c r="F817" s="7" t="s">
        <v>1500</v>
      </c>
      <c r="G817" s="7" t="s">
        <v>1501</v>
      </c>
      <c r="H817" s="7" t="s">
        <v>37</v>
      </c>
      <c r="I817" s="7" t="s">
        <v>33</v>
      </c>
      <c r="J817" s="7" t="s">
        <v>10</v>
      </c>
      <c r="K817" s="7" t="s">
        <v>33</v>
      </c>
      <c r="L817" s="7" t="s">
        <v>41</v>
      </c>
      <c r="M817" s="7" t="s">
        <v>33</v>
      </c>
      <c r="N817" s="7" t="s">
        <v>10</v>
      </c>
      <c r="O817" s="7" t="s">
        <v>33</v>
      </c>
      <c r="P817" s="11" t="str">
        <f t="shared" si="24"/>
        <v>平</v>
      </c>
      <c r="Q817" s="11" t="str">
        <f t="shared" si="25"/>
        <v>平</v>
      </c>
    </row>
    <row r="818" spans="4:17" x14ac:dyDescent="0.15">
      <c r="D818" s="7" t="s">
        <v>6</v>
      </c>
      <c r="E818" s="7" t="s">
        <v>1502</v>
      </c>
      <c r="F818" s="7" t="s">
        <v>1502</v>
      </c>
      <c r="G818" s="7" t="s">
        <v>1503</v>
      </c>
      <c r="H818" s="7" t="s">
        <v>53</v>
      </c>
      <c r="I818" s="7" t="s">
        <v>33</v>
      </c>
      <c r="J818" s="7" t="s">
        <v>33</v>
      </c>
      <c r="K818" s="7" t="s">
        <v>33</v>
      </c>
      <c r="L818" s="7" t="s">
        <v>37</v>
      </c>
      <c r="M818" s="7" t="s">
        <v>10</v>
      </c>
      <c r="N818" s="7" t="s">
        <v>39</v>
      </c>
      <c r="O818" s="7" t="s">
        <v>33</v>
      </c>
      <c r="P818" s="11" t="str">
        <f t="shared" si="24"/>
        <v>负</v>
      </c>
      <c r="Q818" s="11" t="str">
        <f t="shared" si="25"/>
        <v>负</v>
      </c>
    </row>
    <row r="819" spans="4:17" x14ac:dyDescent="0.15">
      <c r="D819" s="7" t="s">
        <v>6</v>
      </c>
      <c r="E819" s="7" t="s">
        <v>1504</v>
      </c>
      <c r="F819" s="7" t="s">
        <v>1504</v>
      </c>
      <c r="G819" s="7" t="s">
        <v>1505</v>
      </c>
      <c r="H819" s="7" t="s">
        <v>40</v>
      </c>
      <c r="I819" s="7" t="s">
        <v>33</v>
      </c>
      <c r="J819" s="7" t="s">
        <v>10</v>
      </c>
      <c r="K819" s="7" t="s">
        <v>33</v>
      </c>
      <c r="L819" s="7" t="s">
        <v>54</v>
      </c>
      <c r="M819" s="7" t="s">
        <v>33</v>
      </c>
      <c r="N819" s="7" t="s">
        <v>33</v>
      </c>
      <c r="O819" s="7" t="s">
        <v>33</v>
      </c>
      <c r="P819" s="11" t="str">
        <f t="shared" si="24"/>
        <v>平</v>
      </c>
      <c r="Q819" s="11" t="str">
        <f t="shared" si="25"/>
        <v>胜</v>
      </c>
    </row>
    <row r="820" spans="4:17" x14ac:dyDescent="0.15">
      <c r="D820" s="7" t="s">
        <v>6</v>
      </c>
      <c r="E820" s="7" t="s">
        <v>1506</v>
      </c>
      <c r="F820" s="7" t="s">
        <v>1506</v>
      </c>
      <c r="G820" s="7" t="s">
        <v>1507</v>
      </c>
      <c r="H820" s="7" t="s">
        <v>48</v>
      </c>
      <c r="I820" s="7" t="s">
        <v>10</v>
      </c>
      <c r="J820" s="7" t="s">
        <v>9</v>
      </c>
      <c r="K820" s="7" t="s">
        <v>33</v>
      </c>
      <c r="L820" s="7" t="s">
        <v>52</v>
      </c>
      <c r="M820" s="7" t="s">
        <v>33</v>
      </c>
      <c r="N820" s="7" t="s">
        <v>33</v>
      </c>
      <c r="O820" s="7" t="s">
        <v>33</v>
      </c>
      <c r="P820" s="11" t="str">
        <f t="shared" si="24"/>
        <v>胜</v>
      </c>
      <c r="Q820" s="11" t="str">
        <f t="shared" si="25"/>
        <v>胜</v>
      </c>
    </row>
    <row r="821" spans="4:17" x14ac:dyDescent="0.15">
      <c r="D821" s="7" t="s">
        <v>6</v>
      </c>
      <c r="E821" s="7" t="s">
        <v>1508</v>
      </c>
      <c r="F821" s="7" t="s">
        <v>1508</v>
      </c>
      <c r="G821" s="7" t="s">
        <v>1507</v>
      </c>
      <c r="H821" s="7" t="s">
        <v>56</v>
      </c>
      <c r="I821" s="7" t="s">
        <v>33</v>
      </c>
      <c r="J821" s="7" t="s">
        <v>33</v>
      </c>
      <c r="K821" s="7" t="s">
        <v>33</v>
      </c>
      <c r="L821" s="7" t="s">
        <v>45</v>
      </c>
      <c r="M821" s="7" t="s">
        <v>10</v>
      </c>
      <c r="N821" s="7" t="s">
        <v>9</v>
      </c>
      <c r="O821" s="7" t="s">
        <v>33</v>
      </c>
      <c r="P821" s="11" t="str">
        <f t="shared" si="24"/>
        <v>负</v>
      </c>
      <c r="Q821" s="11" t="str">
        <f t="shared" si="25"/>
        <v>负</v>
      </c>
    </row>
    <row r="822" spans="4:17" x14ac:dyDescent="0.15">
      <c r="D822" s="7" t="s">
        <v>6</v>
      </c>
      <c r="E822" s="7" t="s">
        <v>1509</v>
      </c>
      <c r="F822" s="7" t="s">
        <v>1509</v>
      </c>
      <c r="G822" s="7" t="s">
        <v>1507</v>
      </c>
      <c r="H822" s="7" t="s">
        <v>44</v>
      </c>
      <c r="I822" s="7" t="s">
        <v>33</v>
      </c>
      <c r="J822" s="7" t="s">
        <v>10</v>
      </c>
      <c r="K822" s="7" t="s">
        <v>33</v>
      </c>
      <c r="L822" s="7" t="s">
        <v>35</v>
      </c>
      <c r="M822" s="7" t="s">
        <v>33</v>
      </c>
      <c r="N822" s="7" t="s">
        <v>33</v>
      </c>
      <c r="O822" s="7" t="s">
        <v>33</v>
      </c>
      <c r="P822" s="11" t="str">
        <f t="shared" si="24"/>
        <v>平</v>
      </c>
      <c r="Q822" s="11" t="str">
        <f t="shared" si="25"/>
        <v>胜</v>
      </c>
    </row>
    <row r="823" spans="4:17" x14ac:dyDescent="0.15">
      <c r="D823" s="7" t="s">
        <v>6</v>
      </c>
      <c r="E823" s="7" t="s">
        <v>1510</v>
      </c>
      <c r="F823" s="7" t="s">
        <v>1510</v>
      </c>
      <c r="G823" s="7" t="s">
        <v>1507</v>
      </c>
      <c r="H823" s="7" t="s">
        <v>49</v>
      </c>
      <c r="I823" s="7" t="s">
        <v>39</v>
      </c>
      <c r="J823" s="7" t="s">
        <v>47</v>
      </c>
      <c r="K823" s="7" t="s">
        <v>33</v>
      </c>
      <c r="L823" s="7" t="s">
        <v>43</v>
      </c>
      <c r="M823" s="7" t="s">
        <v>10</v>
      </c>
      <c r="N823" s="7" t="s">
        <v>10</v>
      </c>
      <c r="O823" s="7" t="s">
        <v>33</v>
      </c>
      <c r="P823" s="11" t="str">
        <f t="shared" si="24"/>
        <v>胜</v>
      </c>
      <c r="Q823" s="11" t="str">
        <f t="shared" si="25"/>
        <v>胜</v>
      </c>
    </row>
    <row r="824" spans="4:17" x14ac:dyDescent="0.15">
      <c r="D824" s="7" t="s">
        <v>6</v>
      </c>
      <c r="E824" s="7" t="s">
        <v>1511</v>
      </c>
      <c r="F824" s="7" t="s">
        <v>1511</v>
      </c>
      <c r="G824" s="7" t="s">
        <v>1512</v>
      </c>
      <c r="H824" s="7" t="s">
        <v>38</v>
      </c>
      <c r="I824" s="7" t="s">
        <v>33</v>
      </c>
      <c r="J824" s="7" t="s">
        <v>10</v>
      </c>
      <c r="K824" s="7" t="s">
        <v>33</v>
      </c>
      <c r="L824" s="7" t="s">
        <v>46</v>
      </c>
      <c r="M824" s="7" t="s">
        <v>33</v>
      </c>
      <c r="N824" s="7" t="s">
        <v>33</v>
      </c>
      <c r="O824" s="7" t="s">
        <v>33</v>
      </c>
      <c r="P824" s="11" t="str">
        <f t="shared" si="24"/>
        <v>平</v>
      </c>
      <c r="Q824" s="11" t="str">
        <f t="shared" si="25"/>
        <v>胜</v>
      </c>
    </row>
    <row r="825" spans="4:17" x14ac:dyDescent="0.15">
      <c r="D825" s="7" t="s">
        <v>6</v>
      </c>
      <c r="E825" s="7" t="s">
        <v>1513</v>
      </c>
      <c r="F825" s="7" t="s">
        <v>1513</v>
      </c>
      <c r="G825" s="7" t="s">
        <v>1514</v>
      </c>
      <c r="H825" s="7" t="s">
        <v>41</v>
      </c>
      <c r="I825" s="7" t="s">
        <v>9</v>
      </c>
      <c r="J825" s="7" t="s">
        <v>9</v>
      </c>
      <c r="K825" s="7" t="s">
        <v>33</v>
      </c>
      <c r="L825" s="7" t="s">
        <v>42</v>
      </c>
      <c r="M825" s="7" t="s">
        <v>10</v>
      </c>
      <c r="N825" s="7" t="s">
        <v>9</v>
      </c>
      <c r="O825" s="7" t="s">
        <v>33</v>
      </c>
      <c r="P825" s="11" t="str">
        <f t="shared" si="24"/>
        <v>胜</v>
      </c>
      <c r="Q825" s="11" t="str">
        <f t="shared" si="25"/>
        <v>平</v>
      </c>
    </row>
    <row r="826" spans="4:17" x14ac:dyDescent="0.15">
      <c r="D826" s="7" t="s">
        <v>6</v>
      </c>
      <c r="E826" s="7" t="s">
        <v>1515</v>
      </c>
      <c r="F826" s="7" t="s">
        <v>1515</v>
      </c>
      <c r="G826" s="7" t="s">
        <v>1516</v>
      </c>
      <c r="H826" s="7" t="s">
        <v>49</v>
      </c>
      <c r="I826" s="7" t="s">
        <v>9</v>
      </c>
      <c r="J826" s="7" t="s">
        <v>39</v>
      </c>
      <c r="K826" s="7" t="s">
        <v>33</v>
      </c>
      <c r="L826" s="7" t="s">
        <v>48</v>
      </c>
      <c r="M826" s="7" t="s">
        <v>33</v>
      </c>
      <c r="N826" s="7" t="s">
        <v>33</v>
      </c>
      <c r="O826" s="7" t="s">
        <v>33</v>
      </c>
      <c r="P826" s="11" t="str">
        <f t="shared" si="24"/>
        <v>胜</v>
      </c>
      <c r="Q826" s="11" t="str">
        <f t="shared" si="25"/>
        <v>胜</v>
      </c>
    </row>
    <row r="827" spans="4:17" x14ac:dyDescent="0.15">
      <c r="D827" s="7" t="s">
        <v>6</v>
      </c>
      <c r="E827" s="7" t="s">
        <v>1517</v>
      </c>
      <c r="F827" s="7" t="s">
        <v>1517</v>
      </c>
      <c r="G827" s="7" t="s">
        <v>1518</v>
      </c>
      <c r="H827" s="7" t="s">
        <v>43</v>
      </c>
      <c r="I827" s="7" t="s">
        <v>33</v>
      </c>
      <c r="J827" s="7" t="s">
        <v>10</v>
      </c>
      <c r="K827" s="7" t="s">
        <v>33</v>
      </c>
      <c r="L827" s="7" t="s">
        <v>56</v>
      </c>
      <c r="M827" s="7" t="s">
        <v>33</v>
      </c>
      <c r="N827" s="7" t="s">
        <v>10</v>
      </c>
      <c r="O827" s="7" t="s">
        <v>33</v>
      </c>
      <c r="P827" s="11" t="str">
        <f t="shared" si="24"/>
        <v>平</v>
      </c>
      <c r="Q827" s="11" t="str">
        <f t="shared" si="25"/>
        <v>平</v>
      </c>
    </row>
    <row r="828" spans="4:17" x14ac:dyDescent="0.15">
      <c r="D828" s="7" t="s">
        <v>6</v>
      </c>
      <c r="E828" s="7" t="s">
        <v>1519</v>
      </c>
      <c r="F828" s="7" t="s">
        <v>1519</v>
      </c>
      <c r="G828" s="7" t="s">
        <v>1520</v>
      </c>
      <c r="H828" s="7" t="s">
        <v>38</v>
      </c>
      <c r="I828" s="7" t="s">
        <v>10</v>
      </c>
      <c r="J828" s="7" t="s">
        <v>10</v>
      </c>
      <c r="K828" s="7" t="s">
        <v>33</v>
      </c>
      <c r="L828" s="7" t="s">
        <v>48</v>
      </c>
      <c r="M828" s="7" t="s">
        <v>33</v>
      </c>
      <c r="N828" s="7" t="s">
        <v>33</v>
      </c>
      <c r="O828" s="7" t="s">
        <v>33</v>
      </c>
      <c r="P828" s="11" t="str">
        <f t="shared" si="24"/>
        <v>胜</v>
      </c>
      <c r="Q828" s="11" t="str">
        <f t="shared" si="25"/>
        <v>胜</v>
      </c>
    </row>
    <row r="829" spans="4:17" x14ac:dyDescent="0.15">
      <c r="D829" s="7" t="s">
        <v>6</v>
      </c>
      <c r="E829" s="7" t="s">
        <v>1521</v>
      </c>
      <c r="F829" s="7" t="s">
        <v>1521</v>
      </c>
      <c r="G829" s="7" t="s">
        <v>1520</v>
      </c>
      <c r="H829" s="7" t="s">
        <v>52</v>
      </c>
      <c r="I829" s="7" t="s">
        <v>33</v>
      </c>
      <c r="J829" s="7" t="s">
        <v>10</v>
      </c>
      <c r="K829" s="7" t="s">
        <v>33</v>
      </c>
      <c r="L829" s="7" t="s">
        <v>40</v>
      </c>
      <c r="M829" s="7" t="s">
        <v>10</v>
      </c>
      <c r="N829" s="7" t="s">
        <v>9</v>
      </c>
      <c r="O829" s="7" t="s">
        <v>33</v>
      </c>
      <c r="P829" s="11" t="str">
        <f t="shared" si="24"/>
        <v>负</v>
      </c>
      <c r="Q829" s="11" t="str">
        <f t="shared" si="25"/>
        <v>负</v>
      </c>
    </row>
    <row r="830" spans="4:17" x14ac:dyDescent="0.15">
      <c r="D830" s="7" t="s">
        <v>6</v>
      </c>
      <c r="E830" s="7" t="s">
        <v>1522</v>
      </c>
      <c r="F830" s="7" t="s">
        <v>1522</v>
      </c>
      <c r="G830" s="7" t="s">
        <v>1520</v>
      </c>
      <c r="H830" s="7" t="s">
        <v>35</v>
      </c>
      <c r="I830" s="7" t="s">
        <v>39</v>
      </c>
      <c r="J830" s="7" t="s">
        <v>39</v>
      </c>
      <c r="K830" s="7" t="s">
        <v>33</v>
      </c>
      <c r="L830" s="7" t="s">
        <v>41</v>
      </c>
      <c r="M830" s="7" t="s">
        <v>10</v>
      </c>
      <c r="N830" s="7" t="s">
        <v>39</v>
      </c>
      <c r="O830" s="7" t="s">
        <v>33</v>
      </c>
      <c r="P830" s="11" t="str">
        <f t="shared" si="24"/>
        <v>胜</v>
      </c>
      <c r="Q830" s="11" t="str">
        <f t="shared" si="25"/>
        <v>平</v>
      </c>
    </row>
    <row r="831" spans="4:17" x14ac:dyDescent="0.15">
      <c r="D831" s="7" t="s">
        <v>6</v>
      </c>
      <c r="E831" s="7" t="s">
        <v>1523</v>
      </c>
      <c r="F831" s="7" t="s">
        <v>1523</v>
      </c>
      <c r="G831" s="7" t="s">
        <v>1524</v>
      </c>
      <c r="H831" s="7" t="s">
        <v>45</v>
      </c>
      <c r="I831" s="7" t="s">
        <v>33</v>
      </c>
      <c r="J831" s="7" t="s">
        <v>10</v>
      </c>
      <c r="K831" s="7" t="s">
        <v>33</v>
      </c>
      <c r="L831" s="7" t="s">
        <v>49</v>
      </c>
      <c r="M831" s="7" t="s">
        <v>50</v>
      </c>
      <c r="N831" s="7" t="s">
        <v>1525</v>
      </c>
      <c r="O831" s="7" t="s">
        <v>33</v>
      </c>
      <c r="P831" s="11" t="str">
        <f t="shared" si="24"/>
        <v>负</v>
      </c>
      <c r="Q831" s="11" t="str">
        <f t="shared" si="25"/>
        <v>负</v>
      </c>
    </row>
    <row r="832" spans="4:17" x14ac:dyDescent="0.15">
      <c r="D832" s="7" t="s">
        <v>6</v>
      </c>
      <c r="E832" s="7" t="s">
        <v>1526</v>
      </c>
      <c r="F832" s="7" t="s">
        <v>1526</v>
      </c>
      <c r="G832" s="7" t="s">
        <v>1527</v>
      </c>
      <c r="H832" s="7" t="s">
        <v>46</v>
      </c>
      <c r="I832" s="7" t="s">
        <v>33</v>
      </c>
      <c r="J832" s="7" t="s">
        <v>33</v>
      </c>
      <c r="K832" s="7" t="s">
        <v>33</v>
      </c>
      <c r="L832" s="7" t="s">
        <v>37</v>
      </c>
      <c r="M832" s="7" t="s">
        <v>33</v>
      </c>
      <c r="N832" s="7" t="s">
        <v>39</v>
      </c>
      <c r="O832" s="7" t="s">
        <v>33</v>
      </c>
      <c r="P832" s="11" t="str">
        <f t="shared" si="24"/>
        <v>平</v>
      </c>
      <c r="Q832" s="11" t="str">
        <f t="shared" si="25"/>
        <v>负</v>
      </c>
    </row>
    <row r="833" spans="4:17" x14ac:dyDescent="0.15">
      <c r="D833" s="7" t="s">
        <v>6</v>
      </c>
      <c r="E833" s="7" t="s">
        <v>1528</v>
      </c>
      <c r="F833" s="7" t="s">
        <v>1528</v>
      </c>
      <c r="G833" s="7" t="s">
        <v>1529</v>
      </c>
      <c r="H833" s="7" t="s">
        <v>54</v>
      </c>
      <c r="I833" s="7" t="s">
        <v>10</v>
      </c>
      <c r="J833" s="7" t="s">
        <v>10</v>
      </c>
      <c r="K833" s="7" t="s">
        <v>33</v>
      </c>
      <c r="L833" s="7" t="s">
        <v>44</v>
      </c>
      <c r="M833" s="7" t="s">
        <v>33</v>
      </c>
      <c r="N833" s="7" t="s">
        <v>33</v>
      </c>
      <c r="O833" s="7" t="s">
        <v>33</v>
      </c>
      <c r="P833" s="11" t="str">
        <f t="shared" si="24"/>
        <v>胜</v>
      </c>
      <c r="Q833" s="11" t="str">
        <f t="shared" si="25"/>
        <v>胜</v>
      </c>
    </row>
    <row r="834" spans="4:17" x14ac:dyDescent="0.15">
      <c r="D834" s="7" t="s">
        <v>6</v>
      </c>
      <c r="E834" s="7" t="s">
        <v>1530</v>
      </c>
      <c r="F834" s="7" t="s">
        <v>1530</v>
      </c>
      <c r="G834" s="7" t="s">
        <v>1520</v>
      </c>
      <c r="H834" s="7" t="s">
        <v>42</v>
      </c>
      <c r="I834" s="7" t="s">
        <v>33</v>
      </c>
      <c r="J834" s="7" t="s">
        <v>10</v>
      </c>
      <c r="K834" s="7" t="s">
        <v>33</v>
      </c>
      <c r="L834" s="7" t="s">
        <v>53</v>
      </c>
      <c r="M834" s="7" t="s">
        <v>9</v>
      </c>
      <c r="N834" s="7" t="s">
        <v>9</v>
      </c>
      <c r="O834" s="7" t="s">
        <v>33</v>
      </c>
      <c r="P834" s="11" t="str">
        <f t="shared" si="24"/>
        <v>负</v>
      </c>
      <c r="Q834" s="11" t="str">
        <f t="shared" si="25"/>
        <v>负</v>
      </c>
    </row>
    <row r="835" spans="4:17" x14ac:dyDescent="0.15">
      <c r="D835" s="7" t="s">
        <v>6</v>
      </c>
      <c r="E835" s="7" t="s">
        <v>1531</v>
      </c>
      <c r="F835" s="7" t="s">
        <v>1531</v>
      </c>
      <c r="G835" s="7" t="s">
        <v>1532</v>
      </c>
      <c r="H835" s="7" t="s">
        <v>48</v>
      </c>
      <c r="I835" s="7" t="s">
        <v>9</v>
      </c>
      <c r="J835" s="7" t="s">
        <v>9</v>
      </c>
      <c r="K835" s="7" t="s">
        <v>33</v>
      </c>
      <c r="L835" s="7" t="s">
        <v>46</v>
      </c>
      <c r="M835" s="7" t="s">
        <v>10</v>
      </c>
      <c r="N835" s="7" t="s">
        <v>39</v>
      </c>
      <c r="O835" s="7" t="s">
        <v>33</v>
      </c>
      <c r="P835" s="11" t="str">
        <f t="shared" si="24"/>
        <v>胜</v>
      </c>
      <c r="Q835" s="11" t="str">
        <f t="shared" si="25"/>
        <v>负</v>
      </c>
    </row>
    <row r="836" spans="4:17" x14ac:dyDescent="0.15">
      <c r="D836" s="7" t="s">
        <v>6</v>
      </c>
      <c r="E836" s="7" t="s">
        <v>1533</v>
      </c>
      <c r="F836" s="7" t="s">
        <v>1533</v>
      </c>
      <c r="G836" s="7" t="s">
        <v>1534</v>
      </c>
      <c r="H836" s="7" t="s">
        <v>56</v>
      </c>
      <c r="I836" s="7" t="s">
        <v>10</v>
      </c>
      <c r="J836" s="7" t="s">
        <v>9</v>
      </c>
      <c r="K836" s="7" t="s">
        <v>33</v>
      </c>
      <c r="L836" s="7" t="s">
        <v>54</v>
      </c>
      <c r="M836" s="7" t="s">
        <v>10</v>
      </c>
      <c r="N836" s="7" t="s">
        <v>9</v>
      </c>
      <c r="O836" s="7" t="s">
        <v>33</v>
      </c>
      <c r="P836" s="11" t="str">
        <f t="shared" si="24"/>
        <v>平</v>
      </c>
      <c r="Q836" s="11" t="str">
        <f t="shared" si="25"/>
        <v>平</v>
      </c>
    </row>
    <row r="837" spans="4:17" x14ac:dyDescent="0.15">
      <c r="D837" s="7" t="s">
        <v>6</v>
      </c>
      <c r="E837" s="7" t="s">
        <v>1535</v>
      </c>
      <c r="F837" s="7" t="s">
        <v>1535</v>
      </c>
      <c r="G837" s="7" t="s">
        <v>1534</v>
      </c>
      <c r="H837" s="7" t="s">
        <v>37</v>
      </c>
      <c r="I837" s="7" t="s">
        <v>33</v>
      </c>
      <c r="J837" s="7" t="s">
        <v>33</v>
      </c>
      <c r="K837" s="7" t="s">
        <v>33</v>
      </c>
      <c r="L837" s="7" t="s">
        <v>42</v>
      </c>
      <c r="M837" s="7" t="s">
        <v>33</v>
      </c>
      <c r="N837" s="7" t="s">
        <v>33</v>
      </c>
      <c r="O837" s="7" t="s">
        <v>33</v>
      </c>
      <c r="P837" s="11" t="str">
        <f t="shared" si="24"/>
        <v>平</v>
      </c>
      <c r="Q837" s="11" t="str">
        <f t="shared" si="25"/>
        <v>平</v>
      </c>
    </row>
    <row r="838" spans="4:17" x14ac:dyDescent="0.15">
      <c r="D838" s="7" t="s">
        <v>6</v>
      </c>
      <c r="E838" s="7" t="s">
        <v>1536</v>
      </c>
      <c r="F838" s="7" t="s">
        <v>1536</v>
      </c>
      <c r="G838" s="7" t="s">
        <v>1534</v>
      </c>
      <c r="H838" s="7" t="s">
        <v>41</v>
      </c>
      <c r="I838" s="7" t="s">
        <v>39</v>
      </c>
      <c r="J838" s="7" t="s">
        <v>47</v>
      </c>
      <c r="K838" s="7" t="s">
        <v>33</v>
      </c>
      <c r="L838" s="7" t="s">
        <v>52</v>
      </c>
      <c r="M838" s="7" t="s">
        <v>33</v>
      </c>
      <c r="N838" s="7" t="s">
        <v>33</v>
      </c>
      <c r="O838" s="7" t="s">
        <v>33</v>
      </c>
      <c r="P838" s="11" t="str">
        <f t="shared" si="24"/>
        <v>胜</v>
      </c>
      <c r="Q838" s="11" t="str">
        <f t="shared" si="25"/>
        <v>胜</v>
      </c>
    </row>
    <row r="839" spans="4:17" x14ac:dyDescent="0.15">
      <c r="D839" s="7" t="s">
        <v>6</v>
      </c>
      <c r="E839" s="7" t="s">
        <v>1537</v>
      </c>
      <c r="F839" s="7" t="s">
        <v>1537</v>
      </c>
      <c r="G839" s="7" t="s">
        <v>1534</v>
      </c>
      <c r="H839" s="7" t="s">
        <v>40</v>
      </c>
      <c r="I839" s="7" t="s">
        <v>10</v>
      </c>
      <c r="J839" s="7" t="s">
        <v>50</v>
      </c>
      <c r="K839" s="7" t="s">
        <v>33</v>
      </c>
      <c r="L839" s="7" t="s">
        <v>35</v>
      </c>
      <c r="M839" s="7" t="s">
        <v>10</v>
      </c>
      <c r="N839" s="7" t="s">
        <v>10</v>
      </c>
      <c r="O839" s="7" t="s">
        <v>33</v>
      </c>
      <c r="P839" s="11" t="str">
        <f t="shared" si="24"/>
        <v>平</v>
      </c>
      <c r="Q839" s="11" t="str">
        <f t="shared" si="25"/>
        <v>胜</v>
      </c>
    </row>
    <row r="840" spans="4:17" x14ac:dyDescent="0.15">
      <c r="D840" s="7" t="s">
        <v>6</v>
      </c>
      <c r="E840" s="7" t="s">
        <v>1538</v>
      </c>
      <c r="F840" s="7" t="s">
        <v>1538</v>
      </c>
      <c r="G840" s="7" t="s">
        <v>1539</v>
      </c>
      <c r="H840" s="7" t="s">
        <v>53</v>
      </c>
      <c r="I840" s="7" t="s">
        <v>9</v>
      </c>
      <c r="J840" s="7" t="s">
        <v>39</v>
      </c>
      <c r="K840" s="7" t="s">
        <v>33</v>
      </c>
      <c r="L840" s="7" t="s">
        <v>45</v>
      </c>
      <c r="M840" s="7" t="s">
        <v>33</v>
      </c>
      <c r="N840" s="7" t="s">
        <v>33</v>
      </c>
      <c r="O840" s="7" t="s">
        <v>33</v>
      </c>
      <c r="P840" s="11" t="str">
        <f t="shared" si="24"/>
        <v>胜</v>
      </c>
      <c r="Q840" s="11" t="str">
        <f t="shared" si="25"/>
        <v>胜</v>
      </c>
    </row>
    <row r="841" spans="4:17" x14ac:dyDescent="0.15">
      <c r="D841" s="7" t="s">
        <v>6</v>
      </c>
      <c r="E841" s="7" t="s">
        <v>1540</v>
      </c>
      <c r="F841" s="7" t="s">
        <v>1540</v>
      </c>
      <c r="G841" s="7" t="s">
        <v>1541</v>
      </c>
      <c r="H841" s="7" t="s">
        <v>49</v>
      </c>
      <c r="I841" s="7" t="s">
        <v>10</v>
      </c>
      <c r="J841" s="7" t="s">
        <v>10</v>
      </c>
      <c r="K841" s="7" t="s">
        <v>33</v>
      </c>
      <c r="L841" s="7" t="s">
        <v>38</v>
      </c>
      <c r="M841" s="7" t="s">
        <v>10</v>
      </c>
      <c r="N841" s="7" t="s">
        <v>9</v>
      </c>
      <c r="O841" s="7" t="s">
        <v>33</v>
      </c>
      <c r="P841" s="11" t="str">
        <f t="shared" si="24"/>
        <v>平</v>
      </c>
      <c r="Q841" s="11" t="str">
        <f t="shared" si="25"/>
        <v>负</v>
      </c>
    </row>
    <row r="842" spans="4:17" x14ac:dyDescent="0.15">
      <c r="D842" s="7" t="s">
        <v>6</v>
      </c>
      <c r="E842" s="7" t="s">
        <v>1542</v>
      </c>
      <c r="F842" s="7" t="s">
        <v>1542</v>
      </c>
      <c r="G842" s="7" t="s">
        <v>1543</v>
      </c>
      <c r="H842" s="7" t="s">
        <v>44</v>
      </c>
      <c r="I842" s="7" t="s">
        <v>10</v>
      </c>
      <c r="J842" s="7" t="s">
        <v>50</v>
      </c>
      <c r="K842" s="7" t="s">
        <v>33</v>
      </c>
      <c r="L842" s="7" t="s">
        <v>43</v>
      </c>
      <c r="M842" s="7" t="s">
        <v>33</v>
      </c>
      <c r="N842" s="7" t="s">
        <v>33</v>
      </c>
      <c r="O842" s="7" t="s">
        <v>33</v>
      </c>
      <c r="P842" s="11" t="str">
        <f t="shared" si="24"/>
        <v>胜</v>
      </c>
      <c r="Q842" s="11" t="str">
        <f t="shared" si="25"/>
        <v>胜</v>
      </c>
    </row>
    <row r="843" spans="4:17" x14ac:dyDescent="0.15">
      <c r="D843" s="7" t="s">
        <v>6</v>
      </c>
      <c r="E843" s="7" t="s">
        <v>1544</v>
      </c>
      <c r="F843" s="7" t="s">
        <v>1544</v>
      </c>
      <c r="G843" s="7" t="s">
        <v>1545</v>
      </c>
      <c r="H843" s="7" t="s">
        <v>52</v>
      </c>
      <c r="I843" s="7" t="s">
        <v>10</v>
      </c>
      <c r="J843" s="7" t="s">
        <v>9</v>
      </c>
      <c r="K843" s="7" t="s">
        <v>33</v>
      </c>
      <c r="L843" s="7" t="s">
        <v>49</v>
      </c>
      <c r="M843" s="7" t="s">
        <v>33</v>
      </c>
      <c r="N843" s="7" t="s">
        <v>33</v>
      </c>
      <c r="O843" s="7" t="s">
        <v>33</v>
      </c>
      <c r="P843" s="11" t="str">
        <f t="shared" si="24"/>
        <v>胜</v>
      </c>
      <c r="Q843" s="11" t="str">
        <f t="shared" si="25"/>
        <v>胜</v>
      </c>
    </row>
    <row r="844" spans="4:17" x14ac:dyDescent="0.15">
      <c r="D844" s="7" t="s">
        <v>6</v>
      </c>
      <c r="E844" s="7" t="s">
        <v>1546</v>
      </c>
      <c r="F844" s="7" t="s">
        <v>1546</v>
      </c>
      <c r="G844" s="7" t="s">
        <v>1547</v>
      </c>
      <c r="H844" s="7" t="s">
        <v>38</v>
      </c>
      <c r="I844" s="7" t="s">
        <v>33</v>
      </c>
      <c r="J844" s="7" t="s">
        <v>33</v>
      </c>
      <c r="K844" s="7" t="s">
        <v>33</v>
      </c>
      <c r="L844" s="7" t="s">
        <v>56</v>
      </c>
      <c r="M844" s="7" t="s">
        <v>33</v>
      </c>
      <c r="N844" s="7" t="s">
        <v>10</v>
      </c>
      <c r="O844" s="7" t="s">
        <v>33</v>
      </c>
      <c r="P844" s="11" t="str">
        <f t="shared" si="24"/>
        <v>平</v>
      </c>
      <c r="Q844" s="11" t="str">
        <f t="shared" si="25"/>
        <v>负</v>
      </c>
    </row>
    <row r="845" spans="4:17" x14ac:dyDescent="0.15">
      <c r="D845" s="7" t="s">
        <v>6</v>
      </c>
      <c r="E845" s="7" t="s">
        <v>1548</v>
      </c>
      <c r="F845" s="7" t="s">
        <v>1548</v>
      </c>
      <c r="G845" s="7" t="s">
        <v>1549</v>
      </c>
      <c r="H845" s="7" t="s">
        <v>48</v>
      </c>
      <c r="I845" s="7" t="s">
        <v>10</v>
      </c>
      <c r="J845" s="7" t="s">
        <v>10</v>
      </c>
      <c r="K845" s="7" t="s">
        <v>33</v>
      </c>
      <c r="L845" s="7" t="s">
        <v>40</v>
      </c>
      <c r="M845" s="7" t="s">
        <v>10</v>
      </c>
      <c r="N845" s="7" t="s">
        <v>39</v>
      </c>
      <c r="O845" s="7" t="s">
        <v>33</v>
      </c>
      <c r="P845" s="11" t="str">
        <f t="shared" ref="P845:P908" si="26">IF(I845=M845,"平",IF(I845&gt;M845,"胜","负"))</f>
        <v>平</v>
      </c>
      <c r="Q845" s="11" t="str">
        <f t="shared" ref="Q845:Q908" si="27">IF(J845=N845,"平",IF(J845&gt;N845,"胜","负"))</f>
        <v>负</v>
      </c>
    </row>
    <row r="846" spans="4:17" x14ac:dyDescent="0.15">
      <c r="D846" s="7" t="s">
        <v>6</v>
      </c>
      <c r="E846" s="7" t="s">
        <v>1550</v>
      </c>
      <c r="F846" s="7" t="s">
        <v>1550</v>
      </c>
      <c r="G846" s="7" t="s">
        <v>1551</v>
      </c>
      <c r="H846" s="7" t="s">
        <v>54</v>
      </c>
      <c r="I846" s="7" t="s">
        <v>33</v>
      </c>
      <c r="J846" s="7" t="s">
        <v>33</v>
      </c>
      <c r="K846" s="7" t="s">
        <v>33</v>
      </c>
      <c r="L846" s="7" t="s">
        <v>42</v>
      </c>
      <c r="M846" s="7" t="s">
        <v>50</v>
      </c>
      <c r="N846" s="7" t="s">
        <v>47</v>
      </c>
      <c r="O846" s="7" t="s">
        <v>33</v>
      </c>
      <c r="P846" s="11" t="str">
        <f t="shared" si="26"/>
        <v>负</v>
      </c>
      <c r="Q846" s="11" t="str">
        <f t="shared" si="27"/>
        <v>负</v>
      </c>
    </row>
    <row r="847" spans="4:17" x14ac:dyDescent="0.15">
      <c r="D847" s="7" t="s">
        <v>6</v>
      </c>
      <c r="E847" s="7" t="s">
        <v>1552</v>
      </c>
      <c r="F847" s="7" t="s">
        <v>1552</v>
      </c>
      <c r="G847" s="7" t="s">
        <v>1553</v>
      </c>
      <c r="H847" s="7" t="s">
        <v>46</v>
      </c>
      <c r="I847" s="7" t="s">
        <v>10</v>
      </c>
      <c r="J847" s="7" t="s">
        <v>9</v>
      </c>
      <c r="K847" s="7" t="s">
        <v>33</v>
      </c>
      <c r="L847" s="7" t="s">
        <v>44</v>
      </c>
      <c r="M847" s="7" t="s">
        <v>33</v>
      </c>
      <c r="N847" s="7" t="s">
        <v>33</v>
      </c>
      <c r="O847" s="7" t="s">
        <v>33</v>
      </c>
      <c r="P847" s="11" t="str">
        <f t="shared" si="26"/>
        <v>胜</v>
      </c>
      <c r="Q847" s="11" t="str">
        <f t="shared" si="27"/>
        <v>胜</v>
      </c>
    </row>
    <row r="848" spans="4:17" x14ac:dyDescent="0.15">
      <c r="D848" s="7" t="s">
        <v>6</v>
      </c>
      <c r="E848" s="7" t="s">
        <v>1554</v>
      </c>
      <c r="F848" s="7" t="s">
        <v>1554</v>
      </c>
      <c r="G848" s="7" t="s">
        <v>1555</v>
      </c>
      <c r="H848" s="7" t="s">
        <v>35</v>
      </c>
      <c r="I848" s="7" t="s">
        <v>33</v>
      </c>
      <c r="J848" s="7" t="s">
        <v>33</v>
      </c>
      <c r="K848" s="7" t="s">
        <v>33</v>
      </c>
      <c r="L848" s="7" t="s">
        <v>53</v>
      </c>
      <c r="M848" s="7" t="s">
        <v>10</v>
      </c>
      <c r="N848" s="7" t="s">
        <v>9</v>
      </c>
      <c r="O848" s="7" t="s">
        <v>33</v>
      </c>
      <c r="P848" s="11" t="str">
        <f t="shared" si="26"/>
        <v>负</v>
      </c>
      <c r="Q848" s="11" t="str">
        <f t="shared" si="27"/>
        <v>负</v>
      </c>
    </row>
    <row r="849" spans="4:17" x14ac:dyDescent="0.15">
      <c r="D849" s="7" t="s">
        <v>6</v>
      </c>
      <c r="E849" s="7" t="s">
        <v>1556</v>
      </c>
      <c r="F849" s="7" t="s">
        <v>1556</v>
      </c>
      <c r="G849" s="7" t="s">
        <v>1555</v>
      </c>
      <c r="H849" s="7" t="s">
        <v>45</v>
      </c>
      <c r="I849" s="7" t="s">
        <v>10</v>
      </c>
      <c r="J849" s="7" t="s">
        <v>9</v>
      </c>
      <c r="K849" s="7" t="s">
        <v>33</v>
      </c>
      <c r="L849" s="7" t="s">
        <v>41</v>
      </c>
      <c r="M849" s="7" t="s">
        <v>10</v>
      </c>
      <c r="N849" s="7" t="s">
        <v>10</v>
      </c>
      <c r="O849" s="7" t="s">
        <v>33</v>
      </c>
      <c r="P849" s="11" t="str">
        <f t="shared" si="26"/>
        <v>平</v>
      </c>
      <c r="Q849" s="11" t="str">
        <f t="shared" si="27"/>
        <v>胜</v>
      </c>
    </row>
    <row r="850" spans="4:17" x14ac:dyDescent="0.15">
      <c r="D850" s="7" t="s">
        <v>6</v>
      </c>
      <c r="E850" s="7" t="s">
        <v>1557</v>
      </c>
      <c r="F850" s="7" t="s">
        <v>1557</v>
      </c>
      <c r="G850" s="7" t="s">
        <v>1558</v>
      </c>
      <c r="H850" s="7" t="s">
        <v>43</v>
      </c>
      <c r="I850" s="7" t="s">
        <v>33</v>
      </c>
      <c r="J850" s="7" t="s">
        <v>9</v>
      </c>
      <c r="K850" s="7" t="s">
        <v>33</v>
      </c>
      <c r="L850" s="7" t="s">
        <v>37</v>
      </c>
      <c r="M850" s="7" t="s">
        <v>33</v>
      </c>
      <c r="N850" s="7" t="s">
        <v>10</v>
      </c>
      <c r="O850" s="7" t="s">
        <v>33</v>
      </c>
      <c r="P850" s="11" t="str">
        <f t="shared" si="26"/>
        <v>平</v>
      </c>
      <c r="Q850" s="11" t="str">
        <f t="shared" si="27"/>
        <v>胜</v>
      </c>
    </row>
    <row r="851" spans="4:17" x14ac:dyDescent="0.15">
      <c r="D851" s="7" t="s">
        <v>6</v>
      </c>
      <c r="E851" s="7" t="s">
        <v>1559</v>
      </c>
      <c r="F851" s="7" t="s">
        <v>1559</v>
      </c>
      <c r="G851" s="7" t="s">
        <v>1560</v>
      </c>
      <c r="H851" s="7" t="s">
        <v>56</v>
      </c>
      <c r="I851" s="7" t="s">
        <v>9</v>
      </c>
      <c r="J851" s="7" t="s">
        <v>39</v>
      </c>
      <c r="K851" s="7" t="s">
        <v>33</v>
      </c>
      <c r="L851" s="7" t="s">
        <v>52</v>
      </c>
      <c r="M851" s="7" t="s">
        <v>10</v>
      </c>
      <c r="N851" s="7" t="s">
        <v>9</v>
      </c>
      <c r="O851" s="7" t="s">
        <v>33</v>
      </c>
      <c r="P851" s="11" t="str">
        <f t="shared" si="26"/>
        <v>胜</v>
      </c>
      <c r="Q851" s="11" t="str">
        <f t="shared" si="27"/>
        <v>胜</v>
      </c>
    </row>
    <row r="852" spans="4:17" x14ac:dyDescent="0.15">
      <c r="D852" s="7" t="s">
        <v>6</v>
      </c>
      <c r="E852" s="7" t="s">
        <v>1561</v>
      </c>
      <c r="F852" s="7" t="s">
        <v>1561</v>
      </c>
      <c r="G852" s="7" t="s">
        <v>1562</v>
      </c>
      <c r="H852" s="7" t="s">
        <v>44</v>
      </c>
      <c r="I852" s="7" t="s">
        <v>33</v>
      </c>
      <c r="J852" s="7" t="s">
        <v>33</v>
      </c>
      <c r="K852" s="7" t="s">
        <v>33</v>
      </c>
      <c r="L852" s="7" t="s">
        <v>38</v>
      </c>
      <c r="M852" s="7" t="s">
        <v>10</v>
      </c>
      <c r="N852" s="7" t="s">
        <v>10</v>
      </c>
      <c r="O852" s="7" t="s">
        <v>33</v>
      </c>
      <c r="P852" s="11" t="str">
        <f t="shared" si="26"/>
        <v>负</v>
      </c>
      <c r="Q852" s="11" t="str">
        <f t="shared" si="27"/>
        <v>负</v>
      </c>
    </row>
    <row r="853" spans="4:17" x14ac:dyDescent="0.15">
      <c r="D853" s="7" t="s">
        <v>6</v>
      </c>
      <c r="E853" s="7" t="s">
        <v>1563</v>
      </c>
      <c r="F853" s="7" t="s">
        <v>1563</v>
      </c>
      <c r="G853" s="7" t="s">
        <v>1560</v>
      </c>
      <c r="H853" s="7" t="s">
        <v>40</v>
      </c>
      <c r="I853" s="7" t="s">
        <v>10</v>
      </c>
      <c r="J853" s="7" t="s">
        <v>9</v>
      </c>
      <c r="K853" s="7" t="s">
        <v>33</v>
      </c>
      <c r="L853" s="7" t="s">
        <v>46</v>
      </c>
      <c r="M853" s="7" t="s">
        <v>33</v>
      </c>
      <c r="N853" s="7" t="s">
        <v>10</v>
      </c>
      <c r="O853" s="7" t="s">
        <v>33</v>
      </c>
      <c r="P853" s="11" t="str">
        <f t="shared" si="26"/>
        <v>胜</v>
      </c>
      <c r="Q853" s="11" t="str">
        <f t="shared" si="27"/>
        <v>胜</v>
      </c>
    </row>
    <row r="854" spans="4:17" x14ac:dyDescent="0.15">
      <c r="D854" s="7" t="s">
        <v>6</v>
      </c>
      <c r="E854" s="7" t="s">
        <v>1564</v>
      </c>
      <c r="F854" s="7" t="s">
        <v>1564</v>
      </c>
      <c r="G854" s="7" t="s">
        <v>1560</v>
      </c>
      <c r="H854" s="7" t="s">
        <v>42</v>
      </c>
      <c r="I854" s="7" t="s">
        <v>10</v>
      </c>
      <c r="J854" s="7" t="s">
        <v>10</v>
      </c>
      <c r="K854" s="7" t="s">
        <v>33</v>
      </c>
      <c r="L854" s="7" t="s">
        <v>35</v>
      </c>
      <c r="M854" s="7" t="s">
        <v>33</v>
      </c>
      <c r="N854" s="7" t="s">
        <v>10</v>
      </c>
      <c r="O854" s="7" t="s">
        <v>33</v>
      </c>
      <c r="P854" s="11" t="str">
        <f t="shared" si="26"/>
        <v>胜</v>
      </c>
      <c r="Q854" s="11" t="str">
        <f t="shared" si="27"/>
        <v>平</v>
      </c>
    </row>
    <row r="855" spans="4:17" x14ac:dyDescent="0.15">
      <c r="D855" s="7" t="s">
        <v>6</v>
      </c>
      <c r="E855" s="7" t="s">
        <v>1565</v>
      </c>
      <c r="F855" s="7" t="s">
        <v>1565</v>
      </c>
      <c r="G855" s="7" t="s">
        <v>1560</v>
      </c>
      <c r="H855" s="7" t="s">
        <v>53</v>
      </c>
      <c r="I855" s="7" t="s">
        <v>10</v>
      </c>
      <c r="J855" s="7" t="s">
        <v>9</v>
      </c>
      <c r="K855" s="7" t="s">
        <v>33</v>
      </c>
      <c r="L855" s="7" t="s">
        <v>48</v>
      </c>
      <c r="M855" s="7" t="s">
        <v>33</v>
      </c>
      <c r="N855" s="7" t="s">
        <v>33</v>
      </c>
      <c r="O855" s="7" t="s">
        <v>33</v>
      </c>
      <c r="P855" s="11" t="str">
        <f t="shared" si="26"/>
        <v>胜</v>
      </c>
      <c r="Q855" s="11" t="str">
        <f t="shared" si="27"/>
        <v>胜</v>
      </c>
    </row>
    <row r="856" spans="4:17" x14ac:dyDescent="0.15">
      <c r="D856" s="7" t="s">
        <v>6</v>
      </c>
      <c r="E856" s="7" t="s">
        <v>1566</v>
      </c>
      <c r="F856" s="7" t="s">
        <v>1566</v>
      </c>
      <c r="G856" s="7" t="s">
        <v>1560</v>
      </c>
      <c r="H856" s="7" t="s">
        <v>49</v>
      </c>
      <c r="I856" s="7" t="s">
        <v>10</v>
      </c>
      <c r="J856" s="7" t="s">
        <v>9</v>
      </c>
      <c r="K856" s="7" t="s">
        <v>33</v>
      </c>
      <c r="L856" s="7" t="s">
        <v>54</v>
      </c>
      <c r="M856" s="7" t="s">
        <v>33</v>
      </c>
      <c r="N856" s="7" t="s">
        <v>33</v>
      </c>
      <c r="O856" s="7" t="s">
        <v>33</v>
      </c>
      <c r="P856" s="11" t="str">
        <f t="shared" si="26"/>
        <v>胜</v>
      </c>
      <c r="Q856" s="11" t="str">
        <f t="shared" si="27"/>
        <v>胜</v>
      </c>
    </row>
    <row r="857" spans="4:17" x14ac:dyDescent="0.15">
      <c r="D857" s="7" t="s">
        <v>6</v>
      </c>
      <c r="E857" s="7" t="s">
        <v>1567</v>
      </c>
      <c r="F857" s="7" t="s">
        <v>1567</v>
      </c>
      <c r="G857" s="7" t="s">
        <v>1560</v>
      </c>
      <c r="H857" s="7" t="s">
        <v>37</v>
      </c>
      <c r="I857" s="7" t="s">
        <v>9</v>
      </c>
      <c r="J857" s="7" t="s">
        <v>9</v>
      </c>
      <c r="K857" s="7" t="s">
        <v>33</v>
      </c>
      <c r="L857" s="7" t="s">
        <v>45</v>
      </c>
      <c r="M857" s="7" t="s">
        <v>33</v>
      </c>
      <c r="N857" s="7" t="s">
        <v>33</v>
      </c>
      <c r="O857" s="7" t="s">
        <v>33</v>
      </c>
      <c r="P857" s="11" t="str">
        <f t="shared" si="26"/>
        <v>胜</v>
      </c>
      <c r="Q857" s="11" t="str">
        <f t="shared" si="27"/>
        <v>胜</v>
      </c>
    </row>
    <row r="858" spans="4:17" x14ac:dyDescent="0.15">
      <c r="D858" s="7" t="s">
        <v>6</v>
      </c>
      <c r="E858" s="7" t="s">
        <v>1568</v>
      </c>
      <c r="F858" s="7" t="s">
        <v>1568</v>
      </c>
      <c r="G858" s="7" t="s">
        <v>1569</v>
      </c>
      <c r="H858" s="7" t="s">
        <v>41</v>
      </c>
      <c r="I858" s="7" t="s">
        <v>33</v>
      </c>
      <c r="J858" s="7" t="s">
        <v>10</v>
      </c>
      <c r="K858" s="7" t="s">
        <v>33</v>
      </c>
      <c r="L858" s="7" t="s">
        <v>43</v>
      </c>
      <c r="M858" s="7" t="s">
        <v>33</v>
      </c>
      <c r="N858" s="7" t="s">
        <v>33</v>
      </c>
      <c r="O858" s="7" t="s">
        <v>33</v>
      </c>
      <c r="P858" s="11" t="str">
        <f t="shared" si="26"/>
        <v>平</v>
      </c>
      <c r="Q858" s="11" t="str">
        <f t="shared" si="27"/>
        <v>胜</v>
      </c>
    </row>
    <row r="859" spans="4:17" x14ac:dyDescent="0.15">
      <c r="D859" s="7" t="s">
        <v>6</v>
      </c>
      <c r="E859" s="7" t="s">
        <v>1570</v>
      </c>
      <c r="F859" s="7" t="s">
        <v>1570</v>
      </c>
      <c r="G859" s="7" t="s">
        <v>1571</v>
      </c>
      <c r="H859" s="7" t="s">
        <v>43</v>
      </c>
      <c r="I859" s="7" t="s">
        <v>10</v>
      </c>
      <c r="J859" s="7" t="s">
        <v>50</v>
      </c>
      <c r="K859" s="7" t="s">
        <v>33</v>
      </c>
      <c r="L859" s="7" t="s">
        <v>40</v>
      </c>
      <c r="M859" s="7" t="s">
        <v>10</v>
      </c>
      <c r="N859" s="7" t="s">
        <v>39</v>
      </c>
      <c r="O859" s="7" t="s">
        <v>33</v>
      </c>
      <c r="P859" s="11" t="str">
        <f t="shared" si="26"/>
        <v>平</v>
      </c>
      <c r="Q859" s="11" t="str">
        <f t="shared" si="27"/>
        <v>胜</v>
      </c>
    </row>
    <row r="860" spans="4:17" x14ac:dyDescent="0.15">
      <c r="D860" s="7" t="s">
        <v>6</v>
      </c>
      <c r="E860" s="7" t="s">
        <v>1572</v>
      </c>
      <c r="F860" s="7" t="s">
        <v>1572</v>
      </c>
      <c r="G860" s="7" t="s">
        <v>1571</v>
      </c>
      <c r="H860" s="7" t="s">
        <v>48</v>
      </c>
      <c r="I860" s="7" t="s">
        <v>9</v>
      </c>
      <c r="J860" s="7" t="s">
        <v>9</v>
      </c>
      <c r="K860" s="7" t="s">
        <v>33</v>
      </c>
      <c r="L860" s="7" t="s">
        <v>56</v>
      </c>
      <c r="M860" s="7" t="s">
        <v>10</v>
      </c>
      <c r="N860" s="7" t="s">
        <v>39</v>
      </c>
      <c r="O860" s="7" t="s">
        <v>33</v>
      </c>
      <c r="P860" s="11" t="str">
        <f t="shared" si="26"/>
        <v>胜</v>
      </c>
      <c r="Q860" s="11" t="str">
        <f t="shared" si="27"/>
        <v>负</v>
      </c>
    </row>
    <row r="861" spans="4:17" x14ac:dyDescent="0.15">
      <c r="D861" s="7" t="s">
        <v>6</v>
      </c>
      <c r="E861" s="7" t="s">
        <v>1573</v>
      </c>
      <c r="F861" s="7" t="s">
        <v>1573</v>
      </c>
      <c r="G861" s="7" t="s">
        <v>1571</v>
      </c>
      <c r="H861" s="7" t="s">
        <v>38</v>
      </c>
      <c r="I861" s="7" t="s">
        <v>33</v>
      </c>
      <c r="J861" s="7" t="s">
        <v>9</v>
      </c>
      <c r="K861" s="7" t="s">
        <v>33</v>
      </c>
      <c r="L861" s="7" t="s">
        <v>41</v>
      </c>
      <c r="M861" s="7" t="s">
        <v>33</v>
      </c>
      <c r="N861" s="7" t="s">
        <v>9</v>
      </c>
      <c r="O861" s="7" t="s">
        <v>33</v>
      </c>
      <c r="P861" s="11" t="str">
        <f t="shared" si="26"/>
        <v>平</v>
      </c>
      <c r="Q861" s="11" t="str">
        <f t="shared" si="27"/>
        <v>平</v>
      </c>
    </row>
    <row r="862" spans="4:17" x14ac:dyDescent="0.15">
      <c r="D862" s="7" t="s">
        <v>6</v>
      </c>
      <c r="E862" s="7" t="s">
        <v>1574</v>
      </c>
      <c r="F862" s="7" t="s">
        <v>1574</v>
      </c>
      <c r="G862" s="7" t="s">
        <v>1575</v>
      </c>
      <c r="H862" s="7" t="s">
        <v>54</v>
      </c>
      <c r="I862" s="7" t="s">
        <v>33</v>
      </c>
      <c r="J862" s="7" t="s">
        <v>10</v>
      </c>
      <c r="K862" s="7" t="s">
        <v>33</v>
      </c>
      <c r="L862" s="7" t="s">
        <v>37</v>
      </c>
      <c r="M862" s="7" t="s">
        <v>33</v>
      </c>
      <c r="N862" s="7" t="s">
        <v>33</v>
      </c>
      <c r="O862" s="7" t="s">
        <v>33</v>
      </c>
      <c r="P862" s="11" t="str">
        <f t="shared" si="26"/>
        <v>平</v>
      </c>
      <c r="Q862" s="11" t="str">
        <f t="shared" si="27"/>
        <v>胜</v>
      </c>
    </row>
    <row r="863" spans="4:17" x14ac:dyDescent="0.15">
      <c r="D863" s="7" t="s">
        <v>6</v>
      </c>
      <c r="E863" s="7" t="s">
        <v>1576</v>
      </c>
      <c r="F863" s="7" t="s">
        <v>1576</v>
      </c>
      <c r="G863" s="7" t="s">
        <v>1571</v>
      </c>
      <c r="H863" s="7" t="s">
        <v>52</v>
      </c>
      <c r="I863" s="7" t="s">
        <v>10</v>
      </c>
      <c r="J863" s="7" t="s">
        <v>10</v>
      </c>
      <c r="K863" s="7" t="s">
        <v>33</v>
      </c>
      <c r="L863" s="7" t="s">
        <v>44</v>
      </c>
      <c r="M863" s="7" t="s">
        <v>9</v>
      </c>
      <c r="N863" s="7" t="s">
        <v>39</v>
      </c>
      <c r="O863" s="7" t="s">
        <v>33</v>
      </c>
      <c r="P863" s="11" t="str">
        <f t="shared" si="26"/>
        <v>负</v>
      </c>
      <c r="Q863" s="11" t="str">
        <f t="shared" si="27"/>
        <v>负</v>
      </c>
    </row>
    <row r="864" spans="4:17" x14ac:dyDescent="0.15">
      <c r="D864" s="7" t="s">
        <v>6</v>
      </c>
      <c r="E864" s="7" t="s">
        <v>1577</v>
      </c>
      <c r="F864" s="7" t="s">
        <v>1577</v>
      </c>
      <c r="G864" s="7" t="s">
        <v>1575</v>
      </c>
      <c r="H864" s="7" t="s">
        <v>46</v>
      </c>
      <c r="I864" s="7" t="s">
        <v>10</v>
      </c>
      <c r="J864" s="7" t="s">
        <v>9</v>
      </c>
      <c r="K864" s="7" t="s">
        <v>33</v>
      </c>
      <c r="L864" s="7" t="s">
        <v>53</v>
      </c>
      <c r="M864" s="7" t="s">
        <v>10</v>
      </c>
      <c r="N864" s="7" t="s">
        <v>9</v>
      </c>
      <c r="O864" s="7" t="s">
        <v>33</v>
      </c>
      <c r="P864" s="11" t="str">
        <f t="shared" si="26"/>
        <v>平</v>
      </c>
      <c r="Q864" s="11" t="str">
        <f t="shared" si="27"/>
        <v>平</v>
      </c>
    </row>
    <row r="865" spans="4:17" x14ac:dyDescent="0.15">
      <c r="D865" s="7" t="s">
        <v>6</v>
      </c>
      <c r="E865" s="7" t="s">
        <v>1578</v>
      </c>
      <c r="F865" s="7" t="s">
        <v>1578</v>
      </c>
      <c r="G865" s="7" t="s">
        <v>1571</v>
      </c>
      <c r="H865" s="7" t="s">
        <v>35</v>
      </c>
      <c r="I865" s="7" t="s">
        <v>9</v>
      </c>
      <c r="J865" s="7" t="s">
        <v>47</v>
      </c>
      <c r="K865" s="7" t="s">
        <v>33</v>
      </c>
      <c r="L865" s="7" t="s">
        <v>49</v>
      </c>
      <c r="M865" s="7" t="s">
        <v>10</v>
      </c>
      <c r="N865" s="7" t="s">
        <v>9</v>
      </c>
      <c r="O865" s="7" t="s">
        <v>33</v>
      </c>
      <c r="P865" s="11" t="str">
        <f t="shared" si="26"/>
        <v>胜</v>
      </c>
      <c r="Q865" s="11" t="str">
        <f t="shared" si="27"/>
        <v>胜</v>
      </c>
    </row>
    <row r="866" spans="4:17" x14ac:dyDescent="0.15">
      <c r="D866" s="7" t="s">
        <v>6</v>
      </c>
      <c r="E866" s="7" t="s">
        <v>1579</v>
      </c>
      <c r="F866" s="7" t="s">
        <v>1579</v>
      </c>
      <c r="G866" s="7" t="s">
        <v>1571</v>
      </c>
      <c r="H866" s="7" t="s">
        <v>45</v>
      </c>
      <c r="I866" s="7" t="s">
        <v>10</v>
      </c>
      <c r="J866" s="7" t="s">
        <v>9</v>
      </c>
      <c r="K866" s="7" t="s">
        <v>33</v>
      </c>
      <c r="L866" s="7" t="s">
        <v>42</v>
      </c>
      <c r="M866" s="7" t="s">
        <v>33</v>
      </c>
      <c r="N866" s="7" t="s">
        <v>33</v>
      </c>
      <c r="O866" s="7" t="s">
        <v>33</v>
      </c>
      <c r="P866" s="11" t="str">
        <f t="shared" si="26"/>
        <v>胜</v>
      </c>
      <c r="Q866" s="11" t="str">
        <f t="shared" si="27"/>
        <v>胜</v>
      </c>
    </row>
    <row r="867" spans="4:17" x14ac:dyDescent="0.15">
      <c r="D867" s="7" t="s">
        <v>6</v>
      </c>
      <c r="E867" s="7" t="s">
        <v>1580</v>
      </c>
      <c r="F867" s="7" t="s">
        <v>1580</v>
      </c>
      <c r="G867" s="7" t="s">
        <v>1581</v>
      </c>
      <c r="H867" s="7" t="s">
        <v>32</v>
      </c>
      <c r="I867" s="11" t="s">
        <v>10</v>
      </c>
      <c r="J867" s="7" t="s">
        <v>39</v>
      </c>
      <c r="K867" s="7" t="s">
        <v>33</v>
      </c>
      <c r="L867" s="7" t="s">
        <v>44</v>
      </c>
      <c r="M867" s="7" t="s">
        <v>33</v>
      </c>
      <c r="N867" s="7" t="s">
        <v>10</v>
      </c>
      <c r="O867" s="7" t="s">
        <v>33</v>
      </c>
      <c r="P867" s="11" t="str">
        <f t="shared" si="26"/>
        <v>胜</v>
      </c>
      <c r="Q867" s="11" t="str">
        <f t="shared" si="27"/>
        <v>胜</v>
      </c>
    </row>
    <row r="868" spans="4:17" x14ac:dyDescent="0.15">
      <c r="D868" s="7" t="s">
        <v>6</v>
      </c>
      <c r="E868" s="7" t="s">
        <v>1582</v>
      </c>
      <c r="F868" s="7" t="s">
        <v>1582</v>
      </c>
      <c r="G868" s="7" t="s">
        <v>1583</v>
      </c>
      <c r="H868" s="7" t="s">
        <v>36</v>
      </c>
      <c r="I868" s="7" t="s">
        <v>9</v>
      </c>
      <c r="J868" s="7" t="s">
        <v>50</v>
      </c>
      <c r="K868" s="7" t="s">
        <v>33</v>
      </c>
      <c r="L868" s="7" t="s">
        <v>53</v>
      </c>
      <c r="M868" s="7" t="s">
        <v>33</v>
      </c>
      <c r="N868" s="7" t="s">
        <v>10</v>
      </c>
      <c r="O868" s="7" t="s">
        <v>33</v>
      </c>
      <c r="P868" s="11" t="str">
        <f t="shared" si="26"/>
        <v>胜</v>
      </c>
      <c r="Q868" s="11" t="str">
        <f t="shared" si="27"/>
        <v>胜</v>
      </c>
    </row>
    <row r="869" spans="4:17" x14ac:dyDescent="0.15">
      <c r="D869" s="7" t="s">
        <v>6</v>
      </c>
      <c r="E869" s="7" t="s">
        <v>1584</v>
      </c>
      <c r="F869" s="7" t="s">
        <v>1584</v>
      </c>
      <c r="G869" s="7" t="s">
        <v>1583</v>
      </c>
      <c r="H869" s="7" t="s">
        <v>38</v>
      </c>
      <c r="I869" s="7" t="s">
        <v>9</v>
      </c>
      <c r="J869" s="7" t="s">
        <v>47</v>
      </c>
      <c r="K869" s="7" t="s">
        <v>33</v>
      </c>
      <c r="L869" s="7" t="s">
        <v>52</v>
      </c>
      <c r="M869" s="7" t="s">
        <v>33</v>
      </c>
      <c r="N869" s="7" t="s">
        <v>33</v>
      </c>
      <c r="O869" s="7" t="s">
        <v>33</v>
      </c>
      <c r="P869" s="11" t="str">
        <f t="shared" si="26"/>
        <v>胜</v>
      </c>
      <c r="Q869" s="11" t="str">
        <f t="shared" si="27"/>
        <v>胜</v>
      </c>
    </row>
    <row r="870" spans="4:17" x14ac:dyDescent="0.15">
      <c r="D870" s="7" t="s">
        <v>6</v>
      </c>
      <c r="E870" s="7" t="s">
        <v>1585</v>
      </c>
      <c r="F870" s="7" t="s">
        <v>1585</v>
      </c>
      <c r="G870" s="7" t="s">
        <v>1586</v>
      </c>
      <c r="H870" s="7" t="s">
        <v>54</v>
      </c>
      <c r="I870" s="7" t="s">
        <v>33</v>
      </c>
      <c r="J870" s="7" t="s">
        <v>10</v>
      </c>
      <c r="K870" s="7" t="s">
        <v>33</v>
      </c>
      <c r="L870" s="7" t="s">
        <v>48</v>
      </c>
      <c r="M870" s="7" t="s">
        <v>33</v>
      </c>
      <c r="N870" s="7" t="s">
        <v>9</v>
      </c>
      <c r="O870" s="7" t="s">
        <v>33</v>
      </c>
      <c r="P870" s="11" t="str">
        <f t="shared" si="26"/>
        <v>平</v>
      </c>
      <c r="Q870" s="11" t="str">
        <f t="shared" si="27"/>
        <v>负</v>
      </c>
    </row>
    <row r="871" spans="4:17" x14ac:dyDescent="0.15">
      <c r="D871" s="7" t="s">
        <v>6</v>
      </c>
      <c r="E871" s="7" t="s">
        <v>1587</v>
      </c>
      <c r="F871" s="7" t="s">
        <v>1587</v>
      </c>
      <c r="G871" s="7" t="s">
        <v>1583</v>
      </c>
      <c r="H871" s="7" t="s">
        <v>40</v>
      </c>
      <c r="I871" s="7" t="s">
        <v>10</v>
      </c>
      <c r="J871" s="7" t="s">
        <v>9</v>
      </c>
      <c r="K871" s="7" t="s">
        <v>33</v>
      </c>
      <c r="L871" s="7" t="s">
        <v>42</v>
      </c>
      <c r="M871" s="7" t="s">
        <v>9</v>
      </c>
      <c r="N871" s="7" t="s">
        <v>9</v>
      </c>
      <c r="O871" s="7" t="s">
        <v>33</v>
      </c>
      <c r="P871" s="11" t="str">
        <f t="shared" si="26"/>
        <v>负</v>
      </c>
      <c r="Q871" s="11" t="str">
        <f t="shared" si="27"/>
        <v>平</v>
      </c>
    </row>
    <row r="872" spans="4:17" x14ac:dyDescent="0.15">
      <c r="D872" s="7" t="s">
        <v>6</v>
      </c>
      <c r="E872" s="7" t="s">
        <v>1588</v>
      </c>
      <c r="F872" s="7" t="s">
        <v>1588</v>
      </c>
      <c r="G872" s="7" t="s">
        <v>1589</v>
      </c>
      <c r="H872" s="7" t="s">
        <v>41</v>
      </c>
      <c r="I872" s="7" t="s">
        <v>33</v>
      </c>
      <c r="J872" s="7" t="s">
        <v>10</v>
      </c>
      <c r="K872" s="7" t="s">
        <v>33</v>
      </c>
      <c r="L872" s="7" t="s">
        <v>37</v>
      </c>
      <c r="M872" s="7" t="s">
        <v>33</v>
      </c>
      <c r="N872" s="7" t="s">
        <v>33</v>
      </c>
      <c r="O872" s="7" t="s">
        <v>33</v>
      </c>
      <c r="P872" s="11" t="str">
        <f t="shared" si="26"/>
        <v>平</v>
      </c>
      <c r="Q872" s="11" t="str">
        <f t="shared" si="27"/>
        <v>胜</v>
      </c>
    </row>
    <row r="873" spans="4:17" x14ac:dyDescent="0.15">
      <c r="D873" s="7" t="s">
        <v>6</v>
      </c>
      <c r="E873" s="7" t="s">
        <v>1590</v>
      </c>
      <c r="F873" s="7" t="s">
        <v>1590</v>
      </c>
      <c r="G873" s="7" t="s">
        <v>1591</v>
      </c>
      <c r="H873" s="7" t="s">
        <v>56</v>
      </c>
      <c r="I873" s="7" t="s">
        <v>33</v>
      </c>
      <c r="J873" s="7" t="s">
        <v>33</v>
      </c>
      <c r="K873" s="7" t="s">
        <v>33</v>
      </c>
      <c r="L873" s="7" t="s">
        <v>49</v>
      </c>
      <c r="M873" s="7" t="s">
        <v>33</v>
      </c>
      <c r="N873" s="7" t="s">
        <v>10</v>
      </c>
      <c r="O873" s="7" t="s">
        <v>33</v>
      </c>
      <c r="P873" s="11" t="str">
        <f t="shared" si="26"/>
        <v>平</v>
      </c>
      <c r="Q873" s="11" t="str">
        <f t="shared" si="27"/>
        <v>负</v>
      </c>
    </row>
    <row r="874" spans="4:17" x14ac:dyDescent="0.15">
      <c r="D874" s="7" t="s">
        <v>6</v>
      </c>
      <c r="E874" s="7" t="s">
        <v>1592</v>
      </c>
      <c r="F874" s="7" t="s">
        <v>1592</v>
      </c>
      <c r="G874" s="7" t="s">
        <v>1593</v>
      </c>
      <c r="H874" s="7" t="s">
        <v>44</v>
      </c>
      <c r="I874" s="7" t="s">
        <v>10</v>
      </c>
      <c r="J874" s="7" t="s">
        <v>9</v>
      </c>
      <c r="K874" s="7" t="s">
        <v>33</v>
      </c>
      <c r="L874" s="7" t="s">
        <v>41</v>
      </c>
      <c r="M874" s="7" t="s">
        <v>10</v>
      </c>
      <c r="N874" s="7" t="s">
        <v>9</v>
      </c>
      <c r="O874" s="7" t="s">
        <v>33</v>
      </c>
      <c r="P874" s="11" t="str">
        <f t="shared" si="26"/>
        <v>平</v>
      </c>
      <c r="Q874" s="11" t="str">
        <f t="shared" si="27"/>
        <v>平</v>
      </c>
    </row>
    <row r="875" spans="4:17" x14ac:dyDescent="0.15">
      <c r="D875" s="7" t="s">
        <v>6</v>
      </c>
      <c r="E875" s="7" t="s">
        <v>1594</v>
      </c>
      <c r="F875" s="7" t="s">
        <v>1594</v>
      </c>
      <c r="G875" s="7" t="s">
        <v>1595</v>
      </c>
      <c r="H875" s="7" t="s">
        <v>37</v>
      </c>
      <c r="I875" s="7" t="s">
        <v>33</v>
      </c>
      <c r="J875" s="7" t="s">
        <v>9</v>
      </c>
      <c r="K875" s="7" t="s">
        <v>33</v>
      </c>
      <c r="L875" s="7" t="s">
        <v>56</v>
      </c>
      <c r="M875" s="7" t="s">
        <v>10</v>
      </c>
      <c r="N875" s="7" t="s">
        <v>9</v>
      </c>
      <c r="O875" s="7" t="s">
        <v>33</v>
      </c>
      <c r="P875" s="11" t="str">
        <f t="shared" si="26"/>
        <v>负</v>
      </c>
      <c r="Q875" s="11" t="str">
        <f t="shared" si="27"/>
        <v>平</v>
      </c>
    </row>
    <row r="876" spans="4:17" x14ac:dyDescent="0.15">
      <c r="D876" s="7" t="s">
        <v>6</v>
      </c>
      <c r="E876" s="7" t="s">
        <v>1596</v>
      </c>
      <c r="F876" s="7" t="s">
        <v>1596</v>
      </c>
      <c r="G876" s="7" t="s">
        <v>1597</v>
      </c>
      <c r="H876" s="7" t="s">
        <v>48</v>
      </c>
      <c r="I876" s="7" t="s">
        <v>33</v>
      </c>
      <c r="J876" s="7" t="s">
        <v>33</v>
      </c>
      <c r="K876" s="7" t="s">
        <v>33</v>
      </c>
      <c r="L876" s="7" t="s">
        <v>38</v>
      </c>
      <c r="M876" s="7" t="s">
        <v>10</v>
      </c>
      <c r="N876" s="7" t="s">
        <v>10</v>
      </c>
      <c r="O876" s="7" t="s">
        <v>33</v>
      </c>
      <c r="P876" s="11" t="str">
        <f t="shared" si="26"/>
        <v>负</v>
      </c>
      <c r="Q876" s="11" t="str">
        <f t="shared" si="27"/>
        <v>负</v>
      </c>
    </row>
    <row r="877" spans="4:17" x14ac:dyDescent="0.15">
      <c r="D877" s="7" t="s">
        <v>6</v>
      </c>
      <c r="E877" s="7" t="s">
        <v>1598</v>
      </c>
      <c r="F877" s="7" t="s">
        <v>1598</v>
      </c>
      <c r="G877" s="7" t="s">
        <v>1599</v>
      </c>
      <c r="H877" s="7" t="s">
        <v>46</v>
      </c>
      <c r="I877" s="7" t="s">
        <v>9</v>
      </c>
      <c r="J877" s="7" t="s">
        <v>9</v>
      </c>
      <c r="K877" s="7" t="s">
        <v>33</v>
      </c>
      <c r="L877" s="7" t="s">
        <v>32</v>
      </c>
      <c r="M877" s="7" t="s">
        <v>33</v>
      </c>
      <c r="N877" s="7" t="s">
        <v>33</v>
      </c>
      <c r="O877" s="7" t="s">
        <v>33</v>
      </c>
      <c r="P877" s="11" t="str">
        <f t="shared" si="26"/>
        <v>胜</v>
      </c>
      <c r="Q877" s="11" t="str">
        <f t="shared" si="27"/>
        <v>胜</v>
      </c>
    </row>
    <row r="878" spans="4:17" x14ac:dyDescent="0.15">
      <c r="D878" s="7" t="s">
        <v>6</v>
      </c>
      <c r="E878" s="7" t="s">
        <v>1600</v>
      </c>
      <c r="F878" s="7" t="s">
        <v>1600</v>
      </c>
      <c r="G878" s="7" t="s">
        <v>1601</v>
      </c>
      <c r="H878" s="7" t="s">
        <v>49</v>
      </c>
      <c r="I878" s="7" t="s">
        <v>33</v>
      </c>
      <c r="J878" s="7" t="s">
        <v>9</v>
      </c>
      <c r="K878" s="7" t="s">
        <v>33</v>
      </c>
      <c r="L878" s="7" t="s">
        <v>54</v>
      </c>
      <c r="M878" s="7" t="s">
        <v>33</v>
      </c>
      <c r="N878" s="7" t="s">
        <v>10</v>
      </c>
      <c r="O878" s="7" t="s">
        <v>33</v>
      </c>
      <c r="P878" s="11" t="str">
        <f t="shared" si="26"/>
        <v>平</v>
      </c>
      <c r="Q878" s="11" t="str">
        <f t="shared" si="27"/>
        <v>胜</v>
      </c>
    </row>
    <row r="879" spans="4:17" x14ac:dyDescent="0.15">
      <c r="D879" s="7" t="s">
        <v>6</v>
      </c>
      <c r="E879" s="7" t="s">
        <v>1602</v>
      </c>
      <c r="F879" s="7" t="s">
        <v>1602</v>
      </c>
      <c r="G879" s="7" t="s">
        <v>1603</v>
      </c>
      <c r="H879" s="7" t="s">
        <v>32</v>
      </c>
      <c r="I879" s="11" t="s">
        <v>33</v>
      </c>
      <c r="J879" s="7" t="s">
        <v>33</v>
      </c>
      <c r="K879" s="7" t="s">
        <v>33</v>
      </c>
      <c r="L879" s="7" t="s">
        <v>48</v>
      </c>
      <c r="M879" s="7" t="s">
        <v>9</v>
      </c>
      <c r="N879" s="7" t="s">
        <v>39</v>
      </c>
      <c r="O879" s="7" t="s">
        <v>33</v>
      </c>
      <c r="P879" s="11" t="str">
        <f t="shared" si="26"/>
        <v>负</v>
      </c>
      <c r="Q879" s="11" t="str">
        <f t="shared" si="27"/>
        <v>负</v>
      </c>
    </row>
    <row r="880" spans="4:17" x14ac:dyDescent="0.15">
      <c r="D880" s="7" t="s">
        <v>6</v>
      </c>
      <c r="E880" s="7" t="s">
        <v>1604</v>
      </c>
      <c r="F880" s="7" t="s">
        <v>1604</v>
      </c>
      <c r="G880" s="7" t="s">
        <v>1605</v>
      </c>
      <c r="H880" s="7" t="s">
        <v>36</v>
      </c>
      <c r="I880" s="7" t="s">
        <v>10</v>
      </c>
      <c r="J880" s="7" t="s">
        <v>10</v>
      </c>
      <c r="K880" s="7" t="s">
        <v>33</v>
      </c>
      <c r="L880" s="7" t="s">
        <v>52</v>
      </c>
      <c r="M880" s="7" t="s">
        <v>10</v>
      </c>
      <c r="N880" s="7" t="s">
        <v>50</v>
      </c>
      <c r="O880" s="7" t="s">
        <v>33</v>
      </c>
      <c r="P880" s="11" t="str">
        <f t="shared" si="26"/>
        <v>平</v>
      </c>
      <c r="Q880" s="11" t="str">
        <f t="shared" si="27"/>
        <v>负</v>
      </c>
    </row>
    <row r="881" spans="4:17" x14ac:dyDescent="0.15">
      <c r="D881" s="7" t="s">
        <v>6</v>
      </c>
      <c r="E881" s="7" t="s">
        <v>1606</v>
      </c>
      <c r="F881" s="7" t="s">
        <v>1606</v>
      </c>
      <c r="G881" s="7" t="s">
        <v>1607</v>
      </c>
      <c r="H881" s="7" t="s">
        <v>56</v>
      </c>
      <c r="I881" s="7" t="s">
        <v>33</v>
      </c>
      <c r="J881" s="7" t="s">
        <v>9</v>
      </c>
      <c r="K881" s="7" t="s">
        <v>33</v>
      </c>
      <c r="L881" s="7" t="s">
        <v>44</v>
      </c>
      <c r="M881" s="7" t="s">
        <v>10</v>
      </c>
      <c r="N881" s="7" t="s">
        <v>10</v>
      </c>
      <c r="O881" s="7" t="s">
        <v>33</v>
      </c>
      <c r="P881" s="11" t="str">
        <f t="shared" si="26"/>
        <v>负</v>
      </c>
      <c r="Q881" s="11" t="str">
        <f t="shared" si="27"/>
        <v>胜</v>
      </c>
    </row>
    <row r="882" spans="4:17" x14ac:dyDescent="0.15">
      <c r="D882" s="7" t="s">
        <v>6</v>
      </c>
      <c r="E882" s="7" t="s">
        <v>1608</v>
      </c>
      <c r="F882" s="7" t="s">
        <v>1608</v>
      </c>
      <c r="G882" s="7" t="s">
        <v>1603</v>
      </c>
      <c r="H882" s="7" t="s">
        <v>38</v>
      </c>
      <c r="I882" s="7" t="s">
        <v>9</v>
      </c>
      <c r="J882" s="7" t="s">
        <v>9</v>
      </c>
      <c r="K882" s="7" t="s">
        <v>33</v>
      </c>
      <c r="L882" s="7" t="s">
        <v>53</v>
      </c>
      <c r="M882" s="7" t="s">
        <v>10</v>
      </c>
      <c r="N882" s="7" t="s">
        <v>10</v>
      </c>
      <c r="O882" s="7" t="s">
        <v>33</v>
      </c>
      <c r="P882" s="11" t="str">
        <f t="shared" si="26"/>
        <v>胜</v>
      </c>
      <c r="Q882" s="11" t="str">
        <f t="shared" si="27"/>
        <v>胜</v>
      </c>
    </row>
    <row r="883" spans="4:17" x14ac:dyDescent="0.15">
      <c r="D883" s="7" t="s">
        <v>6</v>
      </c>
      <c r="E883" s="7" t="s">
        <v>1609</v>
      </c>
      <c r="F883" s="7" t="s">
        <v>1609</v>
      </c>
      <c r="G883" s="7" t="s">
        <v>1603</v>
      </c>
      <c r="H883" s="7" t="s">
        <v>57</v>
      </c>
      <c r="I883" s="7" t="s">
        <v>9</v>
      </c>
      <c r="J883" s="7" t="s">
        <v>50</v>
      </c>
      <c r="K883" s="7" t="s">
        <v>33</v>
      </c>
      <c r="L883" s="7" t="s">
        <v>42</v>
      </c>
      <c r="M883" s="7" t="s">
        <v>33</v>
      </c>
      <c r="N883" s="7" t="s">
        <v>10</v>
      </c>
      <c r="O883" s="7" t="s">
        <v>33</v>
      </c>
      <c r="P883" s="11" t="str">
        <f t="shared" si="26"/>
        <v>胜</v>
      </c>
      <c r="Q883" s="11" t="str">
        <f t="shared" si="27"/>
        <v>胜</v>
      </c>
    </row>
    <row r="884" spans="4:17" x14ac:dyDescent="0.15">
      <c r="D884" s="7" t="s">
        <v>6</v>
      </c>
      <c r="E884" s="7" t="s">
        <v>1610</v>
      </c>
      <c r="F884" s="7" t="s">
        <v>1610</v>
      </c>
      <c r="G884" s="7" t="s">
        <v>1607</v>
      </c>
      <c r="H884" s="7" t="s">
        <v>41</v>
      </c>
      <c r="I884" s="7" t="s">
        <v>10</v>
      </c>
      <c r="J884" s="7" t="s">
        <v>39</v>
      </c>
      <c r="K884" s="7" t="s">
        <v>33</v>
      </c>
      <c r="L884" s="7" t="s">
        <v>49</v>
      </c>
      <c r="M884" s="7" t="s">
        <v>33</v>
      </c>
      <c r="N884" s="7" t="s">
        <v>33</v>
      </c>
      <c r="O884" s="7" t="s">
        <v>33</v>
      </c>
      <c r="P884" s="11" t="str">
        <f t="shared" si="26"/>
        <v>胜</v>
      </c>
      <c r="Q884" s="11" t="str">
        <f t="shared" si="27"/>
        <v>胜</v>
      </c>
    </row>
    <row r="885" spans="4:17" x14ac:dyDescent="0.15">
      <c r="D885" s="7" t="s">
        <v>6</v>
      </c>
      <c r="E885" s="7" t="s">
        <v>1611</v>
      </c>
      <c r="F885" s="7" t="s">
        <v>1611</v>
      </c>
      <c r="G885" s="7" t="s">
        <v>1612</v>
      </c>
      <c r="H885" s="7" t="s">
        <v>40</v>
      </c>
      <c r="I885" s="7" t="s">
        <v>33</v>
      </c>
      <c r="J885" s="7" t="s">
        <v>10</v>
      </c>
      <c r="K885" s="7" t="s">
        <v>33</v>
      </c>
      <c r="L885" s="7" t="s">
        <v>46</v>
      </c>
      <c r="M885" s="7" t="s">
        <v>33</v>
      </c>
      <c r="N885" s="7" t="s">
        <v>10</v>
      </c>
      <c r="O885" s="7" t="s">
        <v>33</v>
      </c>
      <c r="P885" s="11" t="str">
        <f t="shared" si="26"/>
        <v>平</v>
      </c>
      <c r="Q885" s="11" t="str">
        <f t="shared" si="27"/>
        <v>平</v>
      </c>
    </row>
    <row r="886" spans="4:17" x14ac:dyDescent="0.15">
      <c r="D886" s="7" t="s">
        <v>6</v>
      </c>
      <c r="E886" s="7" t="s">
        <v>1613</v>
      </c>
      <c r="F886" s="7" t="s">
        <v>1613</v>
      </c>
      <c r="G886" s="7" t="s">
        <v>1614</v>
      </c>
      <c r="H886" s="7" t="s">
        <v>54</v>
      </c>
      <c r="I886" s="7" t="s">
        <v>33</v>
      </c>
      <c r="J886" s="7" t="s">
        <v>10</v>
      </c>
      <c r="K886" s="7" t="s">
        <v>33</v>
      </c>
      <c r="L886" s="7" t="s">
        <v>37</v>
      </c>
      <c r="M886" s="7" t="s">
        <v>33</v>
      </c>
      <c r="N886" s="7" t="s">
        <v>10</v>
      </c>
      <c r="O886" s="7" t="s">
        <v>33</v>
      </c>
      <c r="P886" s="11" t="str">
        <f t="shared" si="26"/>
        <v>平</v>
      </c>
      <c r="Q886" s="11" t="str">
        <f t="shared" si="27"/>
        <v>平</v>
      </c>
    </row>
    <row r="887" spans="4:17" x14ac:dyDescent="0.15">
      <c r="D887" s="7" t="s">
        <v>6</v>
      </c>
      <c r="E887" s="7" t="s">
        <v>1615</v>
      </c>
      <c r="F887" s="7" t="s">
        <v>1615</v>
      </c>
      <c r="G887" s="7" t="s">
        <v>1616</v>
      </c>
      <c r="H887" s="7" t="s">
        <v>49</v>
      </c>
      <c r="I887" s="7" t="s">
        <v>10</v>
      </c>
      <c r="J887" s="7" t="s">
        <v>10</v>
      </c>
      <c r="K887" s="7" t="s">
        <v>33</v>
      </c>
      <c r="L887" s="7" t="s">
        <v>40</v>
      </c>
      <c r="M887" s="7" t="s">
        <v>10</v>
      </c>
      <c r="N887" s="7" t="s">
        <v>50</v>
      </c>
      <c r="O887" s="7" t="s">
        <v>33</v>
      </c>
      <c r="P887" s="11" t="str">
        <f t="shared" si="26"/>
        <v>平</v>
      </c>
      <c r="Q887" s="11" t="str">
        <f t="shared" si="27"/>
        <v>负</v>
      </c>
    </row>
    <row r="888" spans="4:17" x14ac:dyDescent="0.15">
      <c r="D888" s="7" t="s">
        <v>6</v>
      </c>
      <c r="E888" s="7" t="s">
        <v>1617</v>
      </c>
      <c r="F888" s="7" t="s">
        <v>1617</v>
      </c>
      <c r="G888" s="7" t="s">
        <v>1618</v>
      </c>
      <c r="H888" s="7" t="s">
        <v>48</v>
      </c>
      <c r="I888" s="7" t="s">
        <v>10</v>
      </c>
      <c r="J888" s="7" t="s">
        <v>10</v>
      </c>
      <c r="K888" s="7" t="s">
        <v>33</v>
      </c>
      <c r="L888" s="7" t="s">
        <v>41</v>
      </c>
      <c r="M888" s="7" t="s">
        <v>33</v>
      </c>
      <c r="N888" s="7" t="s">
        <v>10</v>
      </c>
      <c r="O888" s="7" t="s">
        <v>33</v>
      </c>
      <c r="P888" s="11" t="str">
        <f t="shared" si="26"/>
        <v>胜</v>
      </c>
      <c r="Q888" s="11" t="str">
        <f t="shared" si="27"/>
        <v>平</v>
      </c>
    </row>
    <row r="889" spans="4:17" x14ac:dyDescent="0.15">
      <c r="D889" s="7" t="s">
        <v>6</v>
      </c>
      <c r="E889" s="7" t="s">
        <v>1619</v>
      </c>
      <c r="F889" s="7" t="s">
        <v>1619</v>
      </c>
      <c r="G889" s="7" t="s">
        <v>1618</v>
      </c>
      <c r="H889" s="7" t="s">
        <v>53</v>
      </c>
      <c r="I889" s="7" t="s">
        <v>33</v>
      </c>
      <c r="J889" s="7" t="s">
        <v>50</v>
      </c>
      <c r="K889" s="7" t="s">
        <v>33</v>
      </c>
      <c r="L889" s="7" t="s">
        <v>57</v>
      </c>
      <c r="M889" s="7" t="s">
        <v>33</v>
      </c>
      <c r="N889" s="7" t="s">
        <v>33</v>
      </c>
      <c r="O889" s="7" t="s">
        <v>33</v>
      </c>
      <c r="P889" s="11" t="str">
        <f t="shared" si="26"/>
        <v>平</v>
      </c>
      <c r="Q889" s="11" t="str">
        <f t="shared" si="27"/>
        <v>胜</v>
      </c>
    </row>
    <row r="890" spans="4:17" x14ac:dyDescent="0.15">
      <c r="D890" s="7" t="s">
        <v>6</v>
      </c>
      <c r="E890" s="7" t="s">
        <v>1620</v>
      </c>
      <c r="F890" s="7" t="s">
        <v>1620</v>
      </c>
      <c r="G890" s="7" t="s">
        <v>1621</v>
      </c>
      <c r="H890" s="7" t="s">
        <v>54</v>
      </c>
      <c r="I890" s="7" t="s">
        <v>33</v>
      </c>
      <c r="J890" s="7" t="s">
        <v>10</v>
      </c>
      <c r="K890" s="7" t="s">
        <v>33</v>
      </c>
      <c r="L890" s="7" t="s">
        <v>32</v>
      </c>
      <c r="M890" s="7" t="s">
        <v>33</v>
      </c>
      <c r="N890" s="7" t="s">
        <v>33</v>
      </c>
      <c r="O890" s="7" t="s">
        <v>33</v>
      </c>
      <c r="P890" s="11" t="str">
        <f t="shared" si="26"/>
        <v>平</v>
      </c>
      <c r="Q890" s="11" t="str">
        <f t="shared" si="27"/>
        <v>胜</v>
      </c>
    </row>
    <row r="891" spans="4:17" x14ac:dyDescent="0.15">
      <c r="D891" s="7" t="s">
        <v>6</v>
      </c>
      <c r="E891" s="7" t="s">
        <v>1622</v>
      </c>
      <c r="F891" s="7" t="s">
        <v>1622</v>
      </c>
      <c r="G891" s="7" t="s">
        <v>1623</v>
      </c>
      <c r="H891" s="7" t="s">
        <v>46</v>
      </c>
      <c r="I891" s="7" t="s">
        <v>33</v>
      </c>
      <c r="J891" s="7" t="s">
        <v>10</v>
      </c>
      <c r="K891" s="7" t="s">
        <v>33</v>
      </c>
      <c r="L891" s="7" t="s">
        <v>56</v>
      </c>
      <c r="M891" s="7" t="s">
        <v>33</v>
      </c>
      <c r="N891" s="7" t="s">
        <v>33</v>
      </c>
      <c r="O891" s="7" t="s">
        <v>33</v>
      </c>
      <c r="P891" s="11" t="str">
        <f t="shared" si="26"/>
        <v>平</v>
      </c>
      <c r="Q891" s="11" t="str">
        <f t="shared" si="27"/>
        <v>胜</v>
      </c>
    </row>
    <row r="892" spans="4:17" x14ac:dyDescent="0.15">
      <c r="D892" s="7" t="s">
        <v>6</v>
      </c>
      <c r="E892" s="7" t="s">
        <v>1624</v>
      </c>
      <c r="F892" s="7" t="s">
        <v>1624</v>
      </c>
      <c r="G892" s="7" t="s">
        <v>1618</v>
      </c>
      <c r="H892" s="7" t="s">
        <v>52</v>
      </c>
      <c r="I892" s="7" t="s">
        <v>10</v>
      </c>
      <c r="J892" s="7" t="s">
        <v>10</v>
      </c>
      <c r="K892" s="7" t="s">
        <v>33</v>
      </c>
      <c r="L892" s="7" t="s">
        <v>42</v>
      </c>
      <c r="M892" s="7" t="s">
        <v>10</v>
      </c>
      <c r="N892" s="7" t="s">
        <v>10</v>
      </c>
      <c r="O892" s="7" t="s">
        <v>33</v>
      </c>
      <c r="P892" s="11" t="str">
        <f t="shared" si="26"/>
        <v>平</v>
      </c>
      <c r="Q892" s="11" t="str">
        <f t="shared" si="27"/>
        <v>平</v>
      </c>
    </row>
    <row r="893" spans="4:17" x14ac:dyDescent="0.15">
      <c r="D893" s="7" t="s">
        <v>6</v>
      </c>
      <c r="E893" s="7" t="s">
        <v>1625</v>
      </c>
      <c r="F893" s="7" t="s">
        <v>1625</v>
      </c>
      <c r="G893" s="7" t="s">
        <v>1626</v>
      </c>
      <c r="H893" s="7" t="s">
        <v>37</v>
      </c>
      <c r="I893" s="7" t="s">
        <v>9</v>
      </c>
      <c r="J893" s="7" t="s">
        <v>50</v>
      </c>
      <c r="K893" s="7" t="s">
        <v>33</v>
      </c>
      <c r="L893" s="7" t="s">
        <v>38</v>
      </c>
      <c r="M893" s="7" t="s">
        <v>33</v>
      </c>
      <c r="N893" s="7" t="s">
        <v>33</v>
      </c>
      <c r="O893" s="7" t="s">
        <v>33</v>
      </c>
      <c r="P893" s="11" t="str">
        <f t="shared" si="26"/>
        <v>胜</v>
      </c>
      <c r="Q893" s="11" t="str">
        <f t="shared" si="27"/>
        <v>胜</v>
      </c>
    </row>
    <row r="894" spans="4:17" x14ac:dyDescent="0.15">
      <c r="D894" s="7" t="s">
        <v>6</v>
      </c>
      <c r="E894" s="7" t="s">
        <v>1627</v>
      </c>
      <c r="F894" s="7" t="s">
        <v>1627</v>
      </c>
      <c r="G894" s="7" t="s">
        <v>1628</v>
      </c>
      <c r="H894" s="7" t="s">
        <v>44</v>
      </c>
      <c r="I894" s="7" t="s">
        <v>10</v>
      </c>
      <c r="J894" s="7" t="s">
        <v>10</v>
      </c>
      <c r="K894" s="7" t="s">
        <v>33</v>
      </c>
      <c r="L894" s="7" t="s">
        <v>36</v>
      </c>
      <c r="M894" s="7" t="s">
        <v>33</v>
      </c>
      <c r="N894" s="7" t="s">
        <v>33</v>
      </c>
      <c r="O894" s="7" t="s">
        <v>33</v>
      </c>
      <c r="P894" s="11" t="str">
        <f t="shared" si="26"/>
        <v>胜</v>
      </c>
      <c r="Q894" s="11" t="str">
        <f t="shared" si="27"/>
        <v>胜</v>
      </c>
    </row>
    <row r="895" spans="4:17" x14ac:dyDescent="0.15">
      <c r="D895" s="7" t="s">
        <v>6</v>
      </c>
      <c r="E895" s="7" t="s">
        <v>1629</v>
      </c>
      <c r="F895" s="7" t="s">
        <v>1629</v>
      </c>
      <c r="G895" s="7" t="s">
        <v>1630</v>
      </c>
      <c r="H895" s="7" t="s">
        <v>52</v>
      </c>
      <c r="I895" s="7" t="s">
        <v>10</v>
      </c>
      <c r="J895" s="7" t="s">
        <v>10</v>
      </c>
      <c r="K895" s="7" t="s">
        <v>33</v>
      </c>
      <c r="L895" s="7" t="s">
        <v>57</v>
      </c>
      <c r="M895" s="7" t="s">
        <v>33</v>
      </c>
      <c r="N895" s="7" t="s">
        <v>9</v>
      </c>
      <c r="O895" s="7" t="s">
        <v>33</v>
      </c>
      <c r="P895" s="11" t="str">
        <f t="shared" si="26"/>
        <v>胜</v>
      </c>
      <c r="Q895" s="11" t="str">
        <f t="shared" si="27"/>
        <v>负</v>
      </c>
    </row>
    <row r="896" spans="4:17" x14ac:dyDescent="0.15">
      <c r="D896" s="7" t="s">
        <v>6</v>
      </c>
      <c r="E896" s="7" t="s">
        <v>1631</v>
      </c>
      <c r="F896" s="7" t="s">
        <v>1631</v>
      </c>
      <c r="G896" s="7" t="s">
        <v>1630</v>
      </c>
      <c r="H896" s="7" t="s">
        <v>53</v>
      </c>
      <c r="I896" s="7" t="s">
        <v>9</v>
      </c>
      <c r="J896" s="7" t="s">
        <v>39</v>
      </c>
      <c r="K896" s="7" t="s">
        <v>33</v>
      </c>
      <c r="L896" s="7" t="s">
        <v>40</v>
      </c>
      <c r="M896" s="7" t="s">
        <v>33</v>
      </c>
      <c r="N896" s="7" t="s">
        <v>10</v>
      </c>
      <c r="O896" s="7" t="s">
        <v>33</v>
      </c>
      <c r="P896" s="11" t="str">
        <f t="shared" si="26"/>
        <v>胜</v>
      </c>
      <c r="Q896" s="11" t="str">
        <f t="shared" si="27"/>
        <v>胜</v>
      </c>
    </row>
    <row r="897" spans="4:17" x14ac:dyDescent="0.15">
      <c r="D897" s="7" t="s">
        <v>6</v>
      </c>
      <c r="E897" s="7" t="s">
        <v>1632</v>
      </c>
      <c r="F897" s="7" t="s">
        <v>1632</v>
      </c>
      <c r="G897" s="7" t="s">
        <v>1633</v>
      </c>
      <c r="H897" s="7" t="s">
        <v>36</v>
      </c>
      <c r="I897" s="7" t="s">
        <v>10</v>
      </c>
      <c r="J897" s="7" t="s">
        <v>10</v>
      </c>
      <c r="K897" s="7" t="s">
        <v>33</v>
      </c>
      <c r="L897" s="7" t="s">
        <v>49</v>
      </c>
      <c r="M897" s="7" t="s">
        <v>9</v>
      </c>
      <c r="N897" s="7" t="s">
        <v>55</v>
      </c>
      <c r="O897" s="7" t="s">
        <v>33</v>
      </c>
      <c r="P897" s="11" t="str">
        <f t="shared" si="26"/>
        <v>负</v>
      </c>
      <c r="Q897" s="11" t="str">
        <f t="shared" si="27"/>
        <v>负</v>
      </c>
    </row>
    <row r="898" spans="4:17" x14ac:dyDescent="0.15">
      <c r="D898" s="7" t="s">
        <v>6</v>
      </c>
      <c r="E898" s="7" t="s">
        <v>1634</v>
      </c>
      <c r="F898" s="7" t="s">
        <v>1634</v>
      </c>
      <c r="G898" s="7" t="s">
        <v>1635</v>
      </c>
      <c r="H898" s="7" t="s">
        <v>38</v>
      </c>
      <c r="I898" s="7" t="s">
        <v>10</v>
      </c>
      <c r="J898" s="7" t="s">
        <v>9</v>
      </c>
      <c r="K898" s="7" t="s">
        <v>33</v>
      </c>
      <c r="L898" s="7" t="s">
        <v>44</v>
      </c>
      <c r="M898" s="7" t="s">
        <v>10</v>
      </c>
      <c r="N898" s="7" t="s">
        <v>10</v>
      </c>
      <c r="O898" s="7" t="s">
        <v>33</v>
      </c>
      <c r="P898" s="11" t="str">
        <f t="shared" si="26"/>
        <v>平</v>
      </c>
      <c r="Q898" s="11" t="str">
        <f t="shared" si="27"/>
        <v>胜</v>
      </c>
    </row>
    <row r="899" spans="4:17" x14ac:dyDescent="0.15">
      <c r="D899" s="7" t="s">
        <v>6</v>
      </c>
      <c r="E899" s="7" t="s">
        <v>1636</v>
      </c>
      <c r="F899" s="7" t="s">
        <v>1636</v>
      </c>
      <c r="G899" s="7" t="s">
        <v>1637</v>
      </c>
      <c r="H899" s="7" t="s">
        <v>57</v>
      </c>
      <c r="I899" s="7" t="s">
        <v>9</v>
      </c>
      <c r="J899" s="7" t="s">
        <v>50</v>
      </c>
      <c r="K899" s="7" t="s">
        <v>33</v>
      </c>
      <c r="L899" s="7" t="s">
        <v>48</v>
      </c>
      <c r="M899" s="7" t="s">
        <v>10</v>
      </c>
      <c r="N899" s="7" t="s">
        <v>9</v>
      </c>
      <c r="O899" s="7" t="s">
        <v>33</v>
      </c>
      <c r="P899" s="11" t="str">
        <f t="shared" si="26"/>
        <v>胜</v>
      </c>
      <c r="Q899" s="11" t="str">
        <f t="shared" si="27"/>
        <v>胜</v>
      </c>
    </row>
    <row r="900" spans="4:17" x14ac:dyDescent="0.15">
      <c r="D900" s="7" t="s">
        <v>6</v>
      </c>
      <c r="E900" s="7" t="s">
        <v>1638</v>
      </c>
      <c r="F900" s="7" t="s">
        <v>1638</v>
      </c>
      <c r="G900" s="7" t="s">
        <v>1635</v>
      </c>
      <c r="H900" s="7" t="s">
        <v>52</v>
      </c>
      <c r="I900" s="7" t="s">
        <v>10</v>
      </c>
      <c r="J900" s="7" t="s">
        <v>39</v>
      </c>
      <c r="K900" s="7" t="s">
        <v>33</v>
      </c>
      <c r="L900" s="7" t="s">
        <v>56</v>
      </c>
      <c r="M900" s="7" t="s">
        <v>10</v>
      </c>
      <c r="N900" s="7" t="s">
        <v>39</v>
      </c>
      <c r="O900" s="7" t="s">
        <v>33</v>
      </c>
      <c r="P900" s="11" t="str">
        <f t="shared" si="26"/>
        <v>平</v>
      </c>
      <c r="Q900" s="11" t="str">
        <f t="shared" si="27"/>
        <v>平</v>
      </c>
    </row>
    <row r="901" spans="4:17" x14ac:dyDescent="0.15">
      <c r="D901" s="7" t="s">
        <v>6</v>
      </c>
      <c r="E901" s="7" t="s">
        <v>1639</v>
      </c>
      <c r="F901" s="7" t="s">
        <v>1639</v>
      </c>
      <c r="G901" s="7" t="s">
        <v>1635</v>
      </c>
      <c r="H901" s="7" t="s">
        <v>42</v>
      </c>
      <c r="I901" s="7" t="s">
        <v>10</v>
      </c>
      <c r="J901" s="7" t="s">
        <v>10</v>
      </c>
      <c r="K901" s="7" t="s">
        <v>33</v>
      </c>
      <c r="L901" s="7" t="s">
        <v>53</v>
      </c>
      <c r="M901" s="7" t="s">
        <v>10</v>
      </c>
      <c r="N901" s="7" t="s">
        <v>10</v>
      </c>
      <c r="O901" s="7" t="s">
        <v>33</v>
      </c>
      <c r="P901" s="11" t="str">
        <f t="shared" si="26"/>
        <v>平</v>
      </c>
      <c r="Q901" s="11" t="str">
        <f t="shared" si="27"/>
        <v>平</v>
      </c>
    </row>
    <row r="902" spans="4:17" x14ac:dyDescent="0.15">
      <c r="D902" s="7" t="s">
        <v>6</v>
      </c>
      <c r="E902" s="7" t="s">
        <v>1640</v>
      </c>
      <c r="F902" s="7" t="s">
        <v>1640</v>
      </c>
      <c r="G902" s="7" t="s">
        <v>1637</v>
      </c>
      <c r="H902" s="7" t="s">
        <v>40</v>
      </c>
      <c r="I902" s="7" t="s">
        <v>33</v>
      </c>
      <c r="J902" s="7" t="s">
        <v>39</v>
      </c>
      <c r="K902" s="7" t="s">
        <v>33</v>
      </c>
      <c r="L902" s="7" t="s">
        <v>54</v>
      </c>
      <c r="M902" s="7" t="s">
        <v>33</v>
      </c>
      <c r="N902" s="7" t="s">
        <v>33</v>
      </c>
      <c r="O902" s="7" t="s">
        <v>33</v>
      </c>
      <c r="P902" s="11" t="str">
        <f t="shared" si="26"/>
        <v>平</v>
      </c>
      <c r="Q902" s="11" t="str">
        <f t="shared" si="27"/>
        <v>胜</v>
      </c>
    </row>
    <row r="903" spans="4:17" x14ac:dyDescent="0.15">
      <c r="D903" s="7" t="s">
        <v>6</v>
      </c>
      <c r="E903" s="7" t="s">
        <v>1641</v>
      </c>
      <c r="F903" s="7" t="s">
        <v>1641</v>
      </c>
      <c r="G903" s="7" t="s">
        <v>1642</v>
      </c>
      <c r="H903" s="7" t="s">
        <v>41</v>
      </c>
      <c r="I903" s="7" t="s">
        <v>33</v>
      </c>
      <c r="J903" s="7" t="s">
        <v>10</v>
      </c>
      <c r="K903" s="7" t="s">
        <v>33</v>
      </c>
      <c r="L903" s="7" t="s">
        <v>46</v>
      </c>
      <c r="M903" s="7" t="s">
        <v>10</v>
      </c>
      <c r="N903" s="7" t="s">
        <v>9</v>
      </c>
      <c r="O903" s="7" t="s">
        <v>33</v>
      </c>
      <c r="P903" s="11" t="str">
        <f t="shared" si="26"/>
        <v>负</v>
      </c>
      <c r="Q903" s="11" t="str">
        <f t="shared" si="27"/>
        <v>负</v>
      </c>
    </row>
    <row r="904" spans="4:17" x14ac:dyDescent="0.15">
      <c r="D904" s="7" t="s">
        <v>6</v>
      </c>
      <c r="E904" s="7" t="s">
        <v>1643</v>
      </c>
      <c r="F904" s="7" t="s">
        <v>1643</v>
      </c>
      <c r="G904" s="7" t="s">
        <v>1644</v>
      </c>
      <c r="H904" s="7" t="s">
        <v>32</v>
      </c>
      <c r="I904" s="11" t="s">
        <v>33</v>
      </c>
      <c r="J904" s="7" t="s">
        <v>33</v>
      </c>
      <c r="K904" s="7" t="s">
        <v>33</v>
      </c>
      <c r="L904" s="7" t="s">
        <v>37</v>
      </c>
      <c r="M904" s="7" t="s">
        <v>33</v>
      </c>
      <c r="N904" s="7" t="s">
        <v>10</v>
      </c>
      <c r="O904" s="7" t="s">
        <v>33</v>
      </c>
      <c r="P904" s="11" t="str">
        <f t="shared" si="26"/>
        <v>平</v>
      </c>
      <c r="Q904" s="11" t="str">
        <f t="shared" si="27"/>
        <v>负</v>
      </c>
    </row>
    <row r="905" spans="4:17" x14ac:dyDescent="0.15">
      <c r="D905" s="7" t="s">
        <v>6</v>
      </c>
      <c r="E905" s="7" t="s">
        <v>1645</v>
      </c>
      <c r="F905" s="7" t="s">
        <v>1645</v>
      </c>
      <c r="G905" s="7" t="s">
        <v>1646</v>
      </c>
      <c r="H905" s="7" t="s">
        <v>46</v>
      </c>
      <c r="I905" s="7" t="s">
        <v>9</v>
      </c>
      <c r="J905" s="7" t="s">
        <v>39</v>
      </c>
      <c r="K905" s="7" t="s">
        <v>33</v>
      </c>
      <c r="L905" s="7" t="s">
        <v>42</v>
      </c>
      <c r="M905" s="7" t="s">
        <v>33</v>
      </c>
      <c r="N905" s="7" t="s">
        <v>33</v>
      </c>
      <c r="O905" s="7" t="s">
        <v>33</v>
      </c>
      <c r="P905" s="11" t="str">
        <f t="shared" si="26"/>
        <v>胜</v>
      </c>
      <c r="Q905" s="11" t="str">
        <f t="shared" si="27"/>
        <v>胜</v>
      </c>
    </row>
    <row r="906" spans="4:17" x14ac:dyDescent="0.15">
      <c r="D906" s="7" t="s">
        <v>6</v>
      </c>
      <c r="E906" s="7" t="s">
        <v>1647</v>
      </c>
      <c r="F906" s="7" t="s">
        <v>1647</v>
      </c>
      <c r="G906" s="7" t="s">
        <v>1648</v>
      </c>
      <c r="H906" s="7" t="s">
        <v>48</v>
      </c>
      <c r="I906" s="7" t="s">
        <v>10</v>
      </c>
      <c r="J906" s="7" t="s">
        <v>10</v>
      </c>
      <c r="K906" s="7" t="s">
        <v>33</v>
      </c>
      <c r="L906" s="7" t="s">
        <v>40</v>
      </c>
      <c r="M906" s="7" t="s">
        <v>33</v>
      </c>
      <c r="N906" s="7" t="s">
        <v>33</v>
      </c>
      <c r="O906" s="7" t="s">
        <v>33</v>
      </c>
      <c r="P906" s="11" t="str">
        <f t="shared" si="26"/>
        <v>胜</v>
      </c>
      <c r="Q906" s="11" t="str">
        <f t="shared" si="27"/>
        <v>胜</v>
      </c>
    </row>
    <row r="907" spans="4:17" x14ac:dyDescent="0.15">
      <c r="D907" s="7" t="s">
        <v>6</v>
      </c>
      <c r="E907" s="7" t="s">
        <v>1649</v>
      </c>
      <c r="F907" s="7" t="s">
        <v>1649</v>
      </c>
      <c r="G907" s="7" t="s">
        <v>1648</v>
      </c>
      <c r="H907" s="7" t="s">
        <v>56</v>
      </c>
      <c r="I907" s="7" t="s">
        <v>10</v>
      </c>
      <c r="J907" s="7" t="s">
        <v>10</v>
      </c>
      <c r="K907" s="7" t="s">
        <v>33</v>
      </c>
      <c r="L907" s="7" t="s">
        <v>32</v>
      </c>
      <c r="M907" s="7" t="s">
        <v>10</v>
      </c>
      <c r="N907" s="7" t="s">
        <v>10</v>
      </c>
      <c r="O907" s="7" t="s">
        <v>33</v>
      </c>
      <c r="P907" s="11" t="str">
        <f t="shared" si="26"/>
        <v>平</v>
      </c>
      <c r="Q907" s="11" t="str">
        <f t="shared" si="27"/>
        <v>平</v>
      </c>
    </row>
    <row r="908" spans="4:17" x14ac:dyDescent="0.15">
      <c r="D908" s="7" t="s">
        <v>6</v>
      </c>
      <c r="E908" s="7" t="s">
        <v>1650</v>
      </c>
      <c r="F908" s="7" t="s">
        <v>1650</v>
      </c>
      <c r="G908" s="7" t="s">
        <v>1648</v>
      </c>
      <c r="H908" s="7" t="s">
        <v>44</v>
      </c>
      <c r="I908" s="7" t="s">
        <v>33</v>
      </c>
      <c r="J908" s="7" t="s">
        <v>33</v>
      </c>
      <c r="K908" s="7" t="s">
        <v>33</v>
      </c>
      <c r="L908" s="7" t="s">
        <v>57</v>
      </c>
      <c r="M908" s="7" t="s">
        <v>33</v>
      </c>
      <c r="N908" s="7" t="s">
        <v>10</v>
      </c>
      <c r="O908" s="7" t="s">
        <v>33</v>
      </c>
      <c r="P908" s="11" t="str">
        <f t="shared" si="26"/>
        <v>平</v>
      </c>
      <c r="Q908" s="11" t="str">
        <f t="shared" si="27"/>
        <v>负</v>
      </c>
    </row>
    <row r="909" spans="4:17" x14ac:dyDescent="0.15">
      <c r="D909" s="7" t="s">
        <v>6</v>
      </c>
      <c r="E909" s="7" t="s">
        <v>1651</v>
      </c>
      <c r="F909" s="7" t="s">
        <v>1651</v>
      </c>
      <c r="G909" s="7" t="s">
        <v>1648</v>
      </c>
      <c r="H909" s="7" t="s">
        <v>37</v>
      </c>
      <c r="I909" s="7" t="s">
        <v>33</v>
      </c>
      <c r="J909" s="7" t="s">
        <v>9</v>
      </c>
      <c r="K909" s="7" t="s">
        <v>33</v>
      </c>
      <c r="L909" s="7" t="s">
        <v>36</v>
      </c>
      <c r="M909" s="7" t="s">
        <v>33</v>
      </c>
      <c r="N909" s="7" t="s">
        <v>33</v>
      </c>
      <c r="O909" s="7" t="s">
        <v>33</v>
      </c>
      <c r="P909" s="11" t="str">
        <f t="shared" ref="P909:P972" si="28">IF(I909=M909,"平",IF(I909&gt;M909,"胜","负"))</f>
        <v>平</v>
      </c>
      <c r="Q909" s="11" t="str">
        <f t="shared" ref="Q909:Q972" si="29">IF(J909=N909,"平",IF(J909&gt;N909,"胜","负"))</f>
        <v>胜</v>
      </c>
    </row>
    <row r="910" spans="4:17" x14ac:dyDescent="0.15">
      <c r="D910" s="7" t="s">
        <v>6</v>
      </c>
      <c r="E910" s="7" t="s">
        <v>1652</v>
      </c>
      <c r="F910" s="7" t="s">
        <v>1652</v>
      </c>
      <c r="G910" s="7" t="s">
        <v>1648</v>
      </c>
      <c r="H910" s="7" t="s">
        <v>53</v>
      </c>
      <c r="I910" s="7" t="s">
        <v>50</v>
      </c>
      <c r="J910" s="7" t="s">
        <v>50</v>
      </c>
      <c r="K910" s="7" t="s">
        <v>33</v>
      </c>
      <c r="L910" s="7" t="s">
        <v>52</v>
      </c>
      <c r="M910" s="7" t="s">
        <v>10</v>
      </c>
      <c r="N910" s="7" t="s">
        <v>10</v>
      </c>
      <c r="O910" s="7" t="s">
        <v>33</v>
      </c>
      <c r="P910" s="11" t="str">
        <f t="shared" si="28"/>
        <v>胜</v>
      </c>
      <c r="Q910" s="11" t="str">
        <f t="shared" si="29"/>
        <v>胜</v>
      </c>
    </row>
    <row r="911" spans="4:17" x14ac:dyDescent="0.15">
      <c r="D911" s="7" t="s">
        <v>6</v>
      </c>
      <c r="E911" s="7" t="s">
        <v>1653</v>
      </c>
      <c r="F911" s="7" t="s">
        <v>1653</v>
      </c>
      <c r="G911" s="7" t="s">
        <v>1654</v>
      </c>
      <c r="H911" s="7" t="s">
        <v>49</v>
      </c>
      <c r="I911" s="7" t="s">
        <v>33</v>
      </c>
      <c r="J911" s="7" t="s">
        <v>33</v>
      </c>
      <c r="K911" s="7" t="s">
        <v>33</v>
      </c>
      <c r="L911" s="7" t="s">
        <v>38</v>
      </c>
      <c r="M911" s="7" t="s">
        <v>33</v>
      </c>
      <c r="N911" s="7" t="s">
        <v>33</v>
      </c>
      <c r="O911" s="7" t="s">
        <v>33</v>
      </c>
      <c r="P911" s="11" t="str">
        <f t="shared" si="28"/>
        <v>平</v>
      </c>
      <c r="Q911" s="11" t="str">
        <f t="shared" si="29"/>
        <v>平</v>
      </c>
    </row>
    <row r="912" spans="4:17" x14ac:dyDescent="0.15">
      <c r="D912" s="7" t="s">
        <v>6</v>
      </c>
      <c r="E912" s="7" t="s">
        <v>1655</v>
      </c>
      <c r="F912" s="7" t="s">
        <v>1655</v>
      </c>
      <c r="G912" s="7" t="s">
        <v>1656</v>
      </c>
      <c r="H912" s="7" t="s">
        <v>54</v>
      </c>
      <c r="I912" s="7" t="s">
        <v>10</v>
      </c>
      <c r="J912" s="7" t="s">
        <v>39</v>
      </c>
      <c r="K912" s="7" t="s">
        <v>33</v>
      </c>
      <c r="L912" s="7" t="s">
        <v>41</v>
      </c>
      <c r="M912" s="7" t="s">
        <v>10</v>
      </c>
      <c r="N912" s="7" t="s">
        <v>10</v>
      </c>
      <c r="O912" s="7" t="s">
        <v>33</v>
      </c>
      <c r="P912" s="11" t="str">
        <f t="shared" si="28"/>
        <v>平</v>
      </c>
      <c r="Q912" s="11" t="str">
        <f t="shared" si="29"/>
        <v>胜</v>
      </c>
    </row>
    <row r="913" spans="4:17" x14ac:dyDescent="0.15">
      <c r="D913" s="7" t="s">
        <v>6</v>
      </c>
      <c r="E913" s="7" t="s">
        <v>1657</v>
      </c>
      <c r="F913" s="7" t="s">
        <v>1657</v>
      </c>
      <c r="G913" s="7" t="s">
        <v>1658</v>
      </c>
      <c r="H913" s="7" t="s">
        <v>42</v>
      </c>
      <c r="I913" s="7" t="s">
        <v>33</v>
      </c>
      <c r="J913" s="7" t="s">
        <v>10</v>
      </c>
      <c r="K913" s="7" t="s">
        <v>33</v>
      </c>
      <c r="L913" s="7" t="s">
        <v>36</v>
      </c>
      <c r="M913" s="7" t="s">
        <v>33</v>
      </c>
      <c r="N913" s="7" t="s">
        <v>10</v>
      </c>
      <c r="O913" s="7" t="s">
        <v>33</v>
      </c>
      <c r="P913" s="11" t="str">
        <f t="shared" si="28"/>
        <v>平</v>
      </c>
      <c r="Q913" s="11" t="str">
        <f t="shared" si="29"/>
        <v>平</v>
      </c>
    </row>
    <row r="914" spans="4:17" x14ac:dyDescent="0.15">
      <c r="D914" s="7" t="s">
        <v>6</v>
      </c>
      <c r="E914" s="7" t="s">
        <v>1659</v>
      </c>
      <c r="F914" s="7" t="s">
        <v>1659</v>
      </c>
      <c r="G914" s="7" t="s">
        <v>1658</v>
      </c>
      <c r="H914" s="7" t="s">
        <v>57</v>
      </c>
      <c r="I914" s="7" t="s">
        <v>33</v>
      </c>
      <c r="J914" s="7" t="s">
        <v>33</v>
      </c>
      <c r="K914" s="7" t="s">
        <v>33</v>
      </c>
      <c r="L914" s="7" t="s">
        <v>46</v>
      </c>
      <c r="M914" s="7" t="s">
        <v>10</v>
      </c>
      <c r="N914" s="7" t="s">
        <v>9</v>
      </c>
      <c r="O914" s="7" t="s">
        <v>33</v>
      </c>
      <c r="P914" s="11" t="str">
        <f t="shared" si="28"/>
        <v>负</v>
      </c>
      <c r="Q914" s="11" t="str">
        <f t="shared" si="29"/>
        <v>负</v>
      </c>
    </row>
    <row r="915" spans="4:17" x14ac:dyDescent="0.15">
      <c r="D915" s="7" t="s">
        <v>6</v>
      </c>
      <c r="E915" s="7" t="s">
        <v>1660</v>
      </c>
      <c r="F915" s="7" t="s">
        <v>1660</v>
      </c>
      <c r="G915" s="7" t="s">
        <v>1661</v>
      </c>
      <c r="H915" s="7" t="s">
        <v>57</v>
      </c>
      <c r="I915" s="7" t="s">
        <v>10</v>
      </c>
      <c r="J915" s="7" t="s">
        <v>9</v>
      </c>
      <c r="K915" s="7" t="s">
        <v>33</v>
      </c>
      <c r="L915" s="7" t="s">
        <v>49</v>
      </c>
      <c r="M915" s="7" t="s">
        <v>10</v>
      </c>
      <c r="N915" s="7" t="s">
        <v>9</v>
      </c>
      <c r="O915" s="7" t="s">
        <v>33</v>
      </c>
      <c r="P915" s="11" t="str">
        <f t="shared" si="28"/>
        <v>平</v>
      </c>
      <c r="Q915" s="11" t="str">
        <f t="shared" si="29"/>
        <v>平</v>
      </c>
    </row>
    <row r="916" spans="4:17" x14ac:dyDescent="0.15">
      <c r="D916" s="7" t="s">
        <v>6</v>
      </c>
      <c r="E916" s="7" t="s">
        <v>1662</v>
      </c>
      <c r="F916" s="7" t="s">
        <v>1662</v>
      </c>
      <c r="G916" s="7" t="s">
        <v>1663</v>
      </c>
      <c r="H916" s="7" t="s">
        <v>36</v>
      </c>
      <c r="I916" s="7" t="s">
        <v>33</v>
      </c>
      <c r="J916" s="7" t="s">
        <v>33</v>
      </c>
      <c r="K916" s="7" t="s">
        <v>33</v>
      </c>
      <c r="L916" s="7" t="s">
        <v>48</v>
      </c>
      <c r="M916" s="7" t="s">
        <v>33</v>
      </c>
      <c r="N916" s="7" t="s">
        <v>10</v>
      </c>
      <c r="O916" s="7" t="s">
        <v>33</v>
      </c>
      <c r="P916" s="11" t="str">
        <f t="shared" si="28"/>
        <v>平</v>
      </c>
      <c r="Q916" s="11" t="str">
        <f t="shared" si="29"/>
        <v>负</v>
      </c>
    </row>
    <row r="917" spans="4:17" x14ac:dyDescent="0.15">
      <c r="D917" s="7" t="s">
        <v>6</v>
      </c>
      <c r="E917" s="7" t="s">
        <v>1664</v>
      </c>
      <c r="F917" s="7" t="s">
        <v>1664</v>
      </c>
      <c r="G917" s="7" t="s">
        <v>1663</v>
      </c>
      <c r="H917" s="7" t="s">
        <v>38</v>
      </c>
      <c r="I917" s="7" t="s">
        <v>33</v>
      </c>
      <c r="J917" s="7" t="s">
        <v>33</v>
      </c>
      <c r="K917" s="7" t="s">
        <v>33</v>
      </c>
      <c r="L917" s="7" t="s">
        <v>54</v>
      </c>
      <c r="M917" s="7" t="s">
        <v>10</v>
      </c>
      <c r="N917" s="7" t="s">
        <v>10</v>
      </c>
      <c r="O917" s="7" t="s">
        <v>33</v>
      </c>
      <c r="P917" s="11" t="str">
        <f t="shared" si="28"/>
        <v>负</v>
      </c>
      <c r="Q917" s="11" t="str">
        <f t="shared" si="29"/>
        <v>负</v>
      </c>
    </row>
    <row r="918" spans="4:17" x14ac:dyDescent="0.15">
      <c r="D918" s="7" t="s">
        <v>6</v>
      </c>
      <c r="E918" s="7" t="s">
        <v>1665</v>
      </c>
      <c r="F918" s="7" t="s">
        <v>1665</v>
      </c>
      <c r="G918" s="7" t="s">
        <v>1663</v>
      </c>
      <c r="H918" s="7" t="s">
        <v>52</v>
      </c>
      <c r="I918" s="7" t="s">
        <v>33</v>
      </c>
      <c r="J918" s="7" t="s">
        <v>33</v>
      </c>
      <c r="K918" s="7" t="s">
        <v>33</v>
      </c>
      <c r="L918" s="7" t="s">
        <v>46</v>
      </c>
      <c r="M918" s="7" t="s">
        <v>33</v>
      </c>
      <c r="N918" s="7" t="s">
        <v>10</v>
      </c>
      <c r="O918" s="7" t="s">
        <v>33</v>
      </c>
      <c r="P918" s="11" t="str">
        <f t="shared" si="28"/>
        <v>平</v>
      </c>
      <c r="Q918" s="11" t="str">
        <f t="shared" si="29"/>
        <v>负</v>
      </c>
    </row>
    <row r="919" spans="4:17" x14ac:dyDescent="0.15">
      <c r="D919" s="7" t="s">
        <v>6</v>
      </c>
      <c r="E919" s="7" t="s">
        <v>1666</v>
      </c>
      <c r="F919" s="7" t="s">
        <v>1666</v>
      </c>
      <c r="G919" s="7" t="s">
        <v>1663</v>
      </c>
      <c r="H919" s="7" t="s">
        <v>41</v>
      </c>
      <c r="I919" s="7" t="s">
        <v>33</v>
      </c>
      <c r="J919" s="7" t="s">
        <v>33</v>
      </c>
      <c r="K919" s="7" t="s">
        <v>33</v>
      </c>
      <c r="L919" s="7" t="s">
        <v>32</v>
      </c>
      <c r="M919" s="7" t="s">
        <v>33</v>
      </c>
      <c r="N919" s="7" t="s">
        <v>33</v>
      </c>
      <c r="O919" s="7" t="s">
        <v>33</v>
      </c>
      <c r="P919" s="11" t="str">
        <f t="shared" si="28"/>
        <v>平</v>
      </c>
      <c r="Q919" s="11" t="str">
        <f t="shared" si="29"/>
        <v>平</v>
      </c>
    </row>
    <row r="920" spans="4:17" x14ac:dyDescent="0.15">
      <c r="D920" s="7" t="s">
        <v>6</v>
      </c>
      <c r="E920" s="7" t="s">
        <v>1667</v>
      </c>
      <c r="F920" s="7" t="s">
        <v>1667</v>
      </c>
      <c r="G920" s="7" t="s">
        <v>1663</v>
      </c>
      <c r="H920" s="7" t="s">
        <v>53</v>
      </c>
      <c r="I920" s="7" t="s">
        <v>33</v>
      </c>
      <c r="J920" s="7" t="s">
        <v>33</v>
      </c>
      <c r="K920" s="7" t="s">
        <v>33</v>
      </c>
      <c r="L920" s="7" t="s">
        <v>56</v>
      </c>
      <c r="M920" s="7" t="s">
        <v>33</v>
      </c>
      <c r="N920" s="7" t="s">
        <v>33</v>
      </c>
      <c r="O920" s="7" t="s">
        <v>33</v>
      </c>
      <c r="P920" s="11" t="str">
        <f t="shared" si="28"/>
        <v>平</v>
      </c>
      <c r="Q920" s="11" t="str">
        <f t="shared" si="29"/>
        <v>平</v>
      </c>
    </row>
    <row r="921" spans="4:17" x14ac:dyDescent="0.15">
      <c r="D921" s="7" t="s">
        <v>6</v>
      </c>
      <c r="E921" s="7" t="s">
        <v>1668</v>
      </c>
      <c r="F921" s="7" t="s">
        <v>1668</v>
      </c>
      <c r="G921" s="7" t="s">
        <v>1669</v>
      </c>
      <c r="H921" s="7" t="s">
        <v>40</v>
      </c>
      <c r="I921" s="7" t="s">
        <v>33</v>
      </c>
      <c r="J921" s="7" t="s">
        <v>33</v>
      </c>
      <c r="K921" s="7" t="s">
        <v>33</v>
      </c>
      <c r="L921" s="7" t="s">
        <v>37</v>
      </c>
      <c r="M921" s="7" t="s">
        <v>10</v>
      </c>
      <c r="N921" s="7" t="s">
        <v>10</v>
      </c>
      <c r="O921" s="7" t="s">
        <v>33</v>
      </c>
      <c r="P921" s="11" t="str">
        <f t="shared" si="28"/>
        <v>负</v>
      </c>
      <c r="Q921" s="11" t="str">
        <f t="shared" si="29"/>
        <v>负</v>
      </c>
    </row>
    <row r="922" spans="4:17" x14ac:dyDescent="0.15">
      <c r="D922" s="7" t="s">
        <v>6</v>
      </c>
      <c r="E922" s="7" t="s">
        <v>1670</v>
      </c>
      <c r="F922" s="7" t="s">
        <v>1670</v>
      </c>
      <c r="G922" s="7" t="s">
        <v>1671</v>
      </c>
      <c r="H922" s="7" t="s">
        <v>42</v>
      </c>
      <c r="I922" s="7" t="s">
        <v>10</v>
      </c>
      <c r="J922" s="7" t="s">
        <v>39</v>
      </c>
      <c r="K922" s="7" t="s">
        <v>33</v>
      </c>
      <c r="L922" s="7" t="s">
        <v>44</v>
      </c>
      <c r="M922" s="7" t="s">
        <v>10</v>
      </c>
      <c r="N922" s="7" t="s">
        <v>9</v>
      </c>
      <c r="O922" s="7" t="s">
        <v>33</v>
      </c>
      <c r="P922" s="11" t="str">
        <f t="shared" si="28"/>
        <v>平</v>
      </c>
      <c r="Q922" s="11" t="str">
        <f t="shared" si="29"/>
        <v>胜</v>
      </c>
    </row>
    <row r="923" spans="4:17" x14ac:dyDescent="0.15">
      <c r="D923" s="7" t="s">
        <v>6</v>
      </c>
      <c r="E923" s="7" t="s">
        <v>1672</v>
      </c>
      <c r="F923" s="7" t="s">
        <v>1672</v>
      </c>
      <c r="G923" s="7" t="s">
        <v>1673</v>
      </c>
      <c r="H923" s="7" t="s">
        <v>37</v>
      </c>
      <c r="I923" s="7" t="s">
        <v>33</v>
      </c>
      <c r="J923" s="7" t="s">
        <v>10</v>
      </c>
      <c r="K923" s="7" t="s">
        <v>33</v>
      </c>
      <c r="L923" s="7" t="s">
        <v>57</v>
      </c>
      <c r="M923" s="7" t="s">
        <v>33</v>
      </c>
      <c r="N923" s="7" t="s">
        <v>10</v>
      </c>
      <c r="O923" s="7" t="s">
        <v>33</v>
      </c>
      <c r="P923" s="11" t="str">
        <f t="shared" si="28"/>
        <v>平</v>
      </c>
      <c r="Q923" s="11" t="str">
        <f t="shared" si="29"/>
        <v>平</v>
      </c>
    </row>
    <row r="924" spans="4:17" x14ac:dyDescent="0.15">
      <c r="D924" s="7" t="s">
        <v>6</v>
      </c>
      <c r="E924" s="7" t="s">
        <v>1674</v>
      </c>
      <c r="F924" s="7" t="s">
        <v>1674</v>
      </c>
      <c r="G924" s="7" t="s">
        <v>1675</v>
      </c>
      <c r="H924" s="7" t="s">
        <v>32</v>
      </c>
      <c r="I924" s="11" t="s">
        <v>10</v>
      </c>
      <c r="J924" s="7" t="s">
        <v>9</v>
      </c>
      <c r="K924" s="7" t="s">
        <v>33</v>
      </c>
      <c r="L924" s="7" t="s">
        <v>40</v>
      </c>
      <c r="M924" s="7" t="s">
        <v>10</v>
      </c>
      <c r="N924" s="7" t="s">
        <v>9</v>
      </c>
      <c r="O924" s="7" t="s">
        <v>33</v>
      </c>
      <c r="P924" s="11" t="str">
        <f t="shared" si="28"/>
        <v>平</v>
      </c>
      <c r="Q924" s="11" t="str">
        <f t="shared" si="29"/>
        <v>平</v>
      </c>
    </row>
    <row r="925" spans="4:17" x14ac:dyDescent="0.15">
      <c r="D925" s="7" t="s">
        <v>6</v>
      </c>
      <c r="E925" s="7" t="s">
        <v>1676</v>
      </c>
      <c r="F925" s="7" t="s">
        <v>1676</v>
      </c>
      <c r="G925" s="7" t="s">
        <v>1675</v>
      </c>
      <c r="H925" s="7" t="s">
        <v>54</v>
      </c>
      <c r="I925" s="7" t="s">
        <v>9</v>
      </c>
      <c r="J925" s="7" t="s">
        <v>39</v>
      </c>
      <c r="K925" s="7" t="s">
        <v>33</v>
      </c>
      <c r="L925" s="7" t="s">
        <v>36</v>
      </c>
      <c r="M925" s="7" t="s">
        <v>33</v>
      </c>
      <c r="N925" s="7" t="s">
        <v>33</v>
      </c>
      <c r="O925" s="7" t="s">
        <v>33</v>
      </c>
      <c r="P925" s="11" t="str">
        <f t="shared" si="28"/>
        <v>胜</v>
      </c>
      <c r="Q925" s="11" t="str">
        <f t="shared" si="29"/>
        <v>胜</v>
      </c>
    </row>
    <row r="926" spans="4:17" x14ac:dyDescent="0.15">
      <c r="D926" s="7" t="s">
        <v>6</v>
      </c>
      <c r="E926" s="7" t="s">
        <v>1677</v>
      </c>
      <c r="F926" s="7" t="s">
        <v>1677</v>
      </c>
      <c r="G926" s="7" t="s">
        <v>1678</v>
      </c>
      <c r="H926" s="7" t="s">
        <v>46</v>
      </c>
      <c r="I926" s="7" t="s">
        <v>9</v>
      </c>
      <c r="J926" s="7" t="s">
        <v>39</v>
      </c>
      <c r="K926" s="7" t="s">
        <v>33</v>
      </c>
      <c r="L926" s="7" t="s">
        <v>53</v>
      </c>
      <c r="M926" s="7" t="s">
        <v>33</v>
      </c>
      <c r="N926" s="7" t="s">
        <v>33</v>
      </c>
      <c r="O926" s="7" t="s">
        <v>33</v>
      </c>
      <c r="P926" s="11" t="str">
        <f t="shared" si="28"/>
        <v>胜</v>
      </c>
      <c r="Q926" s="11" t="str">
        <f t="shared" si="29"/>
        <v>胜</v>
      </c>
    </row>
    <row r="927" spans="4:17" x14ac:dyDescent="0.15">
      <c r="D927" s="7" t="s">
        <v>6</v>
      </c>
      <c r="E927" s="7" t="s">
        <v>1679</v>
      </c>
      <c r="F927" s="7" t="s">
        <v>1679</v>
      </c>
      <c r="G927" s="7" t="s">
        <v>1680</v>
      </c>
      <c r="H927" s="7" t="s">
        <v>41</v>
      </c>
      <c r="I927" s="7" t="s">
        <v>9</v>
      </c>
      <c r="J927" s="7" t="s">
        <v>9</v>
      </c>
      <c r="K927" s="7" t="s">
        <v>33</v>
      </c>
      <c r="L927" s="7" t="s">
        <v>38</v>
      </c>
      <c r="M927" s="7" t="s">
        <v>9</v>
      </c>
      <c r="N927" s="7" t="s">
        <v>9</v>
      </c>
      <c r="O927" s="7" t="s">
        <v>33</v>
      </c>
      <c r="P927" s="11" t="str">
        <f t="shared" si="28"/>
        <v>平</v>
      </c>
      <c r="Q927" s="11" t="str">
        <f t="shared" si="29"/>
        <v>平</v>
      </c>
    </row>
    <row r="928" spans="4:17" x14ac:dyDescent="0.15">
      <c r="D928" s="7" t="s">
        <v>6</v>
      </c>
      <c r="E928" s="7" t="s">
        <v>1681</v>
      </c>
      <c r="F928" s="7" t="s">
        <v>1681</v>
      </c>
      <c r="G928" s="7" t="s">
        <v>1682</v>
      </c>
      <c r="H928" s="7" t="s">
        <v>56</v>
      </c>
      <c r="I928" s="7" t="s">
        <v>33</v>
      </c>
      <c r="J928" s="7" t="s">
        <v>10</v>
      </c>
      <c r="K928" s="7" t="s">
        <v>33</v>
      </c>
      <c r="L928" s="7" t="s">
        <v>42</v>
      </c>
      <c r="M928" s="7" t="s">
        <v>33</v>
      </c>
      <c r="N928" s="7" t="s">
        <v>33</v>
      </c>
      <c r="O928" s="7" t="s">
        <v>33</v>
      </c>
      <c r="P928" s="11" t="str">
        <f t="shared" si="28"/>
        <v>平</v>
      </c>
      <c r="Q928" s="11" t="str">
        <f t="shared" si="29"/>
        <v>胜</v>
      </c>
    </row>
    <row r="929" spans="4:17" x14ac:dyDescent="0.15">
      <c r="D929" s="7" t="s">
        <v>6</v>
      </c>
      <c r="E929" s="7" t="s">
        <v>1683</v>
      </c>
      <c r="F929" s="7" t="s">
        <v>1683</v>
      </c>
      <c r="G929" s="7" t="s">
        <v>1684</v>
      </c>
      <c r="H929" s="7" t="s">
        <v>44</v>
      </c>
      <c r="I929" s="7" t="s">
        <v>10</v>
      </c>
      <c r="J929" s="7" t="s">
        <v>10</v>
      </c>
      <c r="K929" s="7" t="s">
        <v>33</v>
      </c>
      <c r="L929" s="7" t="s">
        <v>52</v>
      </c>
      <c r="M929" s="7" t="s">
        <v>33</v>
      </c>
      <c r="N929" s="7" t="s">
        <v>33</v>
      </c>
      <c r="O929" s="7" t="s">
        <v>33</v>
      </c>
      <c r="P929" s="11" t="str">
        <f t="shared" si="28"/>
        <v>胜</v>
      </c>
      <c r="Q929" s="11" t="str">
        <f t="shared" si="29"/>
        <v>胜</v>
      </c>
    </row>
    <row r="930" spans="4:17" x14ac:dyDescent="0.15">
      <c r="D930" s="7" t="s">
        <v>6</v>
      </c>
      <c r="E930" s="7" t="s">
        <v>1685</v>
      </c>
      <c r="F930" s="7" t="s">
        <v>1685</v>
      </c>
      <c r="G930" s="7" t="s">
        <v>1682</v>
      </c>
      <c r="H930" s="7" t="s">
        <v>49</v>
      </c>
      <c r="I930" s="7" t="s">
        <v>10</v>
      </c>
      <c r="J930" s="7" t="s">
        <v>9</v>
      </c>
      <c r="K930" s="7" t="s">
        <v>33</v>
      </c>
      <c r="L930" s="7" t="s">
        <v>48</v>
      </c>
      <c r="M930" s="7" t="s">
        <v>10</v>
      </c>
      <c r="N930" s="7" t="s">
        <v>9</v>
      </c>
      <c r="O930" s="7" t="s">
        <v>33</v>
      </c>
      <c r="P930" s="11" t="str">
        <f t="shared" si="28"/>
        <v>平</v>
      </c>
      <c r="Q930" s="11" t="str">
        <f t="shared" si="29"/>
        <v>平</v>
      </c>
    </row>
    <row r="931" spans="4:17" x14ac:dyDescent="0.15">
      <c r="D931" s="7" t="s">
        <v>6</v>
      </c>
      <c r="E931" s="7" t="s">
        <v>1686</v>
      </c>
      <c r="F931" s="7" t="s">
        <v>1686</v>
      </c>
      <c r="G931" s="7" t="s">
        <v>1687</v>
      </c>
      <c r="H931" s="7" t="s">
        <v>52</v>
      </c>
      <c r="I931" s="7" t="s">
        <v>33</v>
      </c>
      <c r="J931" s="7" t="s">
        <v>33</v>
      </c>
      <c r="K931" s="7" t="s">
        <v>33</v>
      </c>
      <c r="L931" s="7" t="s">
        <v>49</v>
      </c>
      <c r="M931" s="7" t="s">
        <v>33</v>
      </c>
      <c r="N931" s="7" t="s">
        <v>10</v>
      </c>
      <c r="O931" s="7" t="s">
        <v>33</v>
      </c>
      <c r="P931" s="11" t="str">
        <f t="shared" si="28"/>
        <v>平</v>
      </c>
      <c r="Q931" s="11" t="str">
        <f t="shared" si="29"/>
        <v>负</v>
      </c>
    </row>
    <row r="932" spans="4:17" x14ac:dyDescent="0.15">
      <c r="D932" s="7" t="s">
        <v>6</v>
      </c>
      <c r="E932" s="7" t="s">
        <v>1688</v>
      </c>
      <c r="F932" s="7" t="s">
        <v>1688</v>
      </c>
      <c r="G932" s="7" t="s">
        <v>1689</v>
      </c>
      <c r="H932" s="7" t="s">
        <v>36</v>
      </c>
      <c r="I932" s="7" t="s">
        <v>33</v>
      </c>
      <c r="J932" s="7" t="s">
        <v>33</v>
      </c>
      <c r="K932" s="7" t="s">
        <v>33</v>
      </c>
      <c r="L932" s="7" t="s">
        <v>46</v>
      </c>
      <c r="M932" s="7" t="s">
        <v>33</v>
      </c>
      <c r="N932" s="7" t="s">
        <v>10</v>
      </c>
      <c r="O932" s="7" t="s">
        <v>33</v>
      </c>
      <c r="P932" s="11" t="str">
        <f t="shared" si="28"/>
        <v>平</v>
      </c>
      <c r="Q932" s="11" t="str">
        <f t="shared" si="29"/>
        <v>负</v>
      </c>
    </row>
    <row r="933" spans="4:17" x14ac:dyDescent="0.15">
      <c r="D933" s="7" t="s">
        <v>6</v>
      </c>
      <c r="E933" s="7" t="s">
        <v>1690</v>
      </c>
      <c r="F933" s="7" t="s">
        <v>1690</v>
      </c>
      <c r="G933" s="7" t="s">
        <v>1691</v>
      </c>
      <c r="H933" s="7" t="s">
        <v>57</v>
      </c>
      <c r="I933" s="7" t="s">
        <v>9</v>
      </c>
      <c r="J933" s="7" t="s">
        <v>39</v>
      </c>
      <c r="K933" s="7" t="s">
        <v>33</v>
      </c>
      <c r="L933" s="7" t="s">
        <v>54</v>
      </c>
      <c r="M933" s="7" t="s">
        <v>10</v>
      </c>
      <c r="N933" s="7" t="s">
        <v>10</v>
      </c>
      <c r="O933" s="7" t="s">
        <v>33</v>
      </c>
      <c r="P933" s="11" t="str">
        <f t="shared" si="28"/>
        <v>胜</v>
      </c>
      <c r="Q933" s="11" t="str">
        <f t="shared" si="29"/>
        <v>胜</v>
      </c>
    </row>
    <row r="934" spans="4:17" x14ac:dyDescent="0.15">
      <c r="D934" s="7" t="s">
        <v>6</v>
      </c>
      <c r="E934" s="7" t="s">
        <v>1692</v>
      </c>
      <c r="F934" s="7" t="s">
        <v>1692</v>
      </c>
      <c r="G934" s="7" t="s">
        <v>1691</v>
      </c>
      <c r="H934" s="7" t="s">
        <v>48</v>
      </c>
      <c r="I934" s="7" t="s">
        <v>10</v>
      </c>
      <c r="J934" s="7" t="s">
        <v>39</v>
      </c>
      <c r="K934" s="7" t="s">
        <v>33</v>
      </c>
      <c r="L934" s="7" t="s">
        <v>56</v>
      </c>
      <c r="M934" s="7" t="s">
        <v>10</v>
      </c>
      <c r="N934" s="7" t="s">
        <v>9</v>
      </c>
      <c r="O934" s="7" t="s">
        <v>33</v>
      </c>
      <c r="P934" s="11" t="str">
        <f t="shared" si="28"/>
        <v>平</v>
      </c>
      <c r="Q934" s="11" t="str">
        <f t="shared" si="29"/>
        <v>胜</v>
      </c>
    </row>
    <row r="935" spans="4:17" x14ac:dyDescent="0.15">
      <c r="D935" s="7" t="s">
        <v>6</v>
      </c>
      <c r="E935" s="7" t="s">
        <v>1693</v>
      </c>
      <c r="F935" s="7" t="s">
        <v>1693</v>
      </c>
      <c r="G935" s="7" t="s">
        <v>1691</v>
      </c>
      <c r="H935" s="7" t="s">
        <v>38</v>
      </c>
      <c r="I935" s="7" t="s">
        <v>10</v>
      </c>
      <c r="J935" s="7" t="s">
        <v>10</v>
      </c>
      <c r="K935" s="7" t="s">
        <v>33</v>
      </c>
      <c r="L935" s="7" t="s">
        <v>32</v>
      </c>
      <c r="M935" s="7" t="s">
        <v>33</v>
      </c>
      <c r="N935" s="7" t="s">
        <v>9</v>
      </c>
      <c r="O935" s="7" t="s">
        <v>33</v>
      </c>
      <c r="P935" s="11" t="str">
        <f t="shared" si="28"/>
        <v>胜</v>
      </c>
      <c r="Q935" s="11" t="str">
        <f t="shared" si="29"/>
        <v>负</v>
      </c>
    </row>
    <row r="936" spans="4:17" x14ac:dyDescent="0.15">
      <c r="D936" s="7" t="s">
        <v>6</v>
      </c>
      <c r="E936" s="7" t="s">
        <v>1694</v>
      </c>
      <c r="F936" s="7" t="s">
        <v>1694</v>
      </c>
      <c r="G936" s="7" t="s">
        <v>1691</v>
      </c>
      <c r="H936" s="7" t="s">
        <v>53</v>
      </c>
      <c r="I936" s="7" t="s">
        <v>10</v>
      </c>
      <c r="J936" s="7" t="s">
        <v>10</v>
      </c>
      <c r="K936" s="7" t="s">
        <v>33</v>
      </c>
      <c r="L936" s="7" t="s">
        <v>44</v>
      </c>
      <c r="M936" s="7" t="s">
        <v>9</v>
      </c>
      <c r="N936" s="7" t="s">
        <v>9</v>
      </c>
      <c r="O936" s="7" t="s">
        <v>33</v>
      </c>
      <c r="P936" s="11" t="str">
        <f t="shared" si="28"/>
        <v>负</v>
      </c>
      <c r="Q936" s="11" t="str">
        <f t="shared" si="29"/>
        <v>负</v>
      </c>
    </row>
    <row r="937" spans="4:17" x14ac:dyDescent="0.15">
      <c r="D937" s="7" t="s">
        <v>6</v>
      </c>
      <c r="E937" s="7" t="s">
        <v>1695</v>
      </c>
      <c r="F937" s="7" t="s">
        <v>1695</v>
      </c>
      <c r="G937" s="7" t="s">
        <v>1691</v>
      </c>
      <c r="H937" s="7" t="s">
        <v>40</v>
      </c>
      <c r="I937" s="7" t="s">
        <v>10</v>
      </c>
      <c r="J937" s="7" t="s">
        <v>10</v>
      </c>
      <c r="K937" s="7" t="s">
        <v>33</v>
      </c>
      <c r="L937" s="7" t="s">
        <v>41</v>
      </c>
      <c r="M937" s="7" t="s">
        <v>33</v>
      </c>
      <c r="N937" s="7" t="s">
        <v>9</v>
      </c>
      <c r="O937" s="7" t="s">
        <v>33</v>
      </c>
      <c r="P937" s="11" t="str">
        <f t="shared" si="28"/>
        <v>胜</v>
      </c>
      <c r="Q937" s="11" t="str">
        <f t="shared" si="29"/>
        <v>负</v>
      </c>
    </row>
    <row r="938" spans="4:17" x14ac:dyDescent="0.15">
      <c r="D938" s="7" t="s">
        <v>6</v>
      </c>
      <c r="E938" s="7" t="s">
        <v>1696</v>
      </c>
      <c r="F938" s="7" t="s">
        <v>1696</v>
      </c>
      <c r="G938" s="7" t="s">
        <v>1697</v>
      </c>
      <c r="H938" s="7" t="s">
        <v>42</v>
      </c>
      <c r="I938" s="7" t="s">
        <v>33</v>
      </c>
      <c r="J938" s="7" t="s">
        <v>33</v>
      </c>
      <c r="K938" s="7" t="s">
        <v>33</v>
      </c>
      <c r="L938" s="7" t="s">
        <v>37</v>
      </c>
      <c r="M938" s="7" t="s">
        <v>33</v>
      </c>
      <c r="N938" s="7" t="s">
        <v>10</v>
      </c>
      <c r="O938" s="7" t="s">
        <v>33</v>
      </c>
      <c r="P938" s="11" t="str">
        <f t="shared" si="28"/>
        <v>平</v>
      </c>
      <c r="Q938" s="11" t="str">
        <f t="shared" si="29"/>
        <v>负</v>
      </c>
    </row>
    <row r="939" spans="4:17" x14ac:dyDescent="0.15">
      <c r="D939" s="7" t="s">
        <v>6</v>
      </c>
      <c r="E939" s="7" t="s">
        <v>1698</v>
      </c>
      <c r="F939" s="7" t="s">
        <v>1698</v>
      </c>
      <c r="G939" s="7" t="s">
        <v>1699</v>
      </c>
      <c r="H939" s="7" t="s">
        <v>32</v>
      </c>
      <c r="I939" s="11" t="s">
        <v>33</v>
      </c>
      <c r="J939" s="7" t="s">
        <v>33</v>
      </c>
      <c r="K939" s="7" t="s">
        <v>33</v>
      </c>
      <c r="L939" s="7" t="s">
        <v>53</v>
      </c>
      <c r="M939" s="7" t="s">
        <v>10</v>
      </c>
      <c r="N939" s="7" t="s">
        <v>10</v>
      </c>
      <c r="O939" s="7" t="s">
        <v>33</v>
      </c>
      <c r="P939" s="11" t="str">
        <f t="shared" si="28"/>
        <v>负</v>
      </c>
      <c r="Q939" s="11" t="str">
        <f t="shared" si="29"/>
        <v>负</v>
      </c>
    </row>
    <row r="940" spans="4:17" x14ac:dyDescent="0.15">
      <c r="D940" s="7" t="s">
        <v>6</v>
      </c>
      <c r="E940" s="7" t="s">
        <v>1700</v>
      </c>
      <c r="F940" s="7" t="s">
        <v>1700</v>
      </c>
      <c r="G940" s="7" t="s">
        <v>1701</v>
      </c>
      <c r="H940" s="7" t="s">
        <v>46</v>
      </c>
      <c r="I940" s="7" t="s">
        <v>33</v>
      </c>
      <c r="J940" s="7" t="s">
        <v>10</v>
      </c>
      <c r="K940" s="7" t="s">
        <v>33</v>
      </c>
      <c r="L940" s="7" t="s">
        <v>48</v>
      </c>
      <c r="M940" s="7" t="s">
        <v>33</v>
      </c>
      <c r="N940" s="7" t="s">
        <v>10</v>
      </c>
      <c r="O940" s="7" t="s">
        <v>33</v>
      </c>
      <c r="P940" s="11" t="str">
        <f t="shared" si="28"/>
        <v>平</v>
      </c>
      <c r="Q940" s="11" t="str">
        <f t="shared" si="29"/>
        <v>平</v>
      </c>
    </row>
    <row r="941" spans="4:17" x14ac:dyDescent="0.15">
      <c r="D941" s="7" t="s">
        <v>6</v>
      </c>
      <c r="E941" s="7" t="s">
        <v>1702</v>
      </c>
      <c r="F941" s="7" t="s">
        <v>1702</v>
      </c>
      <c r="G941" s="7" t="s">
        <v>1699</v>
      </c>
      <c r="H941" s="7" t="s">
        <v>56</v>
      </c>
      <c r="I941" s="7" t="s">
        <v>33</v>
      </c>
      <c r="J941" s="7" t="s">
        <v>10</v>
      </c>
      <c r="K941" s="7" t="s">
        <v>33</v>
      </c>
      <c r="L941" s="7" t="s">
        <v>57</v>
      </c>
      <c r="M941" s="7" t="s">
        <v>10</v>
      </c>
      <c r="N941" s="7" t="s">
        <v>39</v>
      </c>
      <c r="O941" s="7" t="s">
        <v>33</v>
      </c>
      <c r="P941" s="11" t="str">
        <f t="shared" si="28"/>
        <v>负</v>
      </c>
      <c r="Q941" s="11" t="str">
        <f t="shared" si="29"/>
        <v>负</v>
      </c>
    </row>
    <row r="942" spans="4:17" x14ac:dyDescent="0.15">
      <c r="D942" s="7" t="s">
        <v>6</v>
      </c>
      <c r="E942" s="7" t="s">
        <v>1703</v>
      </c>
      <c r="F942" s="7" t="s">
        <v>1703</v>
      </c>
      <c r="G942" s="7" t="s">
        <v>1699</v>
      </c>
      <c r="H942" s="7" t="s">
        <v>38</v>
      </c>
      <c r="I942" s="7" t="s">
        <v>33</v>
      </c>
      <c r="J942" s="7" t="s">
        <v>9</v>
      </c>
      <c r="K942" s="7" t="s">
        <v>33</v>
      </c>
      <c r="L942" s="7" t="s">
        <v>40</v>
      </c>
      <c r="M942" s="7" t="s">
        <v>33</v>
      </c>
      <c r="N942" s="7" t="s">
        <v>33</v>
      </c>
      <c r="O942" s="7" t="s">
        <v>33</v>
      </c>
      <c r="P942" s="11" t="str">
        <f t="shared" si="28"/>
        <v>平</v>
      </c>
      <c r="Q942" s="11" t="str">
        <f t="shared" si="29"/>
        <v>胜</v>
      </c>
    </row>
    <row r="943" spans="4:17" x14ac:dyDescent="0.15">
      <c r="D943" s="7" t="s">
        <v>6</v>
      </c>
      <c r="E943" s="7" t="s">
        <v>1704</v>
      </c>
      <c r="F943" s="7" t="s">
        <v>1704</v>
      </c>
      <c r="G943" s="7" t="s">
        <v>1705</v>
      </c>
      <c r="H943" s="7" t="s">
        <v>54</v>
      </c>
      <c r="I943" s="7" t="s">
        <v>39</v>
      </c>
      <c r="J943" s="7" t="s">
        <v>47</v>
      </c>
      <c r="K943" s="7" t="s">
        <v>33</v>
      </c>
      <c r="L943" s="7" t="s">
        <v>52</v>
      </c>
      <c r="M943" s="7" t="s">
        <v>33</v>
      </c>
      <c r="N943" s="7" t="s">
        <v>33</v>
      </c>
      <c r="O943" s="7" t="s">
        <v>33</v>
      </c>
      <c r="P943" s="11" t="str">
        <f t="shared" si="28"/>
        <v>胜</v>
      </c>
      <c r="Q943" s="11" t="str">
        <f t="shared" si="29"/>
        <v>胜</v>
      </c>
    </row>
    <row r="944" spans="4:17" x14ac:dyDescent="0.15">
      <c r="D944" s="7" t="s">
        <v>6</v>
      </c>
      <c r="E944" s="7" t="s">
        <v>1706</v>
      </c>
      <c r="F944" s="7" t="s">
        <v>1706</v>
      </c>
      <c r="G944" s="7" t="s">
        <v>1699</v>
      </c>
      <c r="H944" s="7" t="s">
        <v>37</v>
      </c>
      <c r="I944" s="7" t="s">
        <v>10</v>
      </c>
      <c r="J944" s="7" t="s">
        <v>39</v>
      </c>
      <c r="K944" s="7" t="s">
        <v>33</v>
      </c>
      <c r="L944" s="7" t="s">
        <v>44</v>
      </c>
      <c r="M944" s="7" t="s">
        <v>33</v>
      </c>
      <c r="N944" s="7" t="s">
        <v>33</v>
      </c>
      <c r="O944" s="7" t="s">
        <v>33</v>
      </c>
      <c r="P944" s="11" t="str">
        <f t="shared" si="28"/>
        <v>胜</v>
      </c>
      <c r="Q944" s="11" t="str">
        <f t="shared" si="29"/>
        <v>胜</v>
      </c>
    </row>
    <row r="945" spans="4:17" x14ac:dyDescent="0.15">
      <c r="D945" s="7" t="s">
        <v>6</v>
      </c>
      <c r="E945" s="7" t="s">
        <v>1707</v>
      </c>
      <c r="F945" s="7" t="s">
        <v>1707</v>
      </c>
      <c r="G945" s="7" t="s">
        <v>1699</v>
      </c>
      <c r="H945" s="7" t="s">
        <v>41</v>
      </c>
      <c r="I945" s="7" t="s">
        <v>9</v>
      </c>
      <c r="J945" s="7" t="s">
        <v>50</v>
      </c>
      <c r="K945" s="7" t="s">
        <v>33</v>
      </c>
      <c r="L945" s="7" t="s">
        <v>36</v>
      </c>
      <c r="M945" s="7" t="s">
        <v>33</v>
      </c>
      <c r="N945" s="7" t="s">
        <v>33</v>
      </c>
      <c r="O945" s="7" t="s">
        <v>33</v>
      </c>
      <c r="P945" s="11" t="str">
        <f t="shared" si="28"/>
        <v>胜</v>
      </c>
      <c r="Q945" s="11" t="str">
        <f t="shared" si="29"/>
        <v>胜</v>
      </c>
    </row>
    <row r="946" spans="4:17" x14ac:dyDescent="0.15">
      <c r="D946" s="7" t="s">
        <v>6</v>
      </c>
      <c r="E946" s="7" t="s">
        <v>1708</v>
      </c>
      <c r="F946" s="7" t="s">
        <v>1708</v>
      </c>
      <c r="G946" s="7" t="s">
        <v>1699</v>
      </c>
      <c r="H946" s="7" t="s">
        <v>49</v>
      </c>
      <c r="I946" s="7" t="s">
        <v>10</v>
      </c>
      <c r="J946" s="7" t="s">
        <v>10</v>
      </c>
      <c r="K946" s="7" t="s">
        <v>33</v>
      </c>
      <c r="L946" s="7" t="s">
        <v>42</v>
      </c>
      <c r="M946" s="7" t="s">
        <v>33</v>
      </c>
      <c r="N946" s="7" t="s">
        <v>33</v>
      </c>
      <c r="O946" s="7" t="s">
        <v>33</v>
      </c>
      <c r="P946" s="11" t="str">
        <f t="shared" si="28"/>
        <v>胜</v>
      </c>
      <c r="Q946" s="11" t="str">
        <f t="shared" si="29"/>
        <v>胜</v>
      </c>
    </row>
    <row r="947" spans="4:17" x14ac:dyDescent="0.15">
      <c r="D947" s="7" t="s">
        <v>6</v>
      </c>
      <c r="E947" s="7" t="s">
        <v>1709</v>
      </c>
      <c r="F947" s="7" t="s">
        <v>1709</v>
      </c>
      <c r="G947" s="7" t="s">
        <v>1710</v>
      </c>
      <c r="H947" s="7" t="s">
        <v>48</v>
      </c>
      <c r="I947" s="7" t="s">
        <v>33</v>
      </c>
      <c r="J947" s="7" t="s">
        <v>10</v>
      </c>
      <c r="K947" s="7" t="s">
        <v>33</v>
      </c>
      <c r="L947" s="7" t="s">
        <v>37</v>
      </c>
      <c r="M947" s="7" t="s">
        <v>9</v>
      </c>
      <c r="N947" s="7" t="s">
        <v>9</v>
      </c>
      <c r="O947" s="7" t="s">
        <v>33</v>
      </c>
      <c r="P947" s="11" t="str">
        <f t="shared" si="28"/>
        <v>负</v>
      </c>
      <c r="Q947" s="11" t="str">
        <f t="shared" si="29"/>
        <v>负</v>
      </c>
    </row>
    <row r="948" spans="4:17" x14ac:dyDescent="0.15">
      <c r="D948" s="7" t="s">
        <v>6</v>
      </c>
      <c r="E948" s="7" t="s">
        <v>1711</v>
      </c>
      <c r="F948" s="7" t="s">
        <v>1711</v>
      </c>
      <c r="G948" s="7" t="s">
        <v>1712</v>
      </c>
      <c r="H948" s="7" t="s">
        <v>56</v>
      </c>
      <c r="I948" s="7" t="s">
        <v>39</v>
      </c>
      <c r="J948" s="7" t="s">
        <v>50</v>
      </c>
      <c r="K948" s="7" t="s">
        <v>33</v>
      </c>
      <c r="L948" s="7" t="s">
        <v>40</v>
      </c>
      <c r="M948" s="7" t="s">
        <v>33</v>
      </c>
      <c r="N948" s="7" t="s">
        <v>33</v>
      </c>
      <c r="O948" s="7" t="s">
        <v>33</v>
      </c>
      <c r="P948" s="11" t="str">
        <f t="shared" si="28"/>
        <v>胜</v>
      </c>
      <c r="Q948" s="11" t="str">
        <f t="shared" si="29"/>
        <v>胜</v>
      </c>
    </row>
    <row r="949" spans="4:17" x14ac:dyDescent="0.15">
      <c r="D949" s="7" t="s">
        <v>6</v>
      </c>
      <c r="E949" s="7" t="s">
        <v>1713</v>
      </c>
      <c r="F949" s="7" t="s">
        <v>1713</v>
      </c>
      <c r="G949" s="7" t="s">
        <v>1710</v>
      </c>
      <c r="H949" s="7" t="s">
        <v>53</v>
      </c>
      <c r="I949" s="7" t="s">
        <v>9</v>
      </c>
      <c r="J949" s="7" t="s">
        <v>39</v>
      </c>
      <c r="K949" s="7" t="s">
        <v>33</v>
      </c>
      <c r="L949" s="7" t="s">
        <v>49</v>
      </c>
      <c r="M949" s="7" t="s">
        <v>33</v>
      </c>
      <c r="N949" s="7" t="s">
        <v>33</v>
      </c>
      <c r="O949" s="7" t="s">
        <v>33</v>
      </c>
      <c r="P949" s="11" t="str">
        <f t="shared" si="28"/>
        <v>胜</v>
      </c>
      <c r="Q949" s="11" t="str">
        <f t="shared" si="29"/>
        <v>胜</v>
      </c>
    </row>
    <row r="950" spans="4:17" x14ac:dyDescent="0.15">
      <c r="D950" s="7" t="s">
        <v>6</v>
      </c>
      <c r="E950" s="7" t="s">
        <v>1714</v>
      </c>
      <c r="F950" s="7" t="s">
        <v>1714</v>
      </c>
      <c r="G950" s="7" t="s">
        <v>1715</v>
      </c>
      <c r="H950" s="7" t="s">
        <v>57</v>
      </c>
      <c r="I950" s="7" t="s">
        <v>33</v>
      </c>
      <c r="J950" s="7" t="s">
        <v>39</v>
      </c>
      <c r="K950" s="7" t="s">
        <v>33</v>
      </c>
      <c r="L950" s="7" t="s">
        <v>38</v>
      </c>
      <c r="M950" s="7" t="s">
        <v>10</v>
      </c>
      <c r="N950" s="7" t="s">
        <v>10</v>
      </c>
      <c r="O950" s="7" t="s">
        <v>33</v>
      </c>
      <c r="P950" s="11" t="str">
        <f t="shared" si="28"/>
        <v>负</v>
      </c>
      <c r="Q950" s="11" t="str">
        <f t="shared" si="29"/>
        <v>胜</v>
      </c>
    </row>
    <row r="951" spans="4:17" x14ac:dyDescent="0.15">
      <c r="D951" s="7" t="s">
        <v>6</v>
      </c>
      <c r="E951" s="7" t="s">
        <v>1716</v>
      </c>
      <c r="F951" s="7" t="s">
        <v>1716</v>
      </c>
      <c r="G951" s="7" t="s">
        <v>1710</v>
      </c>
      <c r="H951" s="7" t="s">
        <v>52</v>
      </c>
      <c r="I951" s="7" t="s">
        <v>33</v>
      </c>
      <c r="J951" s="7" t="s">
        <v>33</v>
      </c>
      <c r="K951" s="7" t="s">
        <v>33</v>
      </c>
      <c r="L951" s="7" t="s">
        <v>41</v>
      </c>
      <c r="M951" s="7" t="s">
        <v>10</v>
      </c>
      <c r="N951" s="7" t="s">
        <v>10</v>
      </c>
      <c r="O951" s="7" t="s">
        <v>33</v>
      </c>
      <c r="P951" s="11" t="str">
        <f t="shared" si="28"/>
        <v>负</v>
      </c>
      <c r="Q951" s="11" t="str">
        <f t="shared" si="29"/>
        <v>负</v>
      </c>
    </row>
    <row r="952" spans="4:17" x14ac:dyDescent="0.15">
      <c r="D952" s="7" t="s">
        <v>6</v>
      </c>
      <c r="E952" s="7" t="s">
        <v>1717</v>
      </c>
      <c r="F952" s="7" t="s">
        <v>1717</v>
      </c>
      <c r="G952" s="7" t="s">
        <v>1710</v>
      </c>
      <c r="H952" s="7" t="s">
        <v>42</v>
      </c>
      <c r="I952" s="7" t="s">
        <v>33</v>
      </c>
      <c r="J952" s="7" t="s">
        <v>9</v>
      </c>
      <c r="K952" s="7" t="s">
        <v>33</v>
      </c>
      <c r="L952" s="7" t="s">
        <v>54</v>
      </c>
      <c r="M952" s="7" t="s">
        <v>33</v>
      </c>
      <c r="N952" s="7" t="s">
        <v>10</v>
      </c>
      <c r="O952" s="7" t="s">
        <v>33</v>
      </c>
      <c r="P952" s="11" t="str">
        <f t="shared" si="28"/>
        <v>平</v>
      </c>
      <c r="Q952" s="11" t="str">
        <f t="shared" si="29"/>
        <v>胜</v>
      </c>
    </row>
    <row r="953" spans="4:17" x14ac:dyDescent="0.15">
      <c r="D953" s="7" t="s">
        <v>6</v>
      </c>
      <c r="E953" s="7" t="s">
        <v>1718</v>
      </c>
      <c r="F953" s="7" t="s">
        <v>1718</v>
      </c>
      <c r="G953" s="7" t="s">
        <v>1710</v>
      </c>
      <c r="H953" s="7" t="s">
        <v>36</v>
      </c>
      <c r="I953" s="7" t="s">
        <v>10</v>
      </c>
      <c r="J953" s="7" t="s">
        <v>10</v>
      </c>
      <c r="K953" s="7" t="s">
        <v>33</v>
      </c>
      <c r="L953" s="7" t="s">
        <v>32</v>
      </c>
      <c r="M953" s="7" t="s">
        <v>33</v>
      </c>
      <c r="N953" s="7" t="s">
        <v>33</v>
      </c>
      <c r="O953" s="7" t="s">
        <v>33</v>
      </c>
      <c r="P953" s="11" t="str">
        <f t="shared" si="28"/>
        <v>胜</v>
      </c>
      <c r="Q953" s="11" t="str">
        <f t="shared" si="29"/>
        <v>胜</v>
      </c>
    </row>
    <row r="954" spans="4:17" x14ac:dyDescent="0.15">
      <c r="D954" s="7" t="s">
        <v>6</v>
      </c>
      <c r="E954" s="7" t="s">
        <v>1719</v>
      </c>
      <c r="F954" s="7" t="s">
        <v>1719</v>
      </c>
      <c r="G954" s="7" t="s">
        <v>1720</v>
      </c>
      <c r="H954" s="7" t="s">
        <v>44</v>
      </c>
      <c r="I954" s="7" t="s">
        <v>10</v>
      </c>
      <c r="J954" s="7" t="s">
        <v>10</v>
      </c>
      <c r="K954" s="7" t="s">
        <v>33</v>
      </c>
      <c r="L954" s="7" t="s">
        <v>46</v>
      </c>
      <c r="M954" s="7" t="s">
        <v>33</v>
      </c>
      <c r="N954" s="7" t="s">
        <v>10</v>
      </c>
      <c r="O954" s="7" t="s">
        <v>33</v>
      </c>
      <c r="P954" s="11" t="str">
        <f t="shared" si="28"/>
        <v>胜</v>
      </c>
      <c r="Q954" s="11" t="str">
        <f t="shared" si="29"/>
        <v>平</v>
      </c>
    </row>
    <row r="955" spans="4:17" x14ac:dyDescent="0.15">
      <c r="D955" s="7" t="s">
        <v>6</v>
      </c>
      <c r="E955" s="7" t="s">
        <v>1721</v>
      </c>
      <c r="F955" s="7" t="s">
        <v>1721</v>
      </c>
      <c r="G955" s="7" t="s">
        <v>1722</v>
      </c>
      <c r="H955" s="7" t="s">
        <v>49</v>
      </c>
      <c r="I955" s="7" t="s">
        <v>33</v>
      </c>
      <c r="J955" s="7" t="s">
        <v>10</v>
      </c>
      <c r="K955" s="7" t="s">
        <v>33</v>
      </c>
      <c r="L955" s="7" t="s">
        <v>44</v>
      </c>
      <c r="M955" s="7" t="s">
        <v>33</v>
      </c>
      <c r="N955" s="7" t="s">
        <v>33</v>
      </c>
      <c r="O955" s="7" t="s">
        <v>33</v>
      </c>
      <c r="P955" s="11" t="str">
        <f t="shared" si="28"/>
        <v>平</v>
      </c>
      <c r="Q955" s="11" t="str">
        <f t="shared" si="29"/>
        <v>胜</v>
      </c>
    </row>
    <row r="956" spans="4:17" x14ac:dyDescent="0.15">
      <c r="D956" s="7" t="s">
        <v>6</v>
      </c>
      <c r="E956" s="7" t="s">
        <v>1723</v>
      </c>
      <c r="F956" s="7" t="s">
        <v>1723</v>
      </c>
      <c r="G956" s="7" t="s">
        <v>1724</v>
      </c>
      <c r="H956" s="7" t="s">
        <v>40</v>
      </c>
      <c r="I956" s="7" t="s">
        <v>10</v>
      </c>
      <c r="J956" s="7" t="s">
        <v>9</v>
      </c>
      <c r="K956" s="7" t="s">
        <v>33</v>
      </c>
      <c r="L956" s="7" t="s">
        <v>52</v>
      </c>
      <c r="M956" s="7" t="s">
        <v>33</v>
      </c>
      <c r="N956" s="7" t="s">
        <v>33</v>
      </c>
      <c r="O956" s="7" t="s">
        <v>33</v>
      </c>
      <c r="P956" s="11" t="str">
        <f t="shared" si="28"/>
        <v>胜</v>
      </c>
      <c r="Q956" s="11" t="str">
        <f t="shared" si="29"/>
        <v>胜</v>
      </c>
    </row>
    <row r="957" spans="4:17" x14ac:dyDescent="0.15">
      <c r="D957" s="7" t="s">
        <v>6</v>
      </c>
      <c r="E957" s="7" t="s">
        <v>1725</v>
      </c>
      <c r="F957" s="7" t="s">
        <v>1725</v>
      </c>
      <c r="G957" s="7" t="s">
        <v>1724</v>
      </c>
      <c r="H957" s="7" t="s">
        <v>38</v>
      </c>
      <c r="I957" s="7" t="s">
        <v>10</v>
      </c>
      <c r="J957" s="7" t="s">
        <v>39</v>
      </c>
      <c r="K957" s="7" t="s">
        <v>33</v>
      </c>
      <c r="L957" s="7" t="s">
        <v>36</v>
      </c>
      <c r="M957" s="7" t="s">
        <v>10</v>
      </c>
      <c r="N957" s="7" t="s">
        <v>10</v>
      </c>
      <c r="O957" s="7" t="s">
        <v>33</v>
      </c>
      <c r="P957" s="11" t="str">
        <f t="shared" si="28"/>
        <v>平</v>
      </c>
      <c r="Q957" s="11" t="str">
        <f t="shared" si="29"/>
        <v>胜</v>
      </c>
    </row>
    <row r="958" spans="4:17" x14ac:dyDescent="0.15">
      <c r="D958" s="7" t="s">
        <v>6</v>
      </c>
      <c r="E958" s="7" t="s">
        <v>1726</v>
      </c>
      <c r="F958" s="7" t="s">
        <v>1726</v>
      </c>
      <c r="G958" s="7" t="s">
        <v>1724</v>
      </c>
      <c r="H958" s="7" t="s">
        <v>54</v>
      </c>
      <c r="I958" s="7" t="s">
        <v>33</v>
      </c>
      <c r="J958" s="7" t="s">
        <v>10</v>
      </c>
      <c r="K958" s="7" t="s">
        <v>33</v>
      </c>
      <c r="L958" s="7" t="s">
        <v>56</v>
      </c>
      <c r="M958" s="7" t="s">
        <v>33</v>
      </c>
      <c r="N958" s="7" t="s">
        <v>9</v>
      </c>
      <c r="O958" s="7" t="s">
        <v>33</v>
      </c>
      <c r="P958" s="11" t="str">
        <f t="shared" si="28"/>
        <v>平</v>
      </c>
      <c r="Q958" s="11" t="str">
        <f t="shared" si="29"/>
        <v>负</v>
      </c>
    </row>
    <row r="959" spans="4:17" x14ac:dyDescent="0.15">
      <c r="D959" s="7" t="s">
        <v>6</v>
      </c>
      <c r="E959" s="7" t="s">
        <v>1727</v>
      </c>
      <c r="F959" s="7" t="s">
        <v>1727</v>
      </c>
      <c r="G959" s="7" t="s">
        <v>1724</v>
      </c>
      <c r="H959" s="7" t="s">
        <v>32</v>
      </c>
      <c r="I959" s="11" t="s">
        <v>10</v>
      </c>
      <c r="J959" s="7" t="s">
        <v>50</v>
      </c>
      <c r="K959" s="7" t="s">
        <v>33</v>
      </c>
      <c r="L959" s="7" t="s">
        <v>57</v>
      </c>
      <c r="M959" s="7" t="s">
        <v>33</v>
      </c>
      <c r="N959" s="7" t="s">
        <v>33</v>
      </c>
      <c r="O959" s="7" t="s">
        <v>33</v>
      </c>
      <c r="P959" s="11" t="str">
        <f t="shared" si="28"/>
        <v>胜</v>
      </c>
      <c r="Q959" s="11" t="str">
        <f t="shared" si="29"/>
        <v>胜</v>
      </c>
    </row>
    <row r="960" spans="4:17" x14ac:dyDescent="0.15">
      <c r="D960" s="7" t="s">
        <v>6</v>
      </c>
      <c r="E960" s="7" t="s">
        <v>1728</v>
      </c>
      <c r="F960" s="7" t="s">
        <v>1728</v>
      </c>
      <c r="G960" s="7" t="s">
        <v>1729</v>
      </c>
      <c r="H960" s="7" t="s">
        <v>48</v>
      </c>
      <c r="I960" s="7" t="s">
        <v>10</v>
      </c>
      <c r="J960" s="7" t="s">
        <v>10</v>
      </c>
      <c r="K960" s="7" t="s">
        <v>33</v>
      </c>
      <c r="L960" s="7" t="s">
        <v>53</v>
      </c>
      <c r="M960" s="7" t="s">
        <v>33</v>
      </c>
      <c r="N960" s="7" t="s">
        <v>33</v>
      </c>
      <c r="O960" s="7" t="s">
        <v>33</v>
      </c>
      <c r="P960" s="11" t="str">
        <f t="shared" si="28"/>
        <v>胜</v>
      </c>
      <c r="Q960" s="11" t="str">
        <f t="shared" si="29"/>
        <v>胜</v>
      </c>
    </row>
    <row r="961" spans="4:17" x14ac:dyDescent="0.15">
      <c r="D961" s="7" t="s">
        <v>6</v>
      </c>
      <c r="E961" s="7" t="s">
        <v>1730</v>
      </c>
      <c r="F961" s="7" t="s">
        <v>1730</v>
      </c>
      <c r="G961" s="7" t="s">
        <v>1731</v>
      </c>
      <c r="H961" s="7" t="s">
        <v>37</v>
      </c>
      <c r="I961" s="7" t="s">
        <v>33</v>
      </c>
      <c r="J961" s="7" t="s">
        <v>10</v>
      </c>
      <c r="K961" s="7" t="s">
        <v>33</v>
      </c>
      <c r="L961" s="7" t="s">
        <v>46</v>
      </c>
      <c r="M961" s="7" t="s">
        <v>33</v>
      </c>
      <c r="N961" s="7" t="s">
        <v>9</v>
      </c>
      <c r="O961" s="7" t="s">
        <v>33</v>
      </c>
      <c r="P961" s="11" t="str">
        <f t="shared" si="28"/>
        <v>平</v>
      </c>
      <c r="Q961" s="11" t="str">
        <f t="shared" si="29"/>
        <v>负</v>
      </c>
    </row>
    <row r="962" spans="4:17" x14ac:dyDescent="0.15">
      <c r="D962" s="7" t="s">
        <v>6</v>
      </c>
      <c r="E962" s="7" t="s">
        <v>1732</v>
      </c>
      <c r="F962" s="7" t="s">
        <v>1732</v>
      </c>
      <c r="G962" s="7" t="s">
        <v>1733</v>
      </c>
      <c r="H962" s="7" t="s">
        <v>44</v>
      </c>
      <c r="I962" s="7" t="s">
        <v>33</v>
      </c>
      <c r="J962" s="7" t="s">
        <v>33</v>
      </c>
      <c r="K962" s="7" t="s">
        <v>33</v>
      </c>
      <c r="L962" s="7" t="s">
        <v>54</v>
      </c>
      <c r="M962" s="7" t="s">
        <v>33</v>
      </c>
      <c r="N962" s="7" t="s">
        <v>33</v>
      </c>
      <c r="O962" s="7" t="s">
        <v>33</v>
      </c>
      <c r="P962" s="11" t="str">
        <f t="shared" si="28"/>
        <v>平</v>
      </c>
      <c r="Q962" s="11" t="str">
        <f t="shared" si="29"/>
        <v>平</v>
      </c>
    </row>
    <row r="963" spans="4:17" x14ac:dyDescent="0.15">
      <c r="D963" s="7" t="s">
        <v>6</v>
      </c>
      <c r="E963" s="7" t="s">
        <v>1734</v>
      </c>
      <c r="F963" s="7" t="s">
        <v>1734</v>
      </c>
      <c r="G963" s="7" t="s">
        <v>1735</v>
      </c>
      <c r="H963" s="7" t="s">
        <v>46</v>
      </c>
      <c r="I963" s="7" t="s">
        <v>33</v>
      </c>
      <c r="J963" s="7" t="s">
        <v>33</v>
      </c>
      <c r="K963" s="7" t="s">
        <v>33</v>
      </c>
      <c r="L963" s="7" t="s">
        <v>49</v>
      </c>
      <c r="M963" s="7" t="s">
        <v>33</v>
      </c>
      <c r="N963" s="7" t="s">
        <v>33</v>
      </c>
      <c r="O963" s="7" t="s">
        <v>33</v>
      </c>
      <c r="P963" s="11" t="str">
        <f t="shared" si="28"/>
        <v>平</v>
      </c>
      <c r="Q963" s="11" t="str">
        <f t="shared" si="29"/>
        <v>平</v>
      </c>
    </row>
    <row r="964" spans="4:17" x14ac:dyDescent="0.15">
      <c r="D964" s="7" t="s">
        <v>6</v>
      </c>
      <c r="E964" s="7" t="s">
        <v>1736</v>
      </c>
      <c r="F964" s="7" t="s">
        <v>1736</v>
      </c>
      <c r="G964" s="7" t="s">
        <v>1737</v>
      </c>
      <c r="H964" s="7" t="s">
        <v>53</v>
      </c>
      <c r="I964" s="7" t="s">
        <v>10</v>
      </c>
      <c r="J964" s="7" t="s">
        <v>9</v>
      </c>
      <c r="K964" s="7" t="s">
        <v>33</v>
      </c>
      <c r="L964" s="7" t="s">
        <v>37</v>
      </c>
      <c r="M964" s="7" t="s">
        <v>33</v>
      </c>
      <c r="N964" s="7" t="s">
        <v>10</v>
      </c>
      <c r="O964" s="7" t="s">
        <v>33</v>
      </c>
      <c r="P964" s="11" t="str">
        <f t="shared" si="28"/>
        <v>胜</v>
      </c>
      <c r="Q964" s="11" t="str">
        <f t="shared" si="29"/>
        <v>胜</v>
      </c>
    </row>
    <row r="965" spans="4:17" x14ac:dyDescent="0.15">
      <c r="D965" s="7" t="s">
        <v>6</v>
      </c>
      <c r="E965" s="7" t="s">
        <v>1738</v>
      </c>
      <c r="F965" s="7" t="s">
        <v>1738</v>
      </c>
      <c r="G965" s="7" t="s">
        <v>1739</v>
      </c>
      <c r="H965" s="7" t="s">
        <v>38</v>
      </c>
      <c r="I965" s="7" t="s">
        <v>9</v>
      </c>
      <c r="J965" s="7" t="s">
        <v>39</v>
      </c>
      <c r="K965" s="7" t="s">
        <v>33</v>
      </c>
      <c r="L965" s="7" t="s">
        <v>42</v>
      </c>
      <c r="M965" s="7" t="s">
        <v>33</v>
      </c>
      <c r="N965" s="7" t="s">
        <v>33</v>
      </c>
      <c r="O965" s="7" t="s">
        <v>33</v>
      </c>
      <c r="P965" s="11" t="str">
        <f t="shared" si="28"/>
        <v>胜</v>
      </c>
      <c r="Q965" s="11" t="str">
        <f t="shared" si="29"/>
        <v>胜</v>
      </c>
    </row>
    <row r="966" spans="4:17" x14ac:dyDescent="0.15">
      <c r="D966" s="7" t="s">
        <v>6</v>
      </c>
      <c r="E966" s="7" t="s">
        <v>1740</v>
      </c>
      <c r="F966" s="7" t="s">
        <v>1740</v>
      </c>
      <c r="G966" s="7" t="s">
        <v>1741</v>
      </c>
      <c r="H966" s="7" t="s">
        <v>32</v>
      </c>
      <c r="I966" s="11" t="s">
        <v>10</v>
      </c>
      <c r="J966" s="7" t="s">
        <v>10</v>
      </c>
      <c r="K966" s="7" t="s">
        <v>33</v>
      </c>
      <c r="L966" s="7" t="s">
        <v>52</v>
      </c>
      <c r="M966" s="7" t="s">
        <v>10</v>
      </c>
      <c r="N966" s="7" t="s">
        <v>10</v>
      </c>
      <c r="O966" s="7" t="s">
        <v>33</v>
      </c>
      <c r="P966" s="11" t="str">
        <f t="shared" si="28"/>
        <v>平</v>
      </c>
      <c r="Q966" s="11" t="str">
        <f t="shared" si="29"/>
        <v>平</v>
      </c>
    </row>
    <row r="967" spans="4:17" x14ac:dyDescent="0.15">
      <c r="D967" s="7" t="s">
        <v>6</v>
      </c>
      <c r="E967" s="7" t="s">
        <v>1742</v>
      </c>
      <c r="F967" s="7" t="s">
        <v>1742</v>
      </c>
      <c r="G967" s="7" t="s">
        <v>1743</v>
      </c>
      <c r="H967" s="7" t="s">
        <v>48</v>
      </c>
      <c r="I967" s="7" t="s">
        <v>10</v>
      </c>
      <c r="J967" s="7" t="s">
        <v>9</v>
      </c>
      <c r="K967" s="7" t="s">
        <v>33</v>
      </c>
      <c r="L967" s="7" t="s">
        <v>44</v>
      </c>
      <c r="M967" s="7" t="s">
        <v>10</v>
      </c>
      <c r="N967" s="7" t="s">
        <v>9</v>
      </c>
      <c r="O967" s="7" t="s">
        <v>33</v>
      </c>
      <c r="P967" s="11" t="str">
        <f t="shared" si="28"/>
        <v>平</v>
      </c>
      <c r="Q967" s="11" t="str">
        <f t="shared" si="29"/>
        <v>平</v>
      </c>
    </row>
    <row r="968" spans="4:17" x14ac:dyDescent="0.15">
      <c r="D968" s="7" t="s">
        <v>6</v>
      </c>
      <c r="E968" s="7" t="s">
        <v>1744</v>
      </c>
      <c r="F968" s="7" t="s">
        <v>1744</v>
      </c>
      <c r="G968" s="7" t="s">
        <v>1743</v>
      </c>
      <c r="H968" s="7" t="s">
        <v>36</v>
      </c>
      <c r="I968" s="7" t="s">
        <v>33</v>
      </c>
      <c r="J968" s="7" t="s">
        <v>9</v>
      </c>
      <c r="K968" s="7" t="s">
        <v>33</v>
      </c>
      <c r="L968" s="7" t="s">
        <v>56</v>
      </c>
      <c r="M968" s="7" t="s">
        <v>33</v>
      </c>
      <c r="N968" s="7" t="s">
        <v>33</v>
      </c>
      <c r="O968" s="7" t="s">
        <v>33</v>
      </c>
      <c r="P968" s="11" t="str">
        <f t="shared" si="28"/>
        <v>平</v>
      </c>
      <c r="Q968" s="11" t="str">
        <f t="shared" si="29"/>
        <v>胜</v>
      </c>
    </row>
    <row r="969" spans="4:17" x14ac:dyDescent="0.15">
      <c r="D969" s="7" t="s">
        <v>6</v>
      </c>
      <c r="E969" s="7" t="s">
        <v>1745</v>
      </c>
      <c r="F969" s="7" t="s">
        <v>1745</v>
      </c>
      <c r="G969" s="7" t="s">
        <v>1741</v>
      </c>
      <c r="H969" s="7" t="s">
        <v>41</v>
      </c>
      <c r="I969" s="7" t="s">
        <v>10</v>
      </c>
      <c r="J969" s="7" t="s">
        <v>9</v>
      </c>
      <c r="K969" s="7" t="s">
        <v>33</v>
      </c>
      <c r="L969" s="7" t="s">
        <v>53</v>
      </c>
      <c r="M969" s="7" t="s">
        <v>33</v>
      </c>
      <c r="N969" s="7" t="s">
        <v>39</v>
      </c>
      <c r="O969" s="7" t="s">
        <v>33</v>
      </c>
      <c r="P969" s="11" t="str">
        <f t="shared" si="28"/>
        <v>胜</v>
      </c>
      <c r="Q969" s="11" t="str">
        <f t="shared" si="29"/>
        <v>负</v>
      </c>
    </row>
    <row r="970" spans="4:17" x14ac:dyDescent="0.15">
      <c r="D970" s="7" t="s">
        <v>6</v>
      </c>
      <c r="E970" s="7" t="s">
        <v>1746</v>
      </c>
      <c r="F970" s="7" t="s">
        <v>1746</v>
      </c>
      <c r="G970" s="7" t="s">
        <v>1741</v>
      </c>
      <c r="H970" s="7" t="s">
        <v>40</v>
      </c>
      <c r="I970" s="7" t="s">
        <v>9</v>
      </c>
      <c r="J970" s="7" t="s">
        <v>39</v>
      </c>
      <c r="K970" s="7" t="s">
        <v>33</v>
      </c>
      <c r="L970" s="7" t="s">
        <v>57</v>
      </c>
      <c r="M970" s="7" t="s">
        <v>33</v>
      </c>
      <c r="N970" s="7" t="s">
        <v>33</v>
      </c>
      <c r="O970" s="7" t="s">
        <v>33</v>
      </c>
      <c r="P970" s="11" t="str">
        <f t="shared" si="28"/>
        <v>胜</v>
      </c>
      <c r="Q970" s="11" t="str">
        <f t="shared" si="29"/>
        <v>胜</v>
      </c>
    </row>
    <row r="971" spans="4:17" x14ac:dyDescent="0.15">
      <c r="D971" s="7" t="s">
        <v>6</v>
      </c>
      <c r="E971" s="7" t="s">
        <v>1747</v>
      </c>
      <c r="F971" s="7" t="s">
        <v>1747</v>
      </c>
      <c r="G971" s="7" t="s">
        <v>1748</v>
      </c>
      <c r="H971" s="7" t="s">
        <v>37</v>
      </c>
      <c r="I971" s="7" t="s">
        <v>9</v>
      </c>
      <c r="J971" s="7" t="s">
        <v>39</v>
      </c>
      <c r="K971" s="7" t="s">
        <v>33</v>
      </c>
      <c r="L971" s="7" t="s">
        <v>49</v>
      </c>
      <c r="M971" s="7" t="s">
        <v>33</v>
      </c>
      <c r="N971" s="7" t="s">
        <v>33</v>
      </c>
      <c r="O971" s="7" t="s">
        <v>33</v>
      </c>
      <c r="P971" s="11" t="str">
        <f t="shared" si="28"/>
        <v>胜</v>
      </c>
      <c r="Q971" s="11" t="str">
        <f t="shared" si="29"/>
        <v>胜</v>
      </c>
    </row>
    <row r="972" spans="4:17" x14ac:dyDescent="0.15">
      <c r="D972" s="7" t="s">
        <v>6</v>
      </c>
      <c r="E972" s="7" t="s">
        <v>1749</v>
      </c>
      <c r="F972" s="7" t="s">
        <v>1749</v>
      </c>
      <c r="G972" s="7" t="s">
        <v>1750</v>
      </c>
      <c r="H972" s="7" t="s">
        <v>54</v>
      </c>
      <c r="I972" s="7" t="s">
        <v>33</v>
      </c>
      <c r="J972" s="7" t="s">
        <v>33</v>
      </c>
      <c r="K972" s="7" t="s">
        <v>33</v>
      </c>
      <c r="L972" s="7" t="s">
        <v>46</v>
      </c>
      <c r="M972" s="7" t="s">
        <v>33</v>
      </c>
      <c r="N972" s="7" t="s">
        <v>10</v>
      </c>
      <c r="O972" s="7" t="s">
        <v>33</v>
      </c>
      <c r="P972" s="11" t="str">
        <f t="shared" si="28"/>
        <v>平</v>
      </c>
      <c r="Q972" s="11" t="str">
        <f t="shared" si="29"/>
        <v>负</v>
      </c>
    </row>
    <row r="973" spans="4:17" x14ac:dyDescent="0.15">
      <c r="D973" s="7" t="s">
        <v>6</v>
      </c>
      <c r="E973" s="7" t="s">
        <v>1751</v>
      </c>
      <c r="F973" s="7" t="s">
        <v>1751</v>
      </c>
      <c r="G973" s="7" t="s">
        <v>1752</v>
      </c>
      <c r="H973" s="7" t="s">
        <v>49</v>
      </c>
      <c r="I973" s="7" t="s">
        <v>10</v>
      </c>
      <c r="J973" s="7" t="s">
        <v>9</v>
      </c>
      <c r="K973" s="7" t="s">
        <v>33</v>
      </c>
      <c r="L973" s="7" t="s">
        <v>32</v>
      </c>
      <c r="M973" s="7" t="s">
        <v>10</v>
      </c>
      <c r="N973" s="7" t="s">
        <v>9</v>
      </c>
      <c r="O973" s="7" t="s">
        <v>33</v>
      </c>
      <c r="P973" s="11" t="str">
        <f t="shared" ref="P973:P981" si="30">IF(I973=M973,"平",IF(I973&gt;M973,"胜","负"))</f>
        <v>平</v>
      </c>
      <c r="Q973" s="11" t="str">
        <f t="shared" ref="Q973:Q981" si="31">IF(J973=N973,"平",IF(J973&gt;N973,"胜","负"))</f>
        <v>平</v>
      </c>
    </row>
    <row r="974" spans="4:17" x14ac:dyDescent="0.15">
      <c r="D974" s="7" t="s">
        <v>6</v>
      </c>
      <c r="E974" s="7" t="s">
        <v>1753</v>
      </c>
      <c r="F974" s="7" t="s">
        <v>1753</v>
      </c>
      <c r="G974" s="7" t="s">
        <v>1754</v>
      </c>
      <c r="H974" s="7" t="s">
        <v>56</v>
      </c>
      <c r="I974" s="7" t="s">
        <v>10</v>
      </c>
      <c r="J974" s="7" t="s">
        <v>10</v>
      </c>
      <c r="K974" s="7" t="s">
        <v>33</v>
      </c>
      <c r="L974" s="7" t="s">
        <v>41</v>
      </c>
      <c r="M974" s="7" t="s">
        <v>33</v>
      </c>
      <c r="N974" s="7" t="s">
        <v>10</v>
      </c>
      <c r="O974" s="7" t="s">
        <v>33</v>
      </c>
      <c r="P974" s="11" t="str">
        <f t="shared" si="30"/>
        <v>胜</v>
      </c>
      <c r="Q974" s="11" t="str">
        <f t="shared" si="31"/>
        <v>平</v>
      </c>
    </row>
    <row r="975" spans="4:17" x14ac:dyDescent="0.15">
      <c r="D975" s="7" t="s">
        <v>6</v>
      </c>
      <c r="E975" s="7" t="s">
        <v>1755</v>
      </c>
      <c r="F975" s="7" t="s">
        <v>1755</v>
      </c>
      <c r="G975" s="7" t="s">
        <v>1754</v>
      </c>
      <c r="H975" s="7" t="s">
        <v>53</v>
      </c>
      <c r="I975" s="7" t="s">
        <v>10</v>
      </c>
      <c r="J975" s="7" t="s">
        <v>9</v>
      </c>
      <c r="K975" s="7" t="s">
        <v>33</v>
      </c>
      <c r="L975" s="7" t="s">
        <v>54</v>
      </c>
      <c r="M975" s="7" t="s">
        <v>10</v>
      </c>
      <c r="N975" s="7" t="s">
        <v>10</v>
      </c>
      <c r="O975" s="7" t="s">
        <v>33</v>
      </c>
      <c r="P975" s="11" t="str">
        <f t="shared" si="30"/>
        <v>平</v>
      </c>
      <c r="Q975" s="11" t="str">
        <f t="shared" si="31"/>
        <v>胜</v>
      </c>
    </row>
    <row r="976" spans="4:17" x14ac:dyDescent="0.15">
      <c r="D976" s="7" t="s">
        <v>6</v>
      </c>
      <c r="E976" s="7" t="s">
        <v>1756</v>
      </c>
      <c r="F976" s="7" t="s">
        <v>1756</v>
      </c>
      <c r="G976" s="7" t="s">
        <v>1757</v>
      </c>
      <c r="H976" s="7" t="s">
        <v>57</v>
      </c>
      <c r="I976" s="7" t="s">
        <v>10</v>
      </c>
      <c r="J976" s="7" t="s">
        <v>9</v>
      </c>
      <c r="K976" s="7" t="s">
        <v>33</v>
      </c>
      <c r="L976" s="7" t="s">
        <v>36</v>
      </c>
      <c r="M976" s="7" t="s">
        <v>33</v>
      </c>
      <c r="N976" s="7" t="s">
        <v>33</v>
      </c>
      <c r="O976" s="7" t="s">
        <v>33</v>
      </c>
      <c r="P976" s="11" t="str">
        <f t="shared" si="30"/>
        <v>胜</v>
      </c>
      <c r="Q976" s="11" t="str">
        <f t="shared" si="31"/>
        <v>胜</v>
      </c>
    </row>
    <row r="977" spans="4:17" x14ac:dyDescent="0.15">
      <c r="D977" s="7" t="s">
        <v>6</v>
      </c>
      <c r="E977" s="7" t="s">
        <v>1758</v>
      </c>
      <c r="F977" s="7" t="s">
        <v>1758</v>
      </c>
      <c r="G977" s="7" t="s">
        <v>1757</v>
      </c>
      <c r="H977" s="7" t="s">
        <v>52</v>
      </c>
      <c r="I977" s="7" t="s">
        <v>33</v>
      </c>
      <c r="J977" s="7" t="s">
        <v>33</v>
      </c>
      <c r="K977" s="7" t="s">
        <v>33</v>
      </c>
      <c r="L977" s="7" t="s">
        <v>37</v>
      </c>
      <c r="M977" s="7" t="s">
        <v>33</v>
      </c>
      <c r="N977" s="7" t="s">
        <v>10</v>
      </c>
      <c r="O977" s="7" t="s">
        <v>33</v>
      </c>
      <c r="P977" s="11" t="str">
        <f t="shared" si="30"/>
        <v>平</v>
      </c>
      <c r="Q977" s="11" t="str">
        <f t="shared" si="31"/>
        <v>负</v>
      </c>
    </row>
    <row r="978" spans="4:17" x14ac:dyDescent="0.15">
      <c r="D978" s="7" t="s">
        <v>6</v>
      </c>
      <c r="E978" s="7" t="s">
        <v>1759</v>
      </c>
      <c r="F978" s="7" t="s">
        <v>1759</v>
      </c>
      <c r="G978" s="7" t="s">
        <v>1760</v>
      </c>
      <c r="H978" s="7" t="s">
        <v>46</v>
      </c>
      <c r="I978" s="7" t="s">
        <v>33</v>
      </c>
      <c r="J978" s="7" t="s">
        <v>33</v>
      </c>
      <c r="K978" s="7" t="s">
        <v>33</v>
      </c>
      <c r="L978" s="7" t="s">
        <v>38</v>
      </c>
      <c r="M978" s="7" t="s">
        <v>50</v>
      </c>
      <c r="N978" s="7" t="s">
        <v>50</v>
      </c>
      <c r="O978" s="7" t="s">
        <v>33</v>
      </c>
      <c r="P978" s="11" t="str">
        <f t="shared" si="30"/>
        <v>负</v>
      </c>
      <c r="Q978" s="11" t="str">
        <f t="shared" si="31"/>
        <v>负</v>
      </c>
    </row>
    <row r="979" spans="4:17" x14ac:dyDescent="0.15">
      <c r="D979" s="7" t="s">
        <v>6</v>
      </c>
      <c r="E979" s="7" t="s">
        <v>1761</v>
      </c>
      <c r="F979" s="7" t="s">
        <v>1761</v>
      </c>
      <c r="G979" s="7" t="s">
        <v>1762</v>
      </c>
      <c r="H979" s="7" t="s">
        <v>42</v>
      </c>
      <c r="I979" s="7" t="s">
        <v>10</v>
      </c>
      <c r="J979" s="7" t="s">
        <v>9</v>
      </c>
      <c r="K979" s="7" t="s">
        <v>33</v>
      </c>
      <c r="L979" s="7" t="s">
        <v>48</v>
      </c>
      <c r="M979" s="7" t="s">
        <v>33</v>
      </c>
      <c r="N979" s="7" t="s">
        <v>10</v>
      </c>
      <c r="O979" s="7" t="s">
        <v>33</v>
      </c>
      <c r="P979" s="11" t="str">
        <f t="shared" si="30"/>
        <v>胜</v>
      </c>
      <c r="Q979" s="11" t="str">
        <f t="shared" si="31"/>
        <v>胜</v>
      </c>
    </row>
    <row r="980" spans="4:17" x14ac:dyDescent="0.15">
      <c r="D980" s="7" t="s">
        <v>6</v>
      </c>
      <c r="E980" s="7" t="s">
        <v>1763</v>
      </c>
      <c r="F980" s="7" t="s">
        <v>1763</v>
      </c>
      <c r="G980" s="7" t="s">
        <v>1764</v>
      </c>
      <c r="H980" s="7" t="s">
        <v>44</v>
      </c>
      <c r="I980" s="7" t="s">
        <v>33</v>
      </c>
      <c r="J980" s="7" t="s">
        <v>10</v>
      </c>
      <c r="K980" s="7" t="s">
        <v>33</v>
      </c>
      <c r="L980" s="7" t="s">
        <v>40</v>
      </c>
      <c r="M980" s="7" t="s">
        <v>10</v>
      </c>
      <c r="N980" s="7" t="s">
        <v>10</v>
      </c>
      <c r="O980" s="7" t="s">
        <v>33</v>
      </c>
      <c r="P980" s="11" t="str">
        <f t="shared" si="30"/>
        <v>负</v>
      </c>
      <c r="Q980" s="11" t="str">
        <f t="shared" si="31"/>
        <v>平</v>
      </c>
    </row>
    <row r="981" spans="4:17" x14ac:dyDescent="0.15">
      <c r="D981" s="7" t="s">
        <v>6</v>
      </c>
      <c r="E981" s="7" t="s">
        <v>1765</v>
      </c>
      <c r="F981" s="7" t="s">
        <v>1765</v>
      </c>
      <c r="G981" s="7" t="s">
        <v>1766</v>
      </c>
      <c r="H981" s="7" t="s">
        <v>37</v>
      </c>
      <c r="I981" s="7" t="s">
        <v>10</v>
      </c>
      <c r="J981" s="7" t="s">
        <v>9</v>
      </c>
      <c r="K981" s="7" t="s">
        <v>33</v>
      </c>
      <c r="L981" s="7" t="s">
        <v>53</v>
      </c>
      <c r="M981" s="7" t="s">
        <v>33</v>
      </c>
      <c r="N981" s="7" t="s">
        <v>10</v>
      </c>
      <c r="O981" s="7" t="s">
        <v>33</v>
      </c>
      <c r="P981" s="11" t="str">
        <f t="shared" si="30"/>
        <v>胜</v>
      </c>
      <c r="Q981" s="11" t="str">
        <f t="shared" si="31"/>
        <v>胜</v>
      </c>
    </row>
  </sheetData>
  <autoFilter ref="D10:Q981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D1:Q991"/>
  <sheetViews>
    <sheetView topLeftCell="E1" workbookViewId="0">
      <pane ySplit="11" topLeftCell="A228" activePane="bottomLeft" state="frozen"/>
      <selection pane="bottomLeft" activeCell="E1" sqref="A1:XFD8"/>
    </sheetView>
  </sheetViews>
  <sheetFormatPr defaultRowHeight="13.5" x14ac:dyDescent="0.15"/>
  <cols>
    <col min="1" max="7" width="9" style="2"/>
    <col min="8" max="8" width="10.25" style="2" customWidth="1"/>
    <col min="9" max="15" width="9" style="2"/>
    <col min="16" max="17" width="3.375" style="5" bestFit="1" customWidth="1"/>
    <col min="18" max="16384" width="9" style="2"/>
  </cols>
  <sheetData>
    <row r="1" spans="4:17" s="13" customFormat="1" ht="14.25" thickBot="1" x14ac:dyDescent="0.2">
      <c r="H1" s="14" t="s">
        <v>1773</v>
      </c>
      <c r="I1" s="15" t="s">
        <v>1778</v>
      </c>
      <c r="J1" s="15" t="s">
        <v>1780</v>
      </c>
      <c r="K1" s="16" t="s">
        <v>1785</v>
      </c>
      <c r="L1" s="17" t="s">
        <v>1770</v>
      </c>
      <c r="M1" s="18" t="s">
        <v>1778</v>
      </c>
      <c r="N1" s="18" t="s">
        <v>1780</v>
      </c>
      <c r="O1" s="19" t="s">
        <v>1784</v>
      </c>
      <c r="P1" s="20"/>
      <c r="Q1" s="20"/>
    </row>
    <row r="2" spans="4:17" s="13" customFormat="1" ht="27.75" thickBot="1" x14ac:dyDescent="0.2">
      <c r="H2" s="21" t="s">
        <v>1781</v>
      </c>
      <c r="I2" s="22">
        <f>SUMIF($H$12:$H2214,$H$2,I$12:I2214)</f>
        <v>29</v>
      </c>
      <c r="J2" s="22">
        <f>SUMIF($H$12:$H2214,$H$2,J$12:J2214)</f>
        <v>75</v>
      </c>
      <c r="K2" s="22">
        <f>COUNTIF($H$12:$H2214,$H$2)</f>
        <v>45</v>
      </c>
      <c r="L2" s="21" t="s">
        <v>1782</v>
      </c>
      <c r="M2" s="22">
        <f>SUMIF($L$12:$L2214,$L$2,M$12:M2214)</f>
        <v>21</v>
      </c>
      <c r="N2" s="22">
        <f>SUMIF($L$12:$L2214,$L$2,N$12:N2214)</f>
        <v>67</v>
      </c>
      <c r="O2" s="22">
        <f>COUNTIF($L$12:$L2214,$L$2)</f>
        <v>46</v>
      </c>
      <c r="P2" s="20"/>
      <c r="Q2" s="20"/>
    </row>
    <row r="3" spans="4:17" s="13" customFormat="1" ht="14.25" thickBot="1" x14ac:dyDescent="0.2">
      <c r="H3" s="14"/>
      <c r="I3" s="15" t="s">
        <v>1787</v>
      </c>
      <c r="J3" s="15" t="s">
        <v>1788</v>
      </c>
      <c r="K3" s="16"/>
      <c r="L3" s="17"/>
      <c r="M3" s="18" t="s">
        <v>1787</v>
      </c>
      <c r="N3" s="18" t="s">
        <v>1789</v>
      </c>
      <c r="O3" s="19"/>
      <c r="P3" s="20"/>
      <c r="Q3" s="20"/>
    </row>
    <row r="4" spans="4:17" s="13" customFormat="1" ht="14.25" thickBot="1" x14ac:dyDescent="0.2">
      <c r="H4" s="22"/>
      <c r="I4" s="23">
        <f>I2/K2</f>
        <v>0.64444444444444449</v>
      </c>
      <c r="J4" s="23">
        <f>J2/K2</f>
        <v>1.6666666666666667</v>
      </c>
      <c r="K4" s="23"/>
      <c r="L4" s="23"/>
      <c r="M4" s="23">
        <f>M2/O2</f>
        <v>0.45652173913043476</v>
      </c>
      <c r="N4" s="23">
        <f>N2/O2</f>
        <v>1.4565217391304348</v>
      </c>
      <c r="O4" s="22"/>
      <c r="P4" s="20"/>
      <c r="Q4" s="20"/>
    </row>
    <row r="5" spans="4:17" s="13" customFormat="1" ht="27.75" thickBot="1" x14ac:dyDescent="0.2">
      <c r="H5" s="14"/>
      <c r="I5" s="15" t="s">
        <v>1791</v>
      </c>
      <c r="J5" s="15"/>
      <c r="K5" s="16"/>
      <c r="L5" s="17"/>
      <c r="M5" s="18" t="s">
        <v>1791</v>
      </c>
      <c r="N5" s="18"/>
      <c r="O5" s="19"/>
      <c r="P5" s="20"/>
      <c r="Q5" s="20"/>
    </row>
    <row r="6" spans="4:17" s="13" customFormat="1" ht="14.25" thickBot="1" x14ac:dyDescent="0.2">
      <c r="I6" s="13">
        <f>COUNTIFS($H$12:$H2214,$H$2,$I$12:$I2214,"&gt;0")</f>
        <v>21</v>
      </c>
      <c r="M6" s="13">
        <f>COUNTIFS($L$12:$L2214,$H$2,$M$12:$M2214,"&gt;0")</f>
        <v>19</v>
      </c>
      <c r="P6" s="20"/>
      <c r="Q6" s="20"/>
    </row>
    <row r="7" spans="4:17" s="13" customFormat="1" ht="27.75" thickBot="1" x14ac:dyDescent="0.2">
      <c r="H7" s="14"/>
      <c r="I7" s="15" t="s">
        <v>1793</v>
      </c>
      <c r="J7" s="15"/>
      <c r="K7" s="16"/>
      <c r="L7" s="17"/>
      <c r="M7" s="18" t="s">
        <v>1794</v>
      </c>
      <c r="N7" s="18"/>
      <c r="O7" s="19"/>
      <c r="P7" s="20"/>
      <c r="Q7" s="20"/>
    </row>
    <row r="8" spans="4:17" s="13" customFormat="1" ht="12.75" customHeight="1" x14ac:dyDescent="0.15">
      <c r="I8" s="13">
        <f>COUNTIFS($H$12:$H2214,$H$2,$M$12:$M2214,"&gt;0")</f>
        <v>26</v>
      </c>
      <c r="M8" s="13">
        <f>COUNTIFS($L$12:$L2214,$H$2,$I$12:$I2214,"&gt;0")</f>
        <v>28</v>
      </c>
      <c r="P8" s="20"/>
      <c r="Q8" s="20"/>
    </row>
    <row r="9" spans="4:17" s="13" customFormat="1" x14ac:dyDescent="0.15">
      <c r="P9" s="20"/>
      <c r="Q9" s="20"/>
    </row>
    <row r="10" spans="4:17" x14ac:dyDescent="0.15">
      <c r="D10" s="2" t="s">
        <v>0</v>
      </c>
      <c r="E10" s="2" t="s">
        <v>15</v>
      </c>
      <c r="F10" s="2" t="s">
        <v>19</v>
      </c>
      <c r="G10" s="2" t="s">
        <v>1</v>
      </c>
      <c r="H10" s="2" t="s">
        <v>2</v>
      </c>
      <c r="I10" s="2" t="s">
        <v>13</v>
      </c>
      <c r="J10" s="2" t="s">
        <v>11</v>
      </c>
      <c r="L10" s="2" t="s">
        <v>12</v>
      </c>
      <c r="M10" s="2" t="s">
        <v>1771</v>
      </c>
      <c r="N10" s="2" t="s">
        <v>12</v>
      </c>
    </row>
    <row r="11" spans="4:17" x14ac:dyDescent="0.15">
      <c r="D11" s="2" t="s">
        <v>17</v>
      </c>
      <c r="E11" s="2" t="s">
        <v>21</v>
      </c>
      <c r="F11" s="2" t="s">
        <v>18</v>
      </c>
      <c r="G11" s="2" t="s">
        <v>22</v>
      </c>
      <c r="H11" s="2" t="s">
        <v>23</v>
      </c>
      <c r="I11" s="2" t="s">
        <v>1795</v>
      </c>
      <c r="J11" s="2" t="s">
        <v>25</v>
      </c>
      <c r="K11" s="2" t="s">
        <v>26</v>
      </c>
      <c r="L11" s="2" t="s">
        <v>27</v>
      </c>
      <c r="M11" s="2" t="s">
        <v>28</v>
      </c>
      <c r="N11" s="2" t="s">
        <v>29</v>
      </c>
      <c r="O11" s="2" t="s">
        <v>30</v>
      </c>
    </row>
    <row r="12" spans="4:17" customFormat="1" hidden="1" x14ac:dyDescent="0.15">
      <c r="D12" t="s">
        <v>6</v>
      </c>
      <c r="E12" s="1">
        <v>8101</v>
      </c>
      <c r="F12" s="1">
        <v>8101</v>
      </c>
      <c r="G12" s="8">
        <v>41800</v>
      </c>
      <c r="H12" s="1" t="s">
        <v>31</v>
      </c>
      <c r="I12" s="1">
        <v>1</v>
      </c>
      <c r="J12" s="1">
        <v>1</v>
      </c>
      <c r="K12" s="1">
        <v>0</v>
      </c>
      <c r="L12" s="1" t="s">
        <v>32</v>
      </c>
      <c r="M12" s="1">
        <v>0</v>
      </c>
      <c r="N12" s="1">
        <v>0</v>
      </c>
      <c r="O12" s="1">
        <v>0</v>
      </c>
      <c r="P12" s="11" t="str">
        <f>IF(I12=M12,"平",IF(I12&gt;M12,"胜","负"))</f>
        <v>胜</v>
      </c>
      <c r="Q12" s="11" t="str">
        <f>IF(J12=N12,"平",IF(J12&gt;N12,"胜","负"))</f>
        <v>胜</v>
      </c>
    </row>
    <row r="13" spans="4:17" customFormat="1" hidden="1" x14ac:dyDescent="0.15">
      <c r="D13" t="s">
        <v>6</v>
      </c>
      <c r="E13" s="1">
        <v>8102</v>
      </c>
      <c r="F13" s="1">
        <v>8102</v>
      </c>
      <c r="G13" s="8">
        <v>41800</v>
      </c>
      <c r="H13" s="1" t="s">
        <v>34</v>
      </c>
      <c r="I13" s="1">
        <v>0</v>
      </c>
      <c r="J13" s="1">
        <v>0</v>
      </c>
      <c r="K13" s="1">
        <v>0</v>
      </c>
      <c r="L13" s="1" t="s">
        <v>35</v>
      </c>
      <c r="M13" s="1">
        <v>0</v>
      </c>
      <c r="N13" s="1">
        <v>0</v>
      </c>
      <c r="O13" s="1">
        <v>0</v>
      </c>
      <c r="P13" s="11" t="str">
        <f t="shared" ref="P13:Q76" si="0">IF(I13=M13,"平",IF(I13&gt;M13,"胜","负"))</f>
        <v>平</v>
      </c>
      <c r="Q13" s="11" t="str">
        <f t="shared" si="0"/>
        <v>平</v>
      </c>
    </row>
    <row r="14" spans="4:17" customFormat="1" hidden="1" x14ac:dyDescent="0.15">
      <c r="D14" t="s">
        <v>6</v>
      </c>
      <c r="E14" s="1">
        <v>8238</v>
      </c>
      <c r="F14" s="1">
        <v>8238</v>
      </c>
      <c r="G14" s="8">
        <v>41802.958333333336</v>
      </c>
      <c r="H14" s="1" t="s">
        <v>36</v>
      </c>
      <c r="I14" s="1">
        <v>0</v>
      </c>
      <c r="J14" s="1">
        <v>2</v>
      </c>
      <c r="K14" s="1">
        <v>0</v>
      </c>
      <c r="L14" s="1" t="s">
        <v>37</v>
      </c>
      <c r="M14" s="1">
        <v>2</v>
      </c>
      <c r="N14" s="1">
        <v>4</v>
      </c>
      <c r="O14" s="1">
        <v>0</v>
      </c>
      <c r="P14" s="11" t="str">
        <f t="shared" si="0"/>
        <v>负</v>
      </c>
      <c r="Q14" s="11" t="str">
        <f t="shared" si="0"/>
        <v>负</v>
      </c>
    </row>
    <row r="15" spans="4:17" customFormat="1" hidden="1" x14ac:dyDescent="0.15">
      <c r="D15" t="s">
        <v>6</v>
      </c>
      <c r="E15" s="1">
        <v>10533</v>
      </c>
      <c r="F15" s="1">
        <v>10533</v>
      </c>
      <c r="G15" s="8">
        <v>41825.896527777775</v>
      </c>
      <c r="H15" s="1" t="s">
        <v>38</v>
      </c>
      <c r="I15" s="1">
        <v>2</v>
      </c>
      <c r="J15" s="1">
        <v>3</v>
      </c>
      <c r="K15" s="1">
        <v>0</v>
      </c>
      <c r="L15" s="1" t="s">
        <v>35</v>
      </c>
      <c r="M15" s="1">
        <v>0</v>
      </c>
      <c r="N15" s="1">
        <v>0</v>
      </c>
      <c r="O15" s="1">
        <v>0</v>
      </c>
      <c r="P15" s="11" t="str">
        <f t="shared" si="0"/>
        <v>胜</v>
      </c>
      <c r="Q15" s="11" t="str">
        <f t="shared" si="0"/>
        <v>胜</v>
      </c>
    </row>
    <row r="16" spans="4:17" customFormat="1" hidden="1" x14ac:dyDescent="0.15">
      <c r="D16" t="s">
        <v>6</v>
      </c>
      <c r="E16" s="1">
        <v>10655</v>
      </c>
      <c r="F16" s="1">
        <v>10655</v>
      </c>
      <c r="G16" s="8">
        <v>41826.895138888889</v>
      </c>
      <c r="H16" s="1" t="s">
        <v>40</v>
      </c>
      <c r="I16" s="1">
        <v>0</v>
      </c>
      <c r="J16" s="1">
        <v>1</v>
      </c>
      <c r="K16" s="1">
        <v>0</v>
      </c>
      <c r="L16" s="1" t="s">
        <v>31</v>
      </c>
      <c r="M16" s="1">
        <v>0</v>
      </c>
      <c r="N16" s="1">
        <v>0</v>
      </c>
      <c r="O16" s="1">
        <v>0</v>
      </c>
      <c r="P16" s="11" t="str">
        <f t="shared" si="0"/>
        <v>平</v>
      </c>
      <c r="Q16" s="11" t="str">
        <f t="shared" si="0"/>
        <v>胜</v>
      </c>
    </row>
    <row r="17" spans="4:17" customFormat="1" hidden="1" x14ac:dyDescent="0.15">
      <c r="D17" t="s">
        <v>6</v>
      </c>
      <c r="E17" s="1">
        <v>10856</v>
      </c>
      <c r="F17" s="1">
        <v>10856</v>
      </c>
      <c r="G17" s="8">
        <v>41827.000694444447</v>
      </c>
      <c r="H17" s="1" t="s">
        <v>41</v>
      </c>
      <c r="I17" s="1">
        <v>1</v>
      </c>
      <c r="J17" s="1">
        <v>2</v>
      </c>
      <c r="K17" s="1">
        <v>0</v>
      </c>
      <c r="L17" s="1" t="s">
        <v>32</v>
      </c>
      <c r="M17" s="1">
        <v>0</v>
      </c>
      <c r="N17" s="1">
        <v>1</v>
      </c>
      <c r="O17" s="1">
        <v>0</v>
      </c>
      <c r="P17" s="11" t="str">
        <f t="shared" si="0"/>
        <v>胜</v>
      </c>
      <c r="Q17" s="11" t="str">
        <f t="shared" si="0"/>
        <v>胜</v>
      </c>
    </row>
    <row r="18" spans="4:17" customFormat="1" hidden="1" x14ac:dyDescent="0.15">
      <c r="D18" t="s">
        <v>6</v>
      </c>
      <c r="E18" s="1">
        <v>10858</v>
      </c>
      <c r="F18" s="1">
        <v>10858</v>
      </c>
      <c r="G18" s="8">
        <v>41827</v>
      </c>
      <c r="H18" s="1" t="s">
        <v>42</v>
      </c>
      <c r="I18" s="1">
        <v>0</v>
      </c>
      <c r="J18" s="1">
        <v>0</v>
      </c>
      <c r="K18" s="1">
        <v>0</v>
      </c>
      <c r="L18" s="1" t="s">
        <v>43</v>
      </c>
      <c r="M18" s="1">
        <v>1</v>
      </c>
      <c r="N18" s="1">
        <v>2</v>
      </c>
      <c r="O18" s="1">
        <v>0</v>
      </c>
      <c r="P18" s="11" t="str">
        <f t="shared" si="0"/>
        <v>负</v>
      </c>
      <c r="Q18" s="11" t="str">
        <f t="shared" si="0"/>
        <v>负</v>
      </c>
    </row>
    <row r="19" spans="4:17" customFormat="1" hidden="1" x14ac:dyDescent="0.15">
      <c r="D19" t="s">
        <v>6</v>
      </c>
      <c r="E19" s="1">
        <v>10859</v>
      </c>
      <c r="F19" s="1">
        <v>10859</v>
      </c>
      <c r="G19" s="8">
        <v>41827</v>
      </c>
      <c r="H19" s="1" t="s">
        <v>36</v>
      </c>
      <c r="I19" s="1">
        <v>1</v>
      </c>
      <c r="J19" s="1">
        <v>3</v>
      </c>
      <c r="K19" s="1">
        <v>0</v>
      </c>
      <c r="L19" s="1" t="s">
        <v>44</v>
      </c>
      <c r="M19" s="1">
        <v>1</v>
      </c>
      <c r="N19" s="1">
        <v>1</v>
      </c>
      <c r="O19" s="1">
        <v>0</v>
      </c>
      <c r="P19" s="11" t="str">
        <f t="shared" si="0"/>
        <v>平</v>
      </c>
      <c r="Q19" s="11" t="str">
        <f t="shared" si="0"/>
        <v>胜</v>
      </c>
    </row>
    <row r="20" spans="4:17" customFormat="1" hidden="1" x14ac:dyDescent="0.15">
      <c r="D20" t="s">
        <v>6</v>
      </c>
      <c r="E20" s="1">
        <v>10860</v>
      </c>
      <c r="F20" s="1">
        <v>10860</v>
      </c>
      <c r="G20" s="8">
        <v>41827</v>
      </c>
      <c r="H20" s="1" t="s">
        <v>45</v>
      </c>
      <c r="I20" s="1">
        <v>0</v>
      </c>
      <c r="J20" s="1">
        <v>0</v>
      </c>
      <c r="K20" s="1">
        <v>0</v>
      </c>
      <c r="L20" s="1" t="s">
        <v>46</v>
      </c>
      <c r="M20" s="1">
        <v>2</v>
      </c>
      <c r="N20" s="1">
        <v>2</v>
      </c>
      <c r="O20" s="1">
        <v>0</v>
      </c>
      <c r="P20" s="11" t="str">
        <f t="shared" si="0"/>
        <v>负</v>
      </c>
      <c r="Q20" s="11" t="str">
        <f t="shared" si="0"/>
        <v>负</v>
      </c>
    </row>
    <row r="21" spans="4:17" customFormat="1" hidden="1" x14ac:dyDescent="0.15">
      <c r="D21" t="s">
        <v>6</v>
      </c>
      <c r="E21" s="1">
        <v>10865</v>
      </c>
      <c r="F21" s="1">
        <v>10865</v>
      </c>
      <c r="G21" s="8">
        <v>41827.041666666664</v>
      </c>
      <c r="H21" s="1" t="s">
        <v>37</v>
      </c>
      <c r="I21" s="1">
        <v>2</v>
      </c>
      <c r="J21" s="1">
        <v>5</v>
      </c>
      <c r="K21" s="1">
        <v>0</v>
      </c>
      <c r="L21" s="1" t="s">
        <v>48</v>
      </c>
      <c r="M21" s="1">
        <v>0</v>
      </c>
      <c r="N21" s="1">
        <v>3</v>
      </c>
      <c r="O21" s="1">
        <v>0</v>
      </c>
      <c r="P21" s="11" t="str">
        <f t="shared" si="0"/>
        <v>胜</v>
      </c>
      <c r="Q21" s="11" t="str">
        <f t="shared" si="0"/>
        <v>胜</v>
      </c>
    </row>
    <row r="22" spans="4:17" customFormat="1" hidden="1" x14ac:dyDescent="0.15">
      <c r="D22" t="s">
        <v>6</v>
      </c>
      <c r="E22" s="1">
        <v>11010</v>
      </c>
      <c r="F22" s="1">
        <v>11010</v>
      </c>
      <c r="G22" s="8">
        <v>41828.040972222225</v>
      </c>
      <c r="H22" s="1" t="s">
        <v>34</v>
      </c>
      <c r="I22" s="1">
        <v>2</v>
      </c>
      <c r="J22" s="1">
        <v>2</v>
      </c>
      <c r="K22" s="1">
        <v>0</v>
      </c>
      <c r="L22" s="1" t="s">
        <v>49</v>
      </c>
      <c r="M22" s="1">
        <v>1</v>
      </c>
      <c r="N22" s="1">
        <v>2</v>
      </c>
      <c r="O22" s="1">
        <v>0</v>
      </c>
      <c r="P22" s="11" t="str">
        <f t="shared" si="0"/>
        <v>胜</v>
      </c>
      <c r="Q22" s="11" t="str">
        <f t="shared" si="0"/>
        <v>平</v>
      </c>
    </row>
    <row r="23" spans="4:17" customFormat="1" hidden="1" x14ac:dyDescent="0.15">
      <c r="D23" t="s">
        <v>6</v>
      </c>
      <c r="E23" s="1">
        <v>11327</v>
      </c>
      <c r="F23" s="1">
        <v>11327</v>
      </c>
      <c r="G23" s="8">
        <v>41832.896527777775</v>
      </c>
      <c r="H23" s="1" t="s">
        <v>35</v>
      </c>
      <c r="I23" s="1">
        <v>0</v>
      </c>
      <c r="J23" s="1">
        <v>0</v>
      </c>
      <c r="K23" s="1">
        <v>0</v>
      </c>
      <c r="L23" s="1" t="s">
        <v>45</v>
      </c>
      <c r="M23" s="1">
        <v>0</v>
      </c>
      <c r="N23" s="1">
        <v>0</v>
      </c>
      <c r="O23" s="1">
        <v>0</v>
      </c>
      <c r="P23" s="11" t="str">
        <f t="shared" si="0"/>
        <v>平</v>
      </c>
      <c r="Q23" s="11" t="str">
        <f t="shared" si="0"/>
        <v>平</v>
      </c>
    </row>
    <row r="24" spans="4:17" customFormat="1" hidden="1" x14ac:dyDescent="0.15">
      <c r="D24" t="s">
        <v>6</v>
      </c>
      <c r="E24" s="1">
        <v>11427</v>
      </c>
      <c r="F24" s="1">
        <v>11427</v>
      </c>
      <c r="G24" s="8">
        <v>41833.001388888886</v>
      </c>
      <c r="H24" s="1" t="s">
        <v>44</v>
      </c>
      <c r="I24" s="1">
        <v>0</v>
      </c>
      <c r="J24" s="1">
        <v>0</v>
      </c>
      <c r="K24" s="1">
        <v>0</v>
      </c>
      <c r="L24" s="1" t="s">
        <v>41</v>
      </c>
      <c r="M24" s="1">
        <v>0</v>
      </c>
      <c r="N24" s="1">
        <v>0</v>
      </c>
      <c r="O24" s="1">
        <v>0</v>
      </c>
      <c r="P24" s="11" t="str">
        <f t="shared" si="0"/>
        <v>平</v>
      </c>
      <c r="Q24" s="11" t="str">
        <f t="shared" si="0"/>
        <v>平</v>
      </c>
    </row>
    <row r="25" spans="4:17" customFormat="1" hidden="1" x14ac:dyDescent="0.15">
      <c r="D25" t="s">
        <v>6</v>
      </c>
      <c r="E25" s="1">
        <v>11428</v>
      </c>
      <c r="F25" s="1">
        <v>11428</v>
      </c>
      <c r="G25" s="8">
        <v>41832.999305555553</v>
      </c>
      <c r="H25" s="1" t="s">
        <v>31</v>
      </c>
      <c r="I25" s="1">
        <v>0</v>
      </c>
      <c r="J25" s="1">
        <v>1</v>
      </c>
      <c r="K25" s="1">
        <v>0</v>
      </c>
      <c r="L25" s="1" t="s">
        <v>36</v>
      </c>
      <c r="M25" s="1">
        <v>2</v>
      </c>
      <c r="N25" s="1">
        <v>2</v>
      </c>
      <c r="O25" s="1">
        <v>0</v>
      </c>
      <c r="P25" s="11" t="str">
        <f t="shared" si="0"/>
        <v>负</v>
      </c>
      <c r="Q25" s="11" t="str">
        <f t="shared" si="0"/>
        <v>负</v>
      </c>
    </row>
    <row r="26" spans="4:17" customFormat="1" hidden="1" x14ac:dyDescent="0.15">
      <c r="D26" t="s">
        <v>6</v>
      </c>
      <c r="E26" s="1">
        <v>11429</v>
      </c>
      <c r="F26" s="1">
        <v>11429</v>
      </c>
      <c r="G26" s="8">
        <v>41833.042361111111</v>
      </c>
      <c r="H26" s="1" t="s">
        <v>46</v>
      </c>
      <c r="I26" s="1">
        <v>0</v>
      </c>
      <c r="J26" s="1">
        <v>0</v>
      </c>
      <c r="K26" s="1">
        <v>0</v>
      </c>
      <c r="L26" s="1" t="s">
        <v>40</v>
      </c>
      <c r="M26" s="1">
        <v>0</v>
      </c>
      <c r="N26" s="1">
        <v>1</v>
      </c>
      <c r="O26" s="1">
        <v>0</v>
      </c>
      <c r="P26" s="11" t="str">
        <f t="shared" si="0"/>
        <v>平</v>
      </c>
      <c r="Q26" s="11" t="str">
        <f t="shared" si="0"/>
        <v>负</v>
      </c>
    </row>
    <row r="27" spans="4:17" customFormat="1" hidden="1" x14ac:dyDescent="0.15">
      <c r="D27" t="s">
        <v>6</v>
      </c>
      <c r="E27" s="1">
        <v>11495</v>
      </c>
      <c r="F27" s="1">
        <v>11495</v>
      </c>
      <c r="G27" s="8">
        <v>41832.041666666664</v>
      </c>
      <c r="H27" s="1" t="s">
        <v>43</v>
      </c>
      <c r="I27" s="1">
        <v>0</v>
      </c>
      <c r="J27" s="1">
        <v>0</v>
      </c>
      <c r="K27" s="1">
        <v>0</v>
      </c>
      <c r="L27" s="1" t="s">
        <v>38</v>
      </c>
      <c r="M27" s="1">
        <v>1</v>
      </c>
      <c r="N27" s="1">
        <v>1</v>
      </c>
      <c r="O27" s="1">
        <v>0</v>
      </c>
      <c r="P27" s="11" t="str">
        <f t="shared" si="0"/>
        <v>负</v>
      </c>
      <c r="Q27" s="11" t="str">
        <f t="shared" si="0"/>
        <v>负</v>
      </c>
    </row>
    <row r="28" spans="4:17" customFormat="1" hidden="1" x14ac:dyDescent="0.15">
      <c r="D28" t="s">
        <v>6</v>
      </c>
      <c r="E28" s="1">
        <v>11547</v>
      </c>
      <c r="F28" s="1">
        <v>11547</v>
      </c>
      <c r="G28" s="8">
        <v>41833.895833333336</v>
      </c>
      <c r="H28" s="1" t="s">
        <v>48</v>
      </c>
      <c r="I28" s="1">
        <v>2</v>
      </c>
      <c r="J28" s="1">
        <v>2</v>
      </c>
      <c r="K28" s="1">
        <v>0</v>
      </c>
      <c r="L28" s="1" t="s">
        <v>42</v>
      </c>
      <c r="M28" s="1">
        <v>0</v>
      </c>
      <c r="N28" s="1">
        <v>0</v>
      </c>
      <c r="O28" s="1">
        <v>0</v>
      </c>
      <c r="P28" s="11" t="str">
        <f t="shared" si="0"/>
        <v>胜</v>
      </c>
      <c r="Q28" s="11" t="str">
        <f t="shared" si="0"/>
        <v>胜</v>
      </c>
    </row>
    <row r="29" spans="4:17" customFormat="1" hidden="1" x14ac:dyDescent="0.15">
      <c r="D29" t="s">
        <v>6</v>
      </c>
      <c r="E29" s="1">
        <v>11548</v>
      </c>
      <c r="F29" s="1">
        <v>11548</v>
      </c>
      <c r="G29" s="8">
        <v>41833.958333333336</v>
      </c>
      <c r="H29" s="1" t="s">
        <v>49</v>
      </c>
      <c r="I29" s="1">
        <v>0</v>
      </c>
      <c r="J29" s="1">
        <v>2</v>
      </c>
      <c r="K29" s="1">
        <v>0</v>
      </c>
      <c r="L29" s="1" t="s">
        <v>37</v>
      </c>
      <c r="M29" s="1">
        <v>2</v>
      </c>
      <c r="N29" s="1">
        <v>2</v>
      </c>
      <c r="O29" s="1">
        <v>0</v>
      </c>
      <c r="P29" s="11" t="str">
        <f t="shared" si="0"/>
        <v>负</v>
      </c>
      <c r="Q29" s="11" t="str">
        <f t="shared" si="0"/>
        <v>平</v>
      </c>
    </row>
    <row r="30" spans="4:17" x14ac:dyDescent="0.15">
      <c r="D30" s="2" t="s">
        <v>6</v>
      </c>
      <c r="E30" s="6">
        <v>11954</v>
      </c>
      <c r="F30" s="6">
        <v>11954</v>
      </c>
      <c r="G30" s="24">
        <v>41833</v>
      </c>
      <c r="H30" s="6" t="s">
        <v>32</v>
      </c>
      <c r="I30" s="6">
        <v>0</v>
      </c>
      <c r="J30" s="6">
        <v>0</v>
      </c>
      <c r="K30" s="6">
        <v>0</v>
      </c>
      <c r="L30" s="6" t="s">
        <v>34</v>
      </c>
      <c r="M30" s="6">
        <v>0</v>
      </c>
      <c r="N30" s="6">
        <v>3</v>
      </c>
      <c r="O30" s="6">
        <v>0</v>
      </c>
      <c r="P30" s="11" t="str">
        <f t="shared" si="0"/>
        <v>平</v>
      </c>
      <c r="Q30" s="11" t="str">
        <f t="shared" si="0"/>
        <v>负</v>
      </c>
    </row>
    <row r="31" spans="4:17" customFormat="1" hidden="1" x14ac:dyDescent="0.15">
      <c r="D31" t="s">
        <v>6</v>
      </c>
      <c r="E31" s="1">
        <v>12351</v>
      </c>
      <c r="F31" s="1">
        <v>12351</v>
      </c>
      <c r="G31" s="8">
        <v>41839.041666666664</v>
      </c>
      <c r="H31" s="1" t="s">
        <v>42</v>
      </c>
      <c r="I31" s="1">
        <v>0</v>
      </c>
      <c r="J31" s="1">
        <v>1</v>
      </c>
      <c r="K31" s="1">
        <v>0</v>
      </c>
      <c r="L31" s="1" t="s">
        <v>46</v>
      </c>
      <c r="M31" s="1">
        <v>0</v>
      </c>
      <c r="N31" s="1">
        <v>1</v>
      </c>
      <c r="O31" s="1">
        <v>0</v>
      </c>
      <c r="P31" s="11" t="str">
        <f t="shared" si="0"/>
        <v>平</v>
      </c>
      <c r="Q31" s="11" t="str">
        <f t="shared" si="0"/>
        <v>平</v>
      </c>
    </row>
    <row r="32" spans="4:17" customFormat="1" hidden="1" x14ac:dyDescent="0.15">
      <c r="D32" t="s">
        <v>6</v>
      </c>
      <c r="E32" s="1">
        <v>12359</v>
      </c>
      <c r="F32" s="1">
        <v>12359</v>
      </c>
      <c r="G32" s="8">
        <v>41839.895833333336</v>
      </c>
      <c r="H32" s="1" t="s">
        <v>36</v>
      </c>
      <c r="I32" s="1">
        <v>0</v>
      </c>
      <c r="J32" s="1">
        <v>2</v>
      </c>
      <c r="K32" s="1">
        <v>0</v>
      </c>
      <c r="L32" s="1" t="s">
        <v>32</v>
      </c>
      <c r="M32" s="1">
        <v>0</v>
      </c>
      <c r="N32" s="1">
        <v>1</v>
      </c>
      <c r="O32" s="1">
        <v>0</v>
      </c>
      <c r="P32" s="11" t="str">
        <f t="shared" si="0"/>
        <v>平</v>
      </c>
      <c r="Q32" s="11" t="str">
        <f t="shared" si="0"/>
        <v>胜</v>
      </c>
    </row>
    <row r="33" spans="4:17" customFormat="1" hidden="1" x14ac:dyDescent="0.15">
      <c r="D33" t="s">
        <v>6</v>
      </c>
      <c r="E33" s="1">
        <v>12487</v>
      </c>
      <c r="F33" s="1">
        <v>12487</v>
      </c>
      <c r="G33" s="8">
        <v>41839.999305555553</v>
      </c>
      <c r="H33" s="1" t="s">
        <v>40</v>
      </c>
      <c r="I33" s="1">
        <v>0</v>
      </c>
      <c r="J33" s="1">
        <v>0</v>
      </c>
      <c r="K33" s="1">
        <v>0</v>
      </c>
      <c r="L33" s="1" t="s">
        <v>49</v>
      </c>
      <c r="M33" s="1">
        <v>2</v>
      </c>
      <c r="N33" s="1">
        <v>2</v>
      </c>
      <c r="O33" s="1">
        <v>0</v>
      </c>
      <c r="P33" s="11" t="str">
        <f t="shared" si="0"/>
        <v>负</v>
      </c>
      <c r="Q33" s="11" t="str">
        <f t="shared" si="0"/>
        <v>负</v>
      </c>
    </row>
    <row r="34" spans="4:17" customFormat="1" hidden="1" x14ac:dyDescent="0.15">
      <c r="D34" t="s">
        <v>6</v>
      </c>
      <c r="E34" s="1">
        <v>12521</v>
      </c>
      <c r="F34" s="1">
        <v>12521</v>
      </c>
      <c r="G34" s="8">
        <v>41840.895833333336</v>
      </c>
      <c r="H34" s="1" t="s">
        <v>38</v>
      </c>
      <c r="I34" s="1">
        <v>1</v>
      </c>
      <c r="J34" s="1">
        <v>3</v>
      </c>
      <c r="K34" s="1">
        <v>0</v>
      </c>
      <c r="L34" s="1" t="s">
        <v>31</v>
      </c>
      <c r="M34" s="1">
        <v>1</v>
      </c>
      <c r="N34" s="1">
        <v>1</v>
      </c>
      <c r="O34" s="1">
        <v>0</v>
      </c>
      <c r="P34" s="11" t="str">
        <f t="shared" si="0"/>
        <v>平</v>
      </c>
      <c r="Q34" s="11" t="str">
        <f t="shared" si="0"/>
        <v>胜</v>
      </c>
    </row>
    <row r="35" spans="4:17" customFormat="1" hidden="1" x14ac:dyDescent="0.15">
      <c r="D35" t="s">
        <v>6</v>
      </c>
      <c r="E35" s="1">
        <v>12695</v>
      </c>
      <c r="F35" s="1">
        <v>12695</v>
      </c>
      <c r="G35" s="8">
        <v>41841</v>
      </c>
      <c r="H35" s="1" t="s">
        <v>37</v>
      </c>
      <c r="I35" s="1">
        <v>1</v>
      </c>
      <c r="J35" s="1">
        <v>1</v>
      </c>
      <c r="K35" s="1">
        <v>0</v>
      </c>
      <c r="L35" s="1" t="s">
        <v>35</v>
      </c>
      <c r="M35" s="1">
        <v>0</v>
      </c>
      <c r="N35" s="1">
        <v>0</v>
      </c>
      <c r="O35" s="1">
        <v>0</v>
      </c>
      <c r="P35" s="11" t="str">
        <f t="shared" si="0"/>
        <v>胜</v>
      </c>
      <c r="Q35" s="11" t="str">
        <f t="shared" si="0"/>
        <v>胜</v>
      </c>
    </row>
    <row r="36" spans="4:17" customFormat="1" hidden="1" x14ac:dyDescent="0.15">
      <c r="D36" t="s">
        <v>6</v>
      </c>
      <c r="E36" s="1">
        <v>12696</v>
      </c>
      <c r="F36" s="1">
        <v>12696</v>
      </c>
      <c r="G36" s="8">
        <v>41841</v>
      </c>
      <c r="H36" s="1" t="s">
        <v>34</v>
      </c>
      <c r="I36" s="1">
        <v>0</v>
      </c>
      <c r="J36" s="1">
        <v>0</v>
      </c>
      <c r="K36" s="1">
        <v>0</v>
      </c>
      <c r="L36" s="1" t="s">
        <v>48</v>
      </c>
      <c r="M36" s="1">
        <v>0</v>
      </c>
      <c r="N36" s="1">
        <v>0</v>
      </c>
      <c r="O36" s="1">
        <v>0</v>
      </c>
      <c r="P36" s="11" t="str">
        <f t="shared" si="0"/>
        <v>平</v>
      </c>
      <c r="Q36" s="11" t="str">
        <f t="shared" si="0"/>
        <v>平</v>
      </c>
    </row>
    <row r="37" spans="4:17" customFormat="1" hidden="1" x14ac:dyDescent="0.15">
      <c r="D37" t="s">
        <v>6</v>
      </c>
      <c r="E37" s="1">
        <v>12700</v>
      </c>
      <c r="F37" s="1">
        <v>12700</v>
      </c>
      <c r="G37" s="8">
        <v>41841.041666666664</v>
      </c>
      <c r="H37" s="1" t="s">
        <v>45</v>
      </c>
      <c r="I37" s="1">
        <v>0</v>
      </c>
      <c r="J37" s="1">
        <v>0</v>
      </c>
      <c r="K37" s="1">
        <v>0</v>
      </c>
      <c r="L37" s="1" t="s">
        <v>44</v>
      </c>
      <c r="M37" s="1">
        <v>0</v>
      </c>
      <c r="N37" s="1">
        <v>0</v>
      </c>
      <c r="O37" s="1">
        <v>0</v>
      </c>
      <c r="P37" s="11" t="str">
        <f t="shared" si="0"/>
        <v>平</v>
      </c>
      <c r="Q37" s="11" t="str">
        <f t="shared" si="0"/>
        <v>平</v>
      </c>
    </row>
    <row r="38" spans="4:17" customFormat="1" hidden="1" x14ac:dyDescent="0.15">
      <c r="D38" t="s">
        <v>6</v>
      </c>
      <c r="E38" s="1">
        <v>18158</v>
      </c>
      <c r="F38" s="1">
        <v>18158</v>
      </c>
      <c r="G38" s="8">
        <v>41843.042361111111</v>
      </c>
      <c r="H38" s="1" t="s">
        <v>41</v>
      </c>
      <c r="I38" s="1">
        <v>2</v>
      </c>
      <c r="J38" s="1">
        <v>3</v>
      </c>
      <c r="K38" s="1">
        <v>0</v>
      </c>
      <c r="L38" s="1" t="s">
        <v>43</v>
      </c>
      <c r="M38" s="1">
        <v>0</v>
      </c>
      <c r="N38" s="1">
        <v>2</v>
      </c>
      <c r="O38" s="1">
        <v>0</v>
      </c>
      <c r="P38" s="11" t="str">
        <f t="shared" si="0"/>
        <v>胜</v>
      </c>
      <c r="Q38" s="11" t="str">
        <f t="shared" si="0"/>
        <v>胜</v>
      </c>
    </row>
    <row r="39" spans="4:17" customFormat="1" hidden="1" x14ac:dyDescent="0.15">
      <c r="D39" t="s">
        <v>6</v>
      </c>
      <c r="E39" s="1">
        <v>18475</v>
      </c>
      <c r="F39" s="1">
        <v>18475</v>
      </c>
      <c r="G39" s="8">
        <v>41846.895138888889</v>
      </c>
      <c r="H39" s="1" t="s">
        <v>43</v>
      </c>
      <c r="I39" s="1">
        <v>0</v>
      </c>
      <c r="J39" s="1">
        <v>1</v>
      </c>
      <c r="K39" s="1">
        <v>0</v>
      </c>
      <c r="L39" s="1" t="s">
        <v>44</v>
      </c>
      <c r="M39" s="1">
        <v>0</v>
      </c>
      <c r="N39" s="1">
        <v>1</v>
      </c>
      <c r="O39" s="1">
        <v>0</v>
      </c>
      <c r="P39" s="11" t="str">
        <f t="shared" si="0"/>
        <v>平</v>
      </c>
      <c r="Q39" s="11" t="str">
        <f t="shared" si="0"/>
        <v>平</v>
      </c>
    </row>
    <row r="40" spans="4:17" customFormat="1" hidden="1" x14ac:dyDescent="0.15">
      <c r="D40" t="s">
        <v>6</v>
      </c>
      <c r="E40" s="1">
        <v>18600</v>
      </c>
      <c r="F40" s="1">
        <v>18600</v>
      </c>
      <c r="G40" s="8">
        <v>41847.000694444447</v>
      </c>
      <c r="H40" s="1" t="s">
        <v>31</v>
      </c>
      <c r="I40" s="1">
        <v>1</v>
      </c>
      <c r="J40" s="1">
        <v>1</v>
      </c>
      <c r="K40" s="1">
        <v>0</v>
      </c>
      <c r="L40" s="1" t="s">
        <v>40</v>
      </c>
      <c r="M40" s="1">
        <v>1</v>
      </c>
      <c r="N40" s="1">
        <v>3</v>
      </c>
      <c r="O40" s="1">
        <v>0</v>
      </c>
      <c r="P40" s="11" t="str">
        <f t="shared" si="0"/>
        <v>平</v>
      </c>
      <c r="Q40" s="11" t="str">
        <f t="shared" si="0"/>
        <v>负</v>
      </c>
    </row>
    <row r="41" spans="4:17" customFormat="1" hidden="1" x14ac:dyDescent="0.15">
      <c r="D41" t="s">
        <v>6</v>
      </c>
      <c r="E41" s="1">
        <v>18630</v>
      </c>
      <c r="F41" s="1">
        <v>18630</v>
      </c>
      <c r="G41" s="8">
        <v>41847.896527777775</v>
      </c>
      <c r="H41" s="1" t="s">
        <v>48</v>
      </c>
      <c r="I41" s="1">
        <v>2</v>
      </c>
      <c r="J41" s="1">
        <v>5</v>
      </c>
      <c r="K41" s="1">
        <v>0</v>
      </c>
      <c r="L41" s="1" t="s">
        <v>36</v>
      </c>
      <c r="M41" s="1">
        <v>1</v>
      </c>
      <c r="N41" s="1">
        <v>1</v>
      </c>
      <c r="O41" s="1">
        <v>0</v>
      </c>
      <c r="P41" s="11" t="str">
        <f t="shared" si="0"/>
        <v>胜</v>
      </c>
      <c r="Q41" s="11" t="str">
        <f t="shared" si="0"/>
        <v>胜</v>
      </c>
    </row>
    <row r="42" spans="4:17" customFormat="1" hidden="1" x14ac:dyDescent="0.15">
      <c r="D42" t="s">
        <v>6</v>
      </c>
      <c r="E42" s="1">
        <v>18900</v>
      </c>
      <c r="F42" s="1">
        <v>18900</v>
      </c>
      <c r="G42" s="8">
        <v>41848</v>
      </c>
      <c r="H42" s="1" t="s">
        <v>38</v>
      </c>
      <c r="I42" s="1">
        <v>1</v>
      </c>
      <c r="J42" s="1">
        <v>3</v>
      </c>
      <c r="K42" s="1">
        <v>0</v>
      </c>
      <c r="L42" s="1" t="s">
        <v>37</v>
      </c>
      <c r="M42" s="1">
        <v>0</v>
      </c>
      <c r="N42" s="1">
        <v>1</v>
      </c>
      <c r="O42" s="1">
        <v>0</v>
      </c>
      <c r="P42" s="11" t="str">
        <f t="shared" si="0"/>
        <v>胜</v>
      </c>
      <c r="Q42" s="11" t="str">
        <f t="shared" si="0"/>
        <v>胜</v>
      </c>
    </row>
    <row r="43" spans="4:17" customFormat="1" hidden="1" x14ac:dyDescent="0.15">
      <c r="D43" t="s">
        <v>6</v>
      </c>
      <c r="E43" s="1">
        <v>18910</v>
      </c>
      <c r="F43" s="1">
        <v>18910</v>
      </c>
      <c r="G43" s="8">
        <v>41848.084027777775</v>
      </c>
      <c r="H43" s="1" t="s">
        <v>46</v>
      </c>
      <c r="I43" s="1">
        <v>0</v>
      </c>
      <c r="J43" s="1">
        <v>0</v>
      </c>
      <c r="K43" s="1">
        <v>0</v>
      </c>
      <c r="L43" s="1" t="s">
        <v>45</v>
      </c>
      <c r="M43" s="1">
        <v>1</v>
      </c>
      <c r="N43" s="1">
        <v>1</v>
      </c>
      <c r="O43" s="1">
        <v>0</v>
      </c>
      <c r="P43" s="11" t="str">
        <f t="shared" si="0"/>
        <v>负</v>
      </c>
      <c r="Q43" s="11" t="str">
        <f t="shared" si="0"/>
        <v>负</v>
      </c>
    </row>
    <row r="44" spans="4:17" customFormat="1" hidden="1" x14ac:dyDescent="0.15">
      <c r="D44" t="s">
        <v>6</v>
      </c>
      <c r="E44" s="1">
        <v>19481</v>
      </c>
      <c r="F44" s="1">
        <v>19481</v>
      </c>
      <c r="G44" s="8">
        <v>41848</v>
      </c>
      <c r="H44" s="1" t="s">
        <v>35</v>
      </c>
      <c r="I44" s="1">
        <v>0</v>
      </c>
      <c r="J44" s="1">
        <v>1</v>
      </c>
      <c r="K44" s="1">
        <v>0</v>
      </c>
      <c r="L44" s="1" t="s">
        <v>34</v>
      </c>
      <c r="M44" s="1">
        <v>1</v>
      </c>
      <c r="N44" s="1">
        <v>3</v>
      </c>
      <c r="O44" s="1">
        <v>0</v>
      </c>
      <c r="P44" s="11" t="str">
        <f t="shared" si="0"/>
        <v>负</v>
      </c>
      <c r="Q44" s="11" t="str">
        <f t="shared" si="0"/>
        <v>负</v>
      </c>
    </row>
    <row r="45" spans="4:17" x14ac:dyDescent="0.15">
      <c r="D45" s="2" t="s">
        <v>6</v>
      </c>
      <c r="E45" s="6">
        <v>19482</v>
      </c>
      <c r="F45" s="6">
        <v>19482</v>
      </c>
      <c r="G45" s="24">
        <v>41848.000694444447</v>
      </c>
      <c r="H45" s="6" t="s">
        <v>32</v>
      </c>
      <c r="I45" s="6">
        <v>2</v>
      </c>
      <c r="J45" s="6">
        <v>3</v>
      </c>
      <c r="K45" s="6">
        <v>0</v>
      </c>
      <c r="L45" s="6" t="s">
        <v>41</v>
      </c>
      <c r="M45" s="6">
        <v>1</v>
      </c>
      <c r="N45" s="6">
        <v>4</v>
      </c>
      <c r="O45" s="6">
        <v>0</v>
      </c>
      <c r="P45" s="11" t="str">
        <f t="shared" si="0"/>
        <v>胜</v>
      </c>
      <c r="Q45" s="11" t="str">
        <f t="shared" si="0"/>
        <v>负</v>
      </c>
    </row>
    <row r="46" spans="4:17" customFormat="1" hidden="1" x14ac:dyDescent="0.15">
      <c r="D46" t="s">
        <v>6</v>
      </c>
      <c r="E46" s="1">
        <v>19524</v>
      </c>
      <c r="F46" s="1">
        <v>19524</v>
      </c>
      <c r="G46" s="8">
        <v>41850.041666666664</v>
      </c>
      <c r="H46" s="1" t="s">
        <v>49</v>
      </c>
      <c r="I46" s="1">
        <v>2</v>
      </c>
      <c r="J46" s="1">
        <v>3</v>
      </c>
      <c r="K46" s="1">
        <v>0</v>
      </c>
      <c r="L46" s="1" t="s">
        <v>42</v>
      </c>
      <c r="M46" s="1">
        <v>1</v>
      </c>
      <c r="N46" s="1">
        <v>2</v>
      </c>
      <c r="O46" s="1">
        <v>0</v>
      </c>
      <c r="P46" s="11" t="str">
        <f t="shared" si="0"/>
        <v>胜</v>
      </c>
      <c r="Q46" s="11" t="str">
        <f t="shared" si="0"/>
        <v>胜</v>
      </c>
    </row>
    <row r="47" spans="4:17" customFormat="1" hidden="1" x14ac:dyDescent="0.15">
      <c r="D47" t="s">
        <v>6</v>
      </c>
      <c r="E47" s="1">
        <v>19855</v>
      </c>
      <c r="F47" s="1">
        <v>19855</v>
      </c>
      <c r="G47" s="8">
        <v>41853.896527777775</v>
      </c>
      <c r="H47" s="1" t="s">
        <v>40</v>
      </c>
      <c r="I47" s="1">
        <v>1</v>
      </c>
      <c r="J47" s="1">
        <v>1</v>
      </c>
      <c r="K47" s="1">
        <v>0</v>
      </c>
      <c r="L47" s="1" t="s">
        <v>35</v>
      </c>
      <c r="M47" s="1">
        <v>0</v>
      </c>
      <c r="N47" s="1">
        <v>1</v>
      </c>
      <c r="O47" s="1">
        <v>0</v>
      </c>
      <c r="P47" s="11" t="str">
        <f t="shared" si="0"/>
        <v>胜</v>
      </c>
      <c r="Q47" s="11" t="str">
        <f t="shared" si="0"/>
        <v>平</v>
      </c>
    </row>
    <row r="48" spans="4:17" customFormat="1" hidden="1" x14ac:dyDescent="0.15">
      <c r="D48" t="s">
        <v>6</v>
      </c>
      <c r="E48" s="1">
        <v>20044</v>
      </c>
      <c r="F48" s="1">
        <v>20044</v>
      </c>
      <c r="G48" s="8">
        <v>41854</v>
      </c>
      <c r="H48" s="1" t="s">
        <v>45</v>
      </c>
      <c r="I48" s="1">
        <v>1</v>
      </c>
      <c r="J48" s="1">
        <v>5</v>
      </c>
      <c r="K48" s="1">
        <v>0</v>
      </c>
      <c r="L48" s="1" t="s">
        <v>49</v>
      </c>
      <c r="M48" s="1">
        <v>2</v>
      </c>
      <c r="N48" s="1">
        <v>5</v>
      </c>
      <c r="O48" s="1">
        <v>0</v>
      </c>
      <c r="P48" s="11" t="str">
        <f t="shared" si="0"/>
        <v>负</v>
      </c>
      <c r="Q48" s="11" t="str">
        <f t="shared" si="0"/>
        <v>平</v>
      </c>
    </row>
    <row r="49" spans="4:17" customFormat="1" hidden="1" x14ac:dyDescent="0.15">
      <c r="D49" t="s">
        <v>6</v>
      </c>
      <c r="E49" s="1">
        <v>20079</v>
      </c>
      <c r="F49" s="1">
        <v>20079</v>
      </c>
      <c r="G49" s="8">
        <v>41854.896527777775</v>
      </c>
      <c r="H49" s="1" t="s">
        <v>34</v>
      </c>
      <c r="I49" s="1">
        <v>0</v>
      </c>
      <c r="J49" s="1">
        <v>3</v>
      </c>
      <c r="K49" s="1">
        <v>0</v>
      </c>
      <c r="L49" s="1" t="s">
        <v>31</v>
      </c>
      <c r="M49" s="1">
        <v>0</v>
      </c>
      <c r="N49" s="1">
        <v>1</v>
      </c>
      <c r="O49" s="1">
        <v>0</v>
      </c>
      <c r="P49" s="11" t="str">
        <f t="shared" si="0"/>
        <v>平</v>
      </c>
      <c r="Q49" s="11" t="str">
        <f t="shared" si="0"/>
        <v>胜</v>
      </c>
    </row>
    <row r="50" spans="4:17" customFormat="1" hidden="1" x14ac:dyDescent="0.15">
      <c r="D50" t="s">
        <v>6</v>
      </c>
      <c r="E50" s="1">
        <v>20109</v>
      </c>
      <c r="F50" s="1">
        <v>20109</v>
      </c>
      <c r="G50" s="8">
        <v>41853.041666666664</v>
      </c>
      <c r="H50" s="1" t="s">
        <v>44</v>
      </c>
      <c r="I50" s="1">
        <v>2</v>
      </c>
      <c r="J50" s="1">
        <v>4</v>
      </c>
      <c r="K50" s="1">
        <v>0</v>
      </c>
      <c r="L50" s="1" t="s">
        <v>46</v>
      </c>
      <c r="M50" s="1">
        <v>1</v>
      </c>
      <c r="N50" s="1">
        <v>3</v>
      </c>
      <c r="O50" s="1">
        <v>0</v>
      </c>
      <c r="P50" s="11" t="str">
        <f t="shared" si="0"/>
        <v>胜</v>
      </c>
      <c r="Q50" s="11" t="str">
        <f t="shared" si="0"/>
        <v>胜</v>
      </c>
    </row>
    <row r="51" spans="4:17" customFormat="1" hidden="1" x14ac:dyDescent="0.15">
      <c r="D51" t="s">
        <v>6</v>
      </c>
      <c r="E51" s="1">
        <v>20268</v>
      </c>
      <c r="F51" s="1">
        <v>20268</v>
      </c>
      <c r="G51" s="8">
        <v>41855</v>
      </c>
      <c r="H51" s="1" t="s">
        <v>41</v>
      </c>
      <c r="I51" s="1">
        <v>0</v>
      </c>
      <c r="J51" s="1">
        <v>0</v>
      </c>
      <c r="K51" s="1">
        <v>0</v>
      </c>
      <c r="L51" s="1" t="s">
        <v>48</v>
      </c>
      <c r="M51" s="1">
        <v>1</v>
      </c>
      <c r="N51" s="1">
        <v>2</v>
      </c>
      <c r="O51" s="1">
        <v>0</v>
      </c>
      <c r="P51" s="11" t="str">
        <f t="shared" si="0"/>
        <v>负</v>
      </c>
      <c r="Q51" s="11" t="str">
        <f t="shared" si="0"/>
        <v>负</v>
      </c>
    </row>
    <row r="52" spans="4:17" customFormat="1" hidden="1" x14ac:dyDescent="0.15">
      <c r="D52" t="s">
        <v>6</v>
      </c>
      <c r="E52" s="1">
        <v>20269</v>
      </c>
      <c r="F52" s="1">
        <v>20269</v>
      </c>
      <c r="G52" s="8">
        <v>41855</v>
      </c>
      <c r="H52" s="1" t="s">
        <v>36</v>
      </c>
      <c r="I52" s="1">
        <v>0</v>
      </c>
      <c r="J52" s="1">
        <v>1</v>
      </c>
      <c r="K52" s="1">
        <v>0</v>
      </c>
      <c r="L52" s="1" t="s">
        <v>38</v>
      </c>
      <c r="M52" s="1">
        <v>0</v>
      </c>
      <c r="N52" s="1">
        <v>1</v>
      </c>
      <c r="O52" s="1">
        <v>0</v>
      </c>
      <c r="P52" s="11" t="str">
        <f t="shared" si="0"/>
        <v>平</v>
      </c>
      <c r="Q52" s="11" t="str">
        <f t="shared" si="0"/>
        <v>平</v>
      </c>
    </row>
    <row r="53" spans="4:17" customFormat="1" hidden="1" x14ac:dyDescent="0.15">
      <c r="D53" t="s">
        <v>6</v>
      </c>
      <c r="E53" s="1">
        <v>20270</v>
      </c>
      <c r="F53" s="1">
        <v>20270</v>
      </c>
      <c r="G53" s="8">
        <v>41855</v>
      </c>
      <c r="H53" s="1" t="s">
        <v>43</v>
      </c>
      <c r="I53" s="1">
        <v>1</v>
      </c>
      <c r="J53" s="1">
        <v>2</v>
      </c>
      <c r="K53" s="1">
        <v>0</v>
      </c>
      <c r="L53" s="1" t="s">
        <v>32</v>
      </c>
      <c r="M53" s="1">
        <v>0</v>
      </c>
      <c r="N53" s="1">
        <v>1</v>
      </c>
      <c r="O53" s="1">
        <v>0</v>
      </c>
      <c r="P53" s="11" t="str">
        <f t="shared" si="0"/>
        <v>胜</v>
      </c>
      <c r="Q53" s="11" t="str">
        <f t="shared" si="0"/>
        <v>胜</v>
      </c>
    </row>
    <row r="54" spans="4:17" customFormat="1" hidden="1" x14ac:dyDescent="0.15">
      <c r="D54" t="s">
        <v>6</v>
      </c>
      <c r="E54" s="1">
        <v>20279</v>
      </c>
      <c r="F54" s="1">
        <v>20279</v>
      </c>
      <c r="G54" s="8">
        <v>41855.041666666664</v>
      </c>
      <c r="H54" s="1" t="s">
        <v>42</v>
      </c>
      <c r="I54" s="1">
        <v>3</v>
      </c>
      <c r="J54" s="1">
        <v>4</v>
      </c>
      <c r="K54" s="1">
        <v>0</v>
      </c>
      <c r="L54" s="1" t="s">
        <v>37</v>
      </c>
      <c r="M54" s="1">
        <v>0</v>
      </c>
      <c r="N54" s="1">
        <v>1</v>
      </c>
      <c r="O54" s="1">
        <v>0</v>
      </c>
      <c r="P54" s="11" t="str">
        <f t="shared" si="0"/>
        <v>胜</v>
      </c>
      <c r="Q54" s="11" t="str">
        <f t="shared" si="0"/>
        <v>胜</v>
      </c>
    </row>
    <row r="55" spans="4:17" customFormat="1" hidden="1" x14ac:dyDescent="0.15">
      <c r="D55" t="s">
        <v>6</v>
      </c>
      <c r="E55" s="1">
        <v>21195</v>
      </c>
      <c r="F55" s="1">
        <v>21195</v>
      </c>
      <c r="G55" s="8">
        <v>41860.042361111111</v>
      </c>
      <c r="H55" s="1" t="s">
        <v>46</v>
      </c>
      <c r="I55" s="1">
        <v>0</v>
      </c>
      <c r="J55" s="1">
        <v>1</v>
      </c>
      <c r="K55" s="1">
        <v>0</v>
      </c>
      <c r="L55" s="1" t="s">
        <v>43</v>
      </c>
      <c r="M55" s="1">
        <v>0</v>
      </c>
      <c r="N55" s="1">
        <v>0</v>
      </c>
      <c r="O55" s="1">
        <v>0</v>
      </c>
      <c r="P55" s="11" t="str">
        <f t="shared" si="0"/>
        <v>平</v>
      </c>
      <c r="Q55" s="11" t="str">
        <f t="shared" si="0"/>
        <v>胜</v>
      </c>
    </row>
    <row r="56" spans="4:17" customFormat="1" hidden="1" x14ac:dyDescent="0.15">
      <c r="D56" t="s">
        <v>6</v>
      </c>
      <c r="E56" s="1">
        <v>21212</v>
      </c>
      <c r="F56" s="1">
        <v>21212</v>
      </c>
      <c r="G56" s="8">
        <v>41860.895833333336</v>
      </c>
      <c r="H56" s="1" t="s">
        <v>49</v>
      </c>
      <c r="I56" s="1">
        <v>0</v>
      </c>
      <c r="J56" s="1">
        <v>2</v>
      </c>
      <c r="K56" s="1">
        <v>0</v>
      </c>
      <c r="L56" s="1" t="s">
        <v>41</v>
      </c>
      <c r="M56" s="1">
        <v>0</v>
      </c>
      <c r="N56" s="1">
        <v>2</v>
      </c>
      <c r="O56" s="1">
        <v>0</v>
      </c>
      <c r="P56" s="11" t="str">
        <f t="shared" si="0"/>
        <v>平</v>
      </c>
      <c r="Q56" s="11" t="str">
        <f t="shared" si="0"/>
        <v>平</v>
      </c>
    </row>
    <row r="57" spans="4:17" customFormat="1" hidden="1" x14ac:dyDescent="0.15">
      <c r="D57" t="s">
        <v>6</v>
      </c>
      <c r="E57" s="1">
        <v>21413</v>
      </c>
      <c r="F57" s="1">
        <v>21413</v>
      </c>
      <c r="G57" s="8">
        <v>41861</v>
      </c>
      <c r="H57" s="1" t="s">
        <v>34</v>
      </c>
      <c r="I57" s="1">
        <v>0</v>
      </c>
      <c r="J57" s="1">
        <v>1</v>
      </c>
      <c r="K57" s="1">
        <v>0</v>
      </c>
      <c r="L57" s="1" t="s">
        <v>40</v>
      </c>
      <c r="M57" s="1">
        <v>0</v>
      </c>
      <c r="N57" s="1">
        <v>0</v>
      </c>
      <c r="O57" s="1">
        <v>0</v>
      </c>
      <c r="P57" s="11" t="str">
        <f t="shared" si="0"/>
        <v>平</v>
      </c>
      <c r="Q57" s="11" t="str">
        <f t="shared" si="0"/>
        <v>胜</v>
      </c>
    </row>
    <row r="58" spans="4:17" customFormat="1" hidden="1" x14ac:dyDescent="0.15">
      <c r="D58" t="s">
        <v>6</v>
      </c>
      <c r="E58" s="1">
        <v>21467</v>
      </c>
      <c r="F58" s="1">
        <v>21467</v>
      </c>
      <c r="G58" s="8">
        <v>41862</v>
      </c>
      <c r="H58" s="1" t="s">
        <v>35</v>
      </c>
      <c r="I58" s="1">
        <v>0</v>
      </c>
      <c r="J58" s="1">
        <v>0</v>
      </c>
      <c r="K58" s="1">
        <v>0</v>
      </c>
      <c r="L58" s="1" t="s">
        <v>32</v>
      </c>
      <c r="M58" s="1">
        <v>0</v>
      </c>
      <c r="N58" s="1">
        <v>1</v>
      </c>
      <c r="O58" s="1">
        <v>0</v>
      </c>
      <c r="P58" s="11" t="str">
        <f t="shared" si="0"/>
        <v>平</v>
      </c>
      <c r="Q58" s="11" t="str">
        <f t="shared" si="0"/>
        <v>负</v>
      </c>
    </row>
    <row r="59" spans="4:17" customFormat="1" hidden="1" x14ac:dyDescent="0.15">
      <c r="D59" t="s">
        <v>6</v>
      </c>
      <c r="E59" s="1">
        <v>21468</v>
      </c>
      <c r="F59" s="1">
        <v>21468</v>
      </c>
      <c r="G59" s="8">
        <v>41862</v>
      </c>
      <c r="H59" s="1" t="s">
        <v>31</v>
      </c>
      <c r="I59" s="1">
        <v>0</v>
      </c>
      <c r="J59" s="1">
        <v>0</v>
      </c>
      <c r="K59" s="1">
        <v>0</v>
      </c>
      <c r="L59" s="1" t="s">
        <v>44</v>
      </c>
      <c r="M59" s="1">
        <v>0</v>
      </c>
      <c r="N59" s="1">
        <v>0</v>
      </c>
      <c r="O59" s="1">
        <v>0</v>
      </c>
      <c r="P59" s="11" t="str">
        <f t="shared" si="0"/>
        <v>平</v>
      </c>
      <c r="Q59" s="11" t="str">
        <f t="shared" si="0"/>
        <v>平</v>
      </c>
    </row>
    <row r="60" spans="4:17" customFormat="1" hidden="1" x14ac:dyDescent="0.15">
      <c r="D60" t="s">
        <v>6</v>
      </c>
      <c r="E60" s="1">
        <v>21469</v>
      </c>
      <c r="F60" s="1">
        <v>21469</v>
      </c>
      <c r="G60" s="8">
        <v>41862</v>
      </c>
      <c r="H60" s="1" t="s">
        <v>37</v>
      </c>
      <c r="I60" s="1">
        <v>2</v>
      </c>
      <c r="J60" s="1">
        <v>3</v>
      </c>
      <c r="K60" s="1">
        <v>0</v>
      </c>
      <c r="L60" s="1" t="s">
        <v>36</v>
      </c>
      <c r="M60" s="1">
        <v>2</v>
      </c>
      <c r="N60" s="1">
        <v>2</v>
      </c>
      <c r="O60" s="1">
        <v>0</v>
      </c>
      <c r="P60" s="11" t="str">
        <f t="shared" si="0"/>
        <v>平</v>
      </c>
      <c r="Q60" s="11" t="str">
        <f t="shared" si="0"/>
        <v>胜</v>
      </c>
    </row>
    <row r="61" spans="4:17" customFormat="1" hidden="1" x14ac:dyDescent="0.15">
      <c r="D61" t="s">
        <v>6</v>
      </c>
      <c r="E61" s="1">
        <v>21475</v>
      </c>
      <c r="F61" s="1">
        <v>21475</v>
      </c>
      <c r="G61" s="8">
        <v>41862.041666666664</v>
      </c>
      <c r="H61" s="1" t="s">
        <v>48</v>
      </c>
      <c r="I61" s="1">
        <v>1</v>
      </c>
      <c r="J61" s="1">
        <v>1</v>
      </c>
      <c r="K61" s="1">
        <v>0</v>
      </c>
      <c r="L61" s="1" t="s">
        <v>45</v>
      </c>
      <c r="M61" s="1">
        <v>0</v>
      </c>
      <c r="N61" s="1">
        <v>1</v>
      </c>
      <c r="O61" s="1">
        <v>0</v>
      </c>
      <c r="P61" s="11" t="str">
        <f t="shared" si="0"/>
        <v>胜</v>
      </c>
      <c r="Q61" s="11" t="str">
        <f t="shared" si="0"/>
        <v>平</v>
      </c>
    </row>
    <row r="62" spans="4:17" customFormat="1" hidden="1" x14ac:dyDescent="0.15">
      <c r="D62" t="s">
        <v>6</v>
      </c>
      <c r="E62" s="1">
        <v>22132</v>
      </c>
      <c r="F62" s="1">
        <v>22132</v>
      </c>
      <c r="G62" s="8">
        <v>41861.895833333336</v>
      </c>
      <c r="H62" s="1" t="s">
        <v>38</v>
      </c>
      <c r="I62" s="1">
        <v>2</v>
      </c>
      <c r="J62" s="1">
        <v>2</v>
      </c>
      <c r="K62" s="1">
        <v>0</v>
      </c>
      <c r="L62" s="1" t="s">
        <v>42</v>
      </c>
      <c r="M62" s="1">
        <v>0</v>
      </c>
      <c r="N62" s="1">
        <v>2</v>
      </c>
      <c r="O62" s="1">
        <v>0</v>
      </c>
      <c r="P62" s="11" t="str">
        <f t="shared" si="0"/>
        <v>胜</v>
      </c>
      <c r="Q62" s="11" t="str">
        <f t="shared" si="0"/>
        <v>平</v>
      </c>
    </row>
    <row r="63" spans="4:17" customFormat="1" hidden="1" x14ac:dyDescent="0.15">
      <c r="D63" t="s">
        <v>6</v>
      </c>
      <c r="E63" s="1">
        <v>22819</v>
      </c>
      <c r="F63" s="1">
        <v>22819</v>
      </c>
      <c r="G63" s="8">
        <v>41867.040972222225</v>
      </c>
      <c r="H63" s="1" t="s">
        <v>36</v>
      </c>
      <c r="I63" s="1">
        <v>1</v>
      </c>
      <c r="J63" s="1">
        <v>2</v>
      </c>
      <c r="K63" s="1">
        <v>0</v>
      </c>
      <c r="L63" s="1" t="s">
        <v>40</v>
      </c>
      <c r="M63" s="1">
        <v>2</v>
      </c>
      <c r="N63" s="1">
        <v>3</v>
      </c>
      <c r="O63" s="1">
        <v>0</v>
      </c>
      <c r="P63" s="11" t="str">
        <f t="shared" si="0"/>
        <v>负</v>
      </c>
      <c r="Q63" s="11" t="str">
        <f t="shared" si="0"/>
        <v>负</v>
      </c>
    </row>
    <row r="64" spans="4:17" customFormat="1" hidden="1" x14ac:dyDescent="0.15">
      <c r="D64" t="s">
        <v>6</v>
      </c>
      <c r="E64" s="1">
        <v>22865</v>
      </c>
      <c r="F64" s="1">
        <v>22865</v>
      </c>
      <c r="G64" s="8">
        <v>41867.895833333336</v>
      </c>
      <c r="H64" s="1" t="s">
        <v>45</v>
      </c>
      <c r="I64" s="1">
        <v>1</v>
      </c>
      <c r="J64" s="1">
        <v>4</v>
      </c>
      <c r="K64" s="1">
        <v>0</v>
      </c>
      <c r="L64" s="1" t="s">
        <v>35</v>
      </c>
      <c r="M64" s="1">
        <v>2</v>
      </c>
      <c r="N64" s="1">
        <v>2</v>
      </c>
      <c r="O64" s="1">
        <v>0</v>
      </c>
      <c r="P64" s="11" t="str">
        <f t="shared" si="0"/>
        <v>负</v>
      </c>
      <c r="Q64" s="11" t="str">
        <f t="shared" si="0"/>
        <v>胜</v>
      </c>
    </row>
    <row r="65" spans="4:17" customFormat="1" hidden="1" x14ac:dyDescent="0.15">
      <c r="D65" t="s">
        <v>6</v>
      </c>
      <c r="E65" s="1">
        <v>23097</v>
      </c>
      <c r="F65" s="1">
        <v>23097</v>
      </c>
      <c r="G65" s="8">
        <v>41868.000694444447</v>
      </c>
      <c r="H65" s="1" t="s">
        <v>43</v>
      </c>
      <c r="I65" s="1">
        <v>1</v>
      </c>
      <c r="J65" s="1">
        <v>3</v>
      </c>
      <c r="K65" s="1">
        <v>0</v>
      </c>
      <c r="L65" s="1" t="s">
        <v>48</v>
      </c>
      <c r="M65" s="1">
        <v>0</v>
      </c>
      <c r="N65" s="1">
        <v>0</v>
      </c>
      <c r="O65" s="1">
        <v>0</v>
      </c>
      <c r="P65" s="11" t="str">
        <f t="shared" si="0"/>
        <v>胜</v>
      </c>
      <c r="Q65" s="11" t="str">
        <f t="shared" si="0"/>
        <v>胜</v>
      </c>
    </row>
    <row r="66" spans="4:17" customFormat="1" hidden="1" x14ac:dyDescent="0.15">
      <c r="D66" t="s">
        <v>6</v>
      </c>
      <c r="E66" s="1">
        <v>23465</v>
      </c>
      <c r="F66" s="1">
        <v>23465</v>
      </c>
      <c r="G66" s="8">
        <v>41869.000694444447</v>
      </c>
      <c r="H66" s="1" t="s">
        <v>41</v>
      </c>
      <c r="I66" s="1">
        <v>0</v>
      </c>
      <c r="J66" s="1">
        <v>0</v>
      </c>
      <c r="K66" s="1">
        <v>0</v>
      </c>
      <c r="L66" s="1" t="s">
        <v>38</v>
      </c>
      <c r="M66" s="1">
        <v>0</v>
      </c>
      <c r="N66" s="1">
        <v>2</v>
      </c>
      <c r="O66" s="1">
        <v>0</v>
      </c>
      <c r="P66" s="11" t="str">
        <f t="shared" si="0"/>
        <v>平</v>
      </c>
      <c r="Q66" s="11" t="str">
        <f t="shared" si="0"/>
        <v>负</v>
      </c>
    </row>
    <row r="67" spans="4:17" x14ac:dyDescent="0.15">
      <c r="D67" s="2" t="s">
        <v>6</v>
      </c>
      <c r="E67" s="6">
        <v>23466</v>
      </c>
      <c r="F67" s="6">
        <v>23466</v>
      </c>
      <c r="G67" s="24">
        <v>41869</v>
      </c>
      <c r="H67" s="6" t="s">
        <v>32</v>
      </c>
      <c r="I67" s="6">
        <v>0</v>
      </c>
      <c r="J67" s="6">
        <v>1</v>
      </c>
      <c r="K67" s="6">
        <v>0</v>
      </c>
      <c r="L67" s="6" t="s">
        <v>31</v>
      </c>
      <c r="M67" s="6">
        <v>0</v>
      </c>
      <c r="N67" s="6">
        <v>1</v>
      </c>
      <c r="O67" s="6">
        <v>0</v>
      </c>
      <c r="P67" s="11" t="str">
        <f t="shared" si="0"/>
        <v>平</v>
      </c>
      <c r="Q67" s="11" t="str">
        <f t="shared" si="0"/>
        <v>平</v>
      </c>
    </row>
    <row r="68" spans="4:17" customFormat="1" hidden="1" x14ac:dyDescent="0.15">
      <c r="D68" t="s">
        <v>6</v>
      </c>
      <c r="E68" s="1">
        <v>23467</v>
      </c>
      <c r="F68" s="1">
        <v>23467</v>
      </c>
      <c r="G68" s="8">
        <v>41869.000694444447</v>
      </c>
      <c r="H68" s="1" t="s">
        <v>46</v>
      </c>
      <c r="I68" s="1">
        <v>2</v>
      </c>
      <c r="J68" s="1">
        <v>3</v>
      </c>
      <c r="K68" s="1">
        <v>0</v>
      </c>
      <c r="L68" s="1" t="s">
        <v>37</v>
      </c>
      <c r="M68" s="1">
        <v>0</v>
      </c>
      <c r="N68" s="1">
        <v>1</v>
      </c>
      <c r="O68" s="1">
        <v>0</v>
      </c>
      <c r="P68" s="11" t="str">
        <f t="shared" si="0"/>
        <v>胜</v>
      </c>
      <c r="Q68" s="11" t="str">
        <f t="shared" si="0"/>
        <v>胜</v>
      </c>
    </row>
    <row r="69" spans="4:17" customFormat="1" hidden="1" x14ac:dyDescent="0.15">
      <c r="D69" t="s">
        <v>6</v>
      </c>
      <c r="E69" s="1">
        <v>23475</v>
      </c>
      <c r="F69" s="1">
        <v>23475</v>
      </c>
      <c r="G69" s="8">
        <v>41869.041666666664</v>
      </c>
      <c r="H69" s="1" t="s">
        <v>44</v>
      </c>
      <c r="I69" s="1">
        <v>1</v>
      </c>
      <c r="J69" s="1">
        <v>2</v>
      </c>
      <c r="K69" s="1">
        <v>0</v>
      </c>
      <c r="L69" s="1" t="s">
        <v>49</v>
      </c>
      <c r="M69" s="1">
        <v>0</v>
      </c>
      <c r="N69" s="1">
        <v>1</v>
      </c>
      <c r="O69" s="1">
        <v>0</v>
      </c>
      <c r="P69" s="11" t="str">
        <f t="shared" si="0"/>
        <v>胜</v>
      </c>
      <c r="Q69" s="11" t="str">
        <f t="shared" si="0"/>
        <v>胜</v>
      </c>
    </row>
    <row r="70" spans="4:17" customFormat="1" hidden="1" x14ac:dyDescent="0.15">
      <c r="D70" t="s">
        <v>6</v>
      </c>
      <c r="E70" s="1">
        <v>24128</v>
      </c>
      <c r="F70" s="1">
        <v>24128</v>
      </c>
      <c r="G70" s="8">
        <v>41868.895833333336</v>
      </c>
      <c r="H70" s="1" t="s">
        <v>42</v>
      </c>
      <c r="I70" s="1">
        <v>1</v>
      </c>
      <c r="J70" s="1">
        <v>1</v>
      </c>
      <c r="K70" s="1">
        <v>0</v>
      </c>
      <c r="L70" s="1" t="s">
        <v>34</v>
      </c>
      <c r="M70" s="1">
        <v>3</v>
      </c>
      <c r="N70" s="1">
        <v>3</v>
      </c>
      <c r="O70" s="1">
        <v>0</v>
      </c>
      <c r="P70" s="11" t="str">
        <f t="shared" si="0"/>
        <v>负</v>
      </c>
      <c r="Q70" s="11" t="str">
        <f t="shared" si="0"/>
        <v>负</v>
      </c>
    </row>
    <row r="71" spans="4:17" customFormat="1" hidden="1" x14ac:dyDescent="0.15">
      <c r="D71" t="s">
        <v>6</v>
      </c>
      <c r="E71" s="1">
        <v>24510</v>
      </c>
      <c r="F71" s="1">
        <v>24510</v>
      </c>
      <c r="G71" s="8">
        <v>41874.041666666664</v>
      </c>
      <c r="H71" s="1" t="s">
        <v>31</v>
      </c>
      <c r="I71" s="1">
        <v>1</v>
      </c>
      <c r="J71" s="1">
        <v>2</v>
      </c>
      <c r="K71" s="1">
        <v>0</v>
      </c>
      <c r="L71" s="1" t="s">
        <v>45</v>
      </c>
      <c r="M71" s="1">
        <v>1</v>
      </c>
      <c r="N71" s="1">
        <v>2</v>
      </c>
      <c r="O71" s="1">
        <v>0</v>
      </c>
      <c r="P71" s="11" t="str">
        <f t="shared" si="0"/>
        <v>平</v>
      </c>
      <c r="Q71" s="11" t="str">
        <f t="shared" si="0"/>
        <v>平</v>
      </c>
    </row>
    <row r="72" spans="4:17" customFormat="1" hidden="1" x14ac:dyDescent="0.15">
      <c r="D72" t="s">
        <v>6</v>
      </c>
      <c r="E72" s="1">
        <v>24572</v>
      </c>
      <c r="F72" s="1">
        <v>24572</v>
      </c>
      <c r="G72" s="8">
        <v>41874.895833333336</v>
      </c>
      <c r="H72" s="1" t="s">
        <v>40</v>
      </c>
      <c r="I72" s="1">
        <v>0</v>
      </c>
      <c r="J72" s="1">
        <v>2</v>
      </c>
      <c r="K72" s="1">
        <v>0</v>
      </c>
      <c r="L72" s="1" t="s">
        <v>42</v>
      </c>
      <c r="M72" s="1">
        <v>2</v>
      </c>
      <c r="N72" s="1">
        <v>3</v>
      </c>
      <c r="O72" s="1">
        <v>0</v>
      </c>
      <c r="P72" s="11" t="str">
        <f t="shared" si="0"/>
        <v>负</v>
      </c>
      <c r="Q72" s="11" t="str">
        <f t="shared" si="0"/>
        <v>负</v>
      </c>
    </row>
    <row r="73" spans="4:17" customFormat="1" hidden="1" x14ac:dyDescent="0.15">
      <c r="D73" t="s">
        <v>6</v>
      </c>
      <c r="E73" s="1">
        <v>24759</v>
      </c>
      <c r="F73" s="1">
        <v>24759</v>
      </c>
      <c r="G73" s="8">
        <v>41875</v>
      </c>
      <c r="H73" s="1" t="s">
        <v>49</v>
      </c>
      <c r="I73" s="1">
        <v>2</v>
      </c>
      <c r="J73" s="1">
        <v>3</v>
      </c>
      <c r="K73" s="1">
        <v>0</v>
      </c>
      <c r="L73" s="1" t="s">
        <v>46</v>
      </c>
      <c r="M73" s="1">
        <v>1</v>
      </c>
      <c r="N73" s="1">
        <v>3</v>
      </c>
      <c r="O73" s="1">
        <v>0</v>
      </c>
      <c r="P73" s="11" t="str">
        <f t="shared" si="0"/>
        <v>胜</v>
      </c>
      <c r="Q73" s="11" t="str">
        <f t="shared" si="0"/>
        <v>平</v>
      </c>
    </row>
    <row r="74" spans="4:17" customFormat="1" hidden="1" x14ac:dyDescent="0.15">
      <c r="D74" t="s">
        <v>6</v>
      </c>
      <c r="E74" s="1">
        <v>24832</v>
      </c>
      <c r="F74" s="1">
        <v>24832</v>
      </c>
      <c r="G74" s="8">
        <v>41875.895833333336</v>
      </c>
      <c r="H74" s="1" t="s">
        <v>34</v>
      </c>
      <c r="I74" s="1">
        <v>0</v>
      </c>
      <c r="J74" s="1">
        <v>4</v>
      </c>
      <c r="K74" s="1">
        <v>0</v>
      </c>
      <c r="L74" s="1" t="s">
        <v>36</v>
      </c>
      <c r="M74" s="1">
        <v>1</v>
      </c>
      <c r="N74" s="1">
        <v>1</v>
      </c>
      <c r="O74" s="1">
        <v>0</v>
      </c>
      <c r="P74" s="11" t="str">
        <f t="shared" si="0"/>
        <v>负</v>
      </c>
      <c r="Q74" s="11" t="str">
        <f t="shared" si="0"/>
        <v>胜</v>
      </c>
    </row>
    <row r="75" spans="4:17" customFormat="1" hidden="1" x14ac:dyDescent="0.15">
      <c r="D75" t="s">
        <v>6</v>
      </c>
      <c r="E75" s="1">
        <v>25019</v>
      </c>
      <c r="F75" s="1">
        <v>25019</v>
      </c>
      <c r="G75" s="8">
        <v>41875.999305555553</v>
      </c>
      <c r="H75" s="1" t="s">
        <v>35</v>
      </c>
      <c r="I75" s="1">
        <v>0</v>
      </c>
      <c r="J75" s="1">
        <v>0</v>
      </c>
      <c r="K75" s="1">
        <v>0</v>
      </c>
      <c r="L75" s="1" t="s">
        <v>44</v>
      </c>
      <c r="M75" s="1">
        <v>0</v>
      </c>
      <c r="N75" s="1">
        <v>1</v>
      </c>
      <c r="O75" s="1">
        <v>0</v>
      </c>
      <c r="P75" s="11" t="str">
        <f t="shared" si="0"/>
        <v>平</v>
      </c>
      <c r="Q75" s="11" t="str">
        <f t="shared" si="0"/>
        <v>负</v>
      </c>
    </row>
    <row r="76" spans="4:17" customFormat="1" hidden="1" x14ac:dyDescent="0.15">
      <c r="D76" t="s">
        <v>6</v>
      </c>
      <c r="E76" s="1">
        <v>25034</v>
      </c>
      <c r="F76" s="1">
        <v>25034</v>
      </c>
      <c r="G76" s="8">
        <v>41876.041666666664</v>
      </c>
      <c r="H76" s="1" t="s">
        <v>38</v>
      </c>
      <c r="I76" s="1">
        <v>3</v>
      </c>
      <c r="J76" s="1">
        <v>5</v>
      </c>
      <c r="K76" s="1">
        <v>0</v>
      </c>
      <c r="L76" s="1" t="s">
        <v>43</v>
      </c>
      <c r="M76" s="1">
        <v>0</v>
      </c>
      <c r="N76" s="1">
        <v>0</v>
      </c>
      <c r="O76" s="1">
        <v>0</v>
      </c>
      <c r="P76" s="11" t="str">
        <f t="shared" si="0"/>
        <v>胜</v>
      </c>
      <c r="Q76" s="11" t="str">
        <f t="shared" si="0"/>
        <v>胜</v>
      </c>
    </row>
    <row r="77" spans="4:17" customFormat="1" hidden="1" x14ac:dyDescent="0.15">
      <c r="D77" t="s">
        <v>6</v>
      </c>
      <c r="E77" s="1">
        <v>25307</v>
      </c>
      <c r="F77" s="1">
        <v>25307</v>
      </c>
      <c r="G77" s="8">
        <v>41875.999305555553</v>
      </c>
      <c r="H77" s="1" t="s">
        <v>48</v>
      </c>
      <c r="I77" s="1">
        <v>0</v>
      </c>
      <c r="J77" s="1">
        <v>1</v>
      </c>
      <c r="K77" s="1">
        <v>0</v>
      </c>
      <c r="L77" s="1" t="s">
        <v>32</v>
      </c>
      <c r="M77" s="1">
        <v>2</v>
      </c>
      <c r="N77" s="1">
        <v>2</v>
      </c>
      <c r="O77" s="1">
        <v>0</v>
      </c>
      <c r="P77" s="11" t="str">
        <f t="shared" ref="P77:Q140" si="1">IF(I77=M77,"平",IF(I77&gt;M77,"胜","负"))</f>
        <v>负</v>
      </c>
      <c r="Q77" s="11" t="str">
        <f t="shared" si="1"/>
        <v>负</v>
      </c>
    </row>
    <row r="78" spans="4:17" customFormat="1" hidden="1" x14ac:dyDescent="0.15">
      <c r="D78" t="s">
        <v>6</v>
      </c>
      <c r="E78" s="1">
        <v>25308</v>
      </c>
      <c r="F78" s="1">
        <v>25308</v>
      </c>
      <c r="G78" s="8">
        <v>41876</v>
      </c>
      <c r="H78" s="1" t="s">
        <v>37</v>
      </c>
      <c r="I78" s="1">
        <v>1</v>
      </c>
      <c r="J78" s="1">
        <v>2</v>
      </c>
      <c r="K78" s="1">
        <v>0</v>
      </c>
      <c r="L78" s="1" t="s">
        <v>41</v>
      </c>
      <c r="M78" s="1">
        <v>0</v>
      </c>
      <c r="N78" s="1">
        <v>0</v>
      </c>
      <c r="O78" s="1">
        <v>0</v>
      </c>
      <c r="P78" s="11" t="str">
        <f t="shared" si="1"/>
        <v>胜</v>
      </c>
      <c r="Q78" s="11" t="str">
        <f t="shared" si="1"/>
        <v>胜</v>
      </c>
    </row>
    <row r="79" spans="4:17" customFormat="1" hidden="1" x14ac:dyDescent="0.15">
      <c r="D79" t="s">
        <v>6</v>
      </c>
      <c r="E79" s="1">
        <v>26412</v>
      </c>
      <c r="F79" s="1">
        <v>26412</v>
      </c>
      <c r="G79" s="8">
        <v>41882</v>
      </c>
      <c r="H79" s="1" t="s">
        <v>43</v>
      </c>
      <c r="I79" s="1">
        <v>0</v>
      </c>
      <c r="J79" s="1">
        <v>2</v>
      </c>
      <c r="K79" s="1">
        <v>0</v>
      </c>
      <c r="L79" s="1" t="s">
        <v>40</v>
      </c>
      <c r="M79" s="1">
        <v>0</v>
      </c>
      <c r="N79" s="1">
        <v>0</v>
      </c>
      <c r="O79" s="1">
        <v>0</v>
      </c>
      <c r="P79" s="11" t="str">
        <f t="shared" si="1"/>
        <v>平</v>
      </c>
      <c r="Q79" s="11" t="str">
        <f t="shared" si="1"/>
        <v>胜</v>
      </c>
    </row>
    <row r="80" spans="4:17" x14ac:dyDescent="0.15">
      <c r="D80" s="2" t="s">
        <v>6</v>
      </c>
      <c r="E80" s="6">
        <v>26435</v>
      </c>
      <c r="F80" s="6">
        <v>26435</v>
      </c>
      <c r="G80" s="24">
        <v>41882.083333333336</v>
      </c>
      <c r="H80" s="6" t="s">
        <v>1776</v>
      </c>
      <c r="I80" s="6">
        <v>2</v>
      </c>
      <c r="J80" s="6">
        <v>4</v>
      </c>
      <c r="K80" s="6">
        <v>0</v>
      </c>
      <c r="L80" s="6" t="s">
        <v>49</v>
      </c>
      <c r="M80" s="6">
        <v>2</v>
      </c>
      <c r="N80" s="6">
        <v>3</v>
      </c>
      <c r="O80" s="6">
        <v>0</v>
      </c>
      <c r="P80" s="11" t="str">
        <f t="shared" si="1"/>
        <v>平</v>
      </c>
      <c r="Q80" s="11" t="str">
        <f t="shared" si="1"/>
        <v>胜</v>
      </c>
    </row>
    <row r="81" spans="4:17" customFormat="1" hidden="1" x14ac:dyDescent="0.15">
      <c r="D81" t="s">
        <v>6</v>
      </c>
      <c r="E81" s="1">
        <v>26491</v>
      </c>
      <c r="F81" s="1">
        <v>26491</v>
      </c>
      <c r="G81" s="8">
        <v>41882.895833333336</v>
      </c>
      <c r="H81" s="1" t="s">
        <v>44</v>
      </c>
      <c r="I81" s="1">
        <v>0</v>
      </c>
      <c r="J81" s="1">
        <v>2</v>
      </c>
      <c r="K81" s="1">
        <v>0</v>
      </c>
      <c r="L81" s="1" t="s">
        <v>48</v>
      </c>
      <c r="M81" s="1">
        <v>0</v>
      </c>
      <c r="N81" s="1">
        <v>0</v>
      </c>
      <c r="O81" s="1">
        <v>0</v>
      </c>
      <c r="P81" s="11" t="str">
        <f t="shared" si="1"/>
        <v>平</v>
      </c>
      <c r="Q81" s="11" t="str">
        <f t="shared" si="1"/>
        <v>胜</v>
      </c>
    </row>
    <row r="82" spans="4:17" customFormat="1" hidden="1" x14ac:dyDescent="0.15">
      <c r="D82" t="s">
        <v>6</v>
      </c>
      <c r="E82" s="1">
        <v>26788</v>
      </c>
      <c r="F82" s="1">
        <v>26788</v>
      </c>
      <c r="G82" s="8">
        <v>41883.000694444447</v>
      </c>
      <c r="H82" s="1" t="s">
        <v>45</v>
      </c>
      <c r="I82" s="1">
        <v>0</v>
      </c>
      <c r="J82" s="1">
        <v>1</v>
      </c>
      <c r="K82" s="1">
        <v>0</v>
      </c>
      <c r="L82" s="1" t="s">
        <v>37</v>
      </c>
      <c r="M82" s="1">
        <v>2</v>
      </c>
      <c r="N82" s="1">
        <v>2</v>
      </c>
      <c r="O82" s="1">
        <v>0</v>
      </c>
      <c r="P82" s="11" t="str">
        <f t="shared" si="1"/>
        <v>负</v>
      </c>
      <c r="Q82" s="11" t="str">
        <f t="shared" si="1"/>
        <v>负</v>
      </c>
    </row>
    <row r="83" spans="4:17" customFormat="1" hidden="1" x14ac:dyDescent="0.15">
      <c r="D83" t="s">
        <v>6</v>
      </c>
      <c r="E83" s="1">
        <v>26790</v>
      </c>
      <c r="F83" s="1">
        <v>26790</v>
      </c>
      <c r="G83" s="8">
        <v>41883</v>
      </c>
      <c r="H83" s="1" t="s">
        <v>36</v>
      </c>
      <c r="I83" s="1">
        <v>2</v>
      </c>
      <c r="J83" s="1">
        <v>3</v>
      </c>
      <c r="K83" s="1">
        <v>0</v>
      </c>
      <c r="L83" s="1" t="s">
        <v>35</v>
      </c>
      <c r="M83" s="1">
        <v>1</v>
      </c>
      <c r="N83" s="1">
        <v>2</v>
      </c>
      <c r="O83" s="1">
        <v>0</v>
      </c>
      <c r="P83" s="11" t="str">
        <f t="shared" si="1"/>
        <v>胜</v>
      </c>
      <c r="Q83" s="11" t="str">
        <f t="shared" si="1"/>
        <v>胜</v>
      </c>
    </row>
    <row r="84" spans="4:17" customFormat="1" hidden="1" x14ac:dyDescent="0.15">
      <c r="D84" t="s">
        <v>6</v>
      </c>
      <c r="E84" s="1">
        <v>26791</v>
      </c>
      <c r="F84" s="1">
        <v>26791</v>
      </c>
      <c r="G84" s="8">
        <v>41883.000694444447</v>
      </c>
      <c r="H84" s="1" t="s">
        <v>42</v>
      </c>
      <c r="I84" s="1">
        <v>0</v>
      </c>
      <c r="J84" s="1">
        <v>1</v>
      </c>
      <c r="K84" s="1">
        <v>0</v>
      </c>
      <c r="L84" s="1" t="s">
        <v>31</v>
      </c>
      <c r="M84" s="1">
        <v>1</v>
      </c>
      <c r="N84" s="1">
        <v>1</v>
      </c>
      <c r="O84" s="1">
        <v>0</v>
      </c>
      <c r="P84" s="11" t="str">
        <f t="shared" si="1"/>
        <v>负</v>
      </c>
      <c r="Q84" s="11" t="str">
        <f t="shared" si="1"/>
        <v>平</v>
      </c>
    </row>
    <row r="85" spans="4:17" customFormat="1" hidden="1" x14ac:dyDescent="0.15">
      <c r="D85" t="s">
        <v>6</v>
      </c>
      <c r="E85" s="1">
        <v>26804</v>
      </c>
      <c r="F85" s="1">
        <v>26804</v>
      </c>
      <c r="G85" s="8">
        <v>41883.041666666664</v>
      </c>
      <c r="H85" s="1" t="s">
        <v>46</v>
      </c>
      <c r="I85" s="1">
        <v>0</v>
      </c>
      <c r="J85" s="1">
        <v>0</v>
      </c>
      <c r="K85" s="1">
        <v>0</v>
      </c>
      <c r="L85" s="1" t="s">
        <v>38</v>
      </c>
      <c r="M85" s="1">
        <v>1</v>
      </c>
      <c r="N85" s="1">
        <v>1</v>
      </c>
      <c r="O85" s="1">
        <v>0</v>
      </c>
      <c r="P85" s="11" t="str">
        <f t="shared" si="1"/>
        <v>负</v>
      </c>
      <c r="Q85" s="11" t="str">
        <f t="shared" si="1"/>
        <v>负</v>
      </c>
    </row>
    <row r="86" spans="4:17" customFormat="1" hidden="1" x14ac:dyDescent="0.15">
      <c r="D86" t="s">
        <v>6</v>
      </c>
      <c r="E86" s="1">
        <v>27410</v>
      </c>
      <c r="F86" s="1">
        <v>27410</v>
      </c>
      <c r="G86" s="8">
        <v>41881.896527777775</v>
      </c>
      <c r="H86" s="1" t="s">
        <v>41</v>
      </c>
      <c r="I86" s="1">
        <v>1</v>
      </c>
      <c r="J86" s="1">
        <v>2</v>
      </c>
      <c r="K86" s="1">
        <v>0</v>
      </c>
      <c r="L86" s="1" t="s">
        <v>34</v>
      </c>
      <c r="M86" s="1">
        <v>1</v>
      </c>
      <c r="N86" s="1">
        <v>2</v>
      </c>
      <c r="O86" s="1">
        <v>0</v>
      </c>
      <c r="P86" s="11" t="str">
        <f t="shared" si="1"/>
        <v>平</v>
      </c>
      <c r="Q86" s="11" t="str">
        <f t="shared" si="1"/>
        <v>平</v>
      </c>
    </row>
    <row r="87" spans="4:17" customFormat="1" hidden="1" x14ac:dyDescent="0.15">
      <c r="D87" t="s">
        <v>6</v>
      </c>
      <c r="E87" s="1">
        <v>29289</v>
      </c>
      <c r="F87" s="1">
        <v>29289</v>
      </c>
      <c r="G87" s="8">
        <v>41895.041666666664</v>
      </c>
      <c r="H87" s="1" t="s">
        <v>37</v>
      </c>
      <c r="I87" s="1">
        <v>0</v>
      </c>
      <c r="J87" s="1">
        <v>3</v>
      </c>
      <c r="K87" s="1">
        <v>0</v>
      </c>
      <c r="L87" s="1" t="s">
        <v>32</v>
      </c>
      <c r="M87" s="1">
        <v>0</v>
      </c>
      <c r="N87" s="1">
        <v>1</v>
      </c>
      <c r="O87" s="1">
        <v>0</v>
      </c>
      <c r="P87" s="11" t="str">
        <f t="shared" si="1"/>
        <v>平</v>
      </c>
      <c r="Q87" s="11" t="str">
        <f t="shared" si="1"/>
        <v>胜</v>
      </c>
    </row>
    <row r="88" spans="4:17" customFormat="1" hidden="1" x14ac:dyDescent="0.15">
      <c r="D88" t="s">
        <v>6</v>
      </c>
      <c r="E88" s="1">
        <v>29353</v>
      </c>
      <c r="F88" s="1">
        <v>29353</v>
      </c>
      <c r="G88" s="8">
        <v>41895.895833333336</v>
      </c>
      <c r="H88" s="1" t="s">
        <v>34</v>
      </c>
      <c r="I88" s="1">
        <v>1</v>
      </c>
      <c r="J88" s="1">
        <v>4</v>
      </c>
      <c r="K88" s="1">
        <v>0</v>
      </c>
      <c r="L88" s="1" t="s">
        <v>45</v>
      </c>
      <c r="M88" s="1">
        <v>1</v>
      </c>
      <c r="N88" s="1">
        <v>1</v>
      </c>
      <c r="O88" s="1">
        <v>0</v>
      </c>
      <c r="P88" s="11" t="str">
        <f t="shared" si="1"/>
        <v>平</v>
      </c>
      <c r="Q88" s="11" t="str">
        <f t="shared" si="1"/>
        <v>胜</v>
      </c>
    </row>
    <row r="89" spans="4:17" customFormat="1" hidden="1" x14ac:dyDescent="0.15">
      <c r="D89" t="s">
        <v>6</v>
      </c>
      <c r="E89" s="1">
        <v>29498</v>
      </c>
      <c r="F89" s="1">
        <v>29498</v>
      </c>
      <c r="G89" s="8">
        <v>41896</v>
      </c>
      <c r="H89" s="1" t="s">
        <v>40</v>
      </c>
      <c r="I89" s="1">
        <v>0</v>
      </c>
      <c r="J89" s="1">
        <v>1</v>
      </c>
      <c r="K89" s="1">
        <v>0</v>
      </c>
      <c r="L89" s="1" t="s">
        <v>46</v>
      </c>
      <c r="M89" s="1">
        <v>2</v>
      </c>
      <c r="N89" s="1">
        <v>4</v>
      </c>
      <c r="O89" s="1">
        <v>0</v>
      </c>
      <c r="P89" s="11" t="str">
        <f t="shared" si="1"/>
        <v>负</v>
      </c>
      <c r="Q89" s="11" t="str">
        <f t="shared" si="1"/>
        <v>负</v>
      </c>
    </row>
    <row r="90" spans="4:17" customFormat="1" hidden="1" x14ac:dyDescent="0.15">
      <c r="D90" t="s">
        <v>6</v>
      </c>
      <c r="E90" s="1">
        <v>29557</v>
      </c>
      <c r="F90" s="1">
        <v>29557</v>
      </c>
      <c r="G90" s="8">
        <v>41896.895833333336</v>
      </c>
      <c r="H90" s="1" t="s">
        <v>31</v>
      </c>
      <c r="I90" s="1">
        <v>0</v>
      </c>
      <c r="J90" s="1">
        <v>0</v>
      </c>
      <c r="K90" s="1">
        <v>0</v>
      </c>
      <c r="L90" s="1" t="s">
        <v>41</v>
      </c>
      <c r="M90" s="1">
        <v>2</v>
      </c>
      <c r="N90" s="1">
        <v>2</v>
      </c>
      <c r="O90" s="1">
        <v>0</v>
      </c>
      <c r="P90" s="11" t="str">
        <f t="shared" si="1"/>
        <v>负</v>
      </c>
      <c r="Q90" s="11" t="str">
        <f t="shared" si="1"/>
        <v>负</v>
      </c>
    </row>
    <row r="91" spans="4:17" customFormat="1" hidden="1" x14ac:dyDescent="0.15">
      <c r="D91" t="s">
        <v>6</v>
      </c>
      <c r="E91" s="1">
        <v>29745</v>
      </c>
      <c r="F91" s="1">
        <v>29745</v>
      </c>
      <c r="G91" s="8">
        <v>41897.000694444447</v>
      </c>
      <c r="H91" s="1" t="s">
        <v>35</v>
      </c>
      <c r="I91" s="1">
        <v>0</v>
      </c>
      <c r="J91" s="1">
        <v>1</v>
      </c>
      <c r="K91" s="1">
        <v>0</v>
      </c>
      <c r="L91" s="1" t="s">
        <v>43</v>
      </c>
      <c r="M91" s="1">
        <v>1</v>
      </c>
      <c r="N91" s="1">
        <v>1</v>
      </c>
      <c r="O91" s="1">
        <v>0</v>
      </c>
      <c r="P91" s="11" t="str">
        <f t="shared" si="1"/>
        <v>负</v>
      </c>
      <c r="Q91" s="11" t="str">
        <f t="shared" si="1"/>
        <v>平</v>
      </c>
    </row>
    <row r="92" spans="4:17" customFormat="1" hidden="1" x14ac:dyDescent="0.15">
      <c r="D92" t="s">
        <v>6</v>
      </c>
      <c r="E92" s="1">
        <v>29750</v>
      </c>
      <c r="F92" s="1">
        <v>29750</v>
      </c>
      <c r="G92" s="8">
        <v>41897</v>
      </c>
      <c r="H92" s="1" t="s">
        <v>49</v>
      </c>
      <c r="I92" s="1">
        <v>2</v>
      </c>
      <c r="J92" s="1">
        <v>4</v>
      </c>
      <c r="K92" s="1">
        <v>0</v>
      </c>
      <c r="L92" s="1" t="s">
        <v>48</v>
      </c>
      <c r="M92" s="1">
        <v>0</v>
      </c>
      <c r="N92" s="1">
        <v>1</v>
      </c>
      <c r="O92" s="1">
        <v>0</v>
      </c>
      <c r="P92" s="11" t="str">
        <f t="shared" si="1"/>
        <v>胜</v>
      </c>
      <c r="Q92" s="11" t="str">
        <f t="shared" si="1"/>
        <v>胜</v>
      </c>
    </row>
    <row r="93" spans="4:17" customFormat="1" hidden="1" x14ac:dyDescent="0.15">
      <c r="D93" t="s">
        <v>6</v>
      </c>
      <c r="E93" s="1">
        <v>29752</v>
      </c>
      <c r="F93" s="1">
        <v>29752</v>
      </c>
      <c r="G93" s="8">
        <v>41897</v>
      </c>
      <c r="H93" s="1" t="s">
        <v>36</v>
      </c>
      <c r="I93" s="1">
        <v>0</v>
      </c>
      <c r="J93" s="1">
        <v>1</v>
      </c>
      <c r="K93" s="1">
        <v>0</v>
      </c>
      <c r="L93" s="1" t="s">
        <v>42</v>
      </c>
      <c r="M93" s="1">
        <v>0</v>
      </c>
      <c r="N93" s="1">
        <v>3</v>
      </c>
      <c r="O93" s="1">
        <v>0</v>
      </c>
      <c r="P93" s="11" t="str">
        <f t="shared" si="1"/>
        <v>平</v>
      </c>
      <c r="Q93" s="11" t="str">
        <f t="shared" si="1"/>
        <v>负</v>
      </c>
    </row>
    <row r="94" spans="4:17" customFormat="1" hidden="1" x14ac:dyDescent="0.15">
      <c r="D94" t="s">
        <v>6</v>
      </c>
      <c r="E94" s="1">
        <v>29754</v>
      </c>
      <c r="F94" s="1">
        <v>29754</v>
      </c>
      <c r="G94" s="8">
        <v>41897.041666666664</v>
      </c>
      <c r="H94" s="1" t="s">
        <v>38</v>
      </c>
      <c r="I94" s="1">
        <v>2</v>
      </c>
      <c r="J94" s="1">
        <v>3</v>
      </c>
      <c r="K94" s="1">
        <v>0</v>
      </c>
      <c r="L94" s="1" t="s">
        <v>44</v>
      </c>
      <c r="M94" s="1">
        <v>0</v>
      </c>
      <c r="N94" s="1">
        <v>2</v>
      </c>
      <c r="O94" s="1">
        <v>0</v>
      </c>
      <c r="P94" s="11" t="str">
        <f t="shared" si="1"/>
        <v>胜</v>
      </c>
      <c r="Q94" s="11" t="str">
        <f t="shared" si="1"/>
        <v>胜</v>
      </c>
    </row>
    <row r="95" spans="4:17" customFormat="1" hidden="1" x14ac:dyDescent="0.15">
      <c r="D95" t="s">
        <v>6</v>
      </c>
      <c r="E95" s="1">
        <v>31035</v>
      </c>
      <c r="F95" s="1">
        <v>31035</v>
      </c>
      <c r="G95" s="8">
        <v>41902.042361111111</v>
      </c>
      <c r="H95" s="1" t="s">
        <v>46</v>
      </c>
      <c r="I95" s="1">
        <v>0</v>
      </c>
      <c r="J95" s="1">
        <v>1</v>
      </c>
      <c r="K95" s="1">
        <v>0</v>
      </c>
      <c r="L95" s="1" t="s">
        <v>31</v>
      </c>
      <c r="M95" s="1">
        <v>0</v>
      </c>
      <c r="N95" s="1">
        <v>1</v>
      </c>
      <c r="O95" s="1">
        <v>0</v>
      </c>
      <c r="P95" s="11" t="str">
        <f t="shared" si="1"/>
        <v>平</v>
      </c>
      <c r="Q95" s="11" t="str">
        <f t="shared" si="1"/>
        <v>平</v>
      </c>
    </row>
    <row r="96" spans="4:17" customFormat="1" hidden="1" x14ac:dyDescent="0.15">
      <c r="D96" t="s">
        <v>6</v>
      </c>
      <c r="E96" s="1">
        <v>31309</v>
      </c>
      <c r="F96" s="1">
        <v>31309</v>
      </c>
      <c r="G96" s="8">
        <v>41902.999305555553</v>
      </c>
      <c r="H96" s="1" t="s">
        <v>49</v>
      </c>
      <c r="I96" s="1">
        <v>0</v>
      </c>
      <c r="J96" s="1">
        <v>0</v>
      </c>
      <c r="K96" s="1">
        <v>0</v>
      </c>
      <c r="L96" s="1" t="s">
        <v>38</v>
      </c>
      <c r="M96" s="1">
        <v>1</v>
      </c>
      <c r="N96" s="1">
        <v>2</v>
      </c>
      <c r="O96" s="1">
        <v>0</v>
      </c>
      <c r="P96" s="11" t="str">
        <f t="shared" si="1"/>
        <v>负</v>
      </c>
      <c r="Q96" s="11" t="str">
        <f t="shared" si="1"/>
        <v>负</v>
      </c>
    </row>
    <row r="97" spans="4:17" customFormat="1" hidden="1" x14ac:dyDescent="0.15">
      <c r="D97" t="s">
        <v>6</v>
      </c>
      <c r="E97" s="1">
        <v>31404</v>
      </c>
      <c r="F97" s="1">
        <v>31404</v>
      </c>
      <c r="G97" s="8">
        <v>41903.895833333336</v>
      </c>
      <c r="H97" s="1" t="s">
        <v>45</v>
      </c>
      <c r="I97" s="1">
        <v>0</v>
      </c>
      <c r="J97" s="1">
        <v>0</v>
      </c>
      <c r="K97" s="1">
        <v>0</v>
      </c>
      <c r="L97" s="1" t="s">
        <v>36</v>
      </c>
      <c r="M97" s="1">
        <v>0</v>
      </c>
      <c r="N97" s="1">
        <v>1</v>
      </c>
      <c r="O97" s="1">
        <v>0</v>
      </c>
      <c r="P97" s="11" t="str">
        <f t="shared" si="1"/>
        <v>平</v>
      </c>
      <c r="Q97" s="11" t="str">
        <f t="shared" si="1"/>
        <v>负</v>
      </c>
    </row>
    <row r="98" spans="4:17" customFormat="1" hidden="1" x14ac:dyDescent="0.15">
      <c r="D98" t="s">
        <v>6</v>
      </c>
      <c r="E98" s="1">
        <v>31610</v>
      </c>
      <c r="F98" s="1">
        <v>31610</v>
      </c>
      <c r="G98" s="8">
        <v>41904</v>
      </c>
      <c r="H98" s="1" t="s">
        <v>41</v>
      </c>
      <c r="I98" s="1">
        <v>1</v>
      </c>
      <c r="J98" s="1">
        <v>3</v>
      </c>
      <c r="K98" s="1">
        <v>0</v>
      </c>
      <c r="L98" s="1" t="s">
        <v>35</v>
      </c>
      <c r="M98" s="1">
        <v>0</v>
      </c>
      <c r="N98" s="1">
        <v>1</v>
      </c>
      <c r="O98" s="1">
        <v>0</v>
      </c>
      <c r="P98" s="11" t="str">
        <f t="shared" si="1"/>
        <v>胜</v>
      </c>
      <c r="Q98" s="11" t="str">
        <f t="shared" si="1"/>
        <v>胜</v>
      </c>
    </row>
    <row r="99" spans="4:17" customFormat="1" hidden="1" x14ac:dyDescent="0.15">
      <c r="D99" t="s">
        <v>6</v>
      </c>
      <c r="E99" s="1">
        <v>31623</v>
      </c>
      <c r="F99" s="1">
        <v>31623</v>
      </c>
      <c r="G99" s="8">
        <v>41904.083333333336</v>
      </c>
      <c r="H99" s="1" t="s">
        <v>48</v>
      </c>
      <c r="I99" s="1">
        <v>2</v>
      </c>
      <c r="J99" s="1">
        <v>2</v>
      </c>
      <c r="K99" s="1">
        <v>0</v>
      </c>
      <c r="L99" s="1" t="s">
        <v>37</v>
      </c>
      <c r="M99" s="1">
        <v>0</v>
      </c>
      <c r="N99" s="1">
        <v>1</v>
      </c>
      <c r="O99" s="1">
        <v>0</v>
      </c>
      <c r="P99" s="11" t="str">
        <f t="shared" si="1"/>
        <v>胜</v>
      </c>
      <c r="Q99" s="11" t="str">
        <f t="shared" si="1"/>
        <v>胜</v>
      </c>
    </row>
    <row r="100" spans="4:17" customFormat="1" hidden="1" x14ac:dyDescent="0.15">
      <c r="D100" t="s">
        <v>6</v>
      </c>
      <c r="E100" s="1">
        <v>31635</v>
      </c>
      <c r="F100" s="1">
        <v>31635</v>
      </c>
      <c r="G100" s="8">
        <v>41904</v>
      </c>
      <c r="H100" s="1" t="s">
        <v>43</v>
      </c>
      <c r="I100" s="1">
        <v>0</v>
      </c>
      <c r="J100" s="1">
        <v>3</v>
      </c>
      <c r="K100" s="1">
        <v>0</v>
      </c>
      <c r="L100" s="1" t="s">
        <v>42</v>
      </c>
      <c r="M100" s="1">
        <v>0</v>
      </c>
      <c r="N100" s="1">
        <v>0</v>
      </c>
      <c r="O100" s="1">
        <v>0</v>
      </c>
      <c r="P100" s="11" t="str">
        <f t="shared" si="1"/>
        <v>平</v>
      </c>
      <c r="Q100" s="11" t="str">
        <f t="shared" si="1"/>
        <v>胜</v>
      </c>
    </row>
    <row r="101" spans="4:17" x14ac:dyDescent="0.15">
      <c r="D101" s="2" t="s">
        <v>6</v>
      </c>
      <c r="E101" s="6">
        <v>32084</v>
      </c>
      <c r="F101" s="6">
        <v>32084</v>
      </c>
      <c r="G101" s="24">
        <v>41902.895833333336</v>
      </c>
      <c r="H101" s="6" t="s">
        <v>32</v>
      </c>
      <c r="I101" s="6">
        <v>0</v>
      </c>
      <c r="J101" s="6">
        <v>0</v>
      </c>
      <c r="K101" s="6">
        <v>0</v>
      </c>
      <c r="L101" s="6" t="s">
        <v>40</v>
      </c>
      <c r="M101" s="6">
        <v>1</v>
      </c>
      <c r="N101" s="6">
        <v>4</v>
      </c>
      <c r="O101" s="6">
        <v>0</v>
      </c>
      <c r="P101" s="11" t="str">
        <f t="shared" si="1"/>
        <v>负</v>
      </c>
      <c r="Q101" s="11" t="str">
        <f t="shared" si="1"/>
        <v>负</v>
      </c>
    </row>
    <row r="102" spans="4:17" customFormat="1" hidden="1" x14ac:dyDescent="0.15">
      <c r="D102" t="s">
        <v>6</v>
      </c>
      <c r="E102" s="1">
        <v>32458</v>
      </c>
      <c r="F102" s="1">
        <v>32458</v>
      </c>
      <c r="G102" s="8">
        <v>41904.000694444447</v>
      </c>
      <c r="H102" s="1" t="s">
        <v>44</v>
      </c>
      <c r="I102" s="1">
        <v>1</v>
      </c>
      <c r="J102" s="1">
        <v>2</v>
      </c>
      <c r="K102" s="1">
        <v>0</v>
      </c>
      <c r="L102" s="1" t="s">
        <v>34</v>
      </c>
      <c r="M102" s="1">
        <v>0</v>
      </c>
      <c r="N102" s="1">
        <v>0</v>
      </c>
      <c r="O102" s="1">
        <v>0</v>
      </c>
      <c r="P102" s="11" t="str">
        <f t="shared" si="1"/>
        <v>胜</v>
      </c>
      <c r="Q102" s="11" t="str">
        <f t="shared" si="1"/>
        <v>胜</v>
      </c>
    </row>
    <row r="103" spans="4:17" customFormat="1" hidden="1" x14ac:dyDescent="0.15">
      <c r="D103" t="s">
        <v>6</v>
      </c>
      <c r="E103" s="1">
        <v>33044</v>
      </c>
      <c r="F103" s="1">
        <v>33044</v>
      </c>
      <c r="G103" s="8">
        <v>41909.042361111111</v>
      </c>
      <c r="H103" s="1" t="s">
        <v>31</v>
      </c>
      <c r="I103" s="1">
        <v>0</v>
      </c>
      <c r="J103" s="1">
        <v>2</v>
      </c>
      <c r="K103" s="1">
        <v>0</v>
      </c>
      <c r="L103" s="1" t="s">
        <v>49</v>
      </c>
      <c r="M103" s="1">
        <v>0</v>
      </c>
      <c r="N103" s="1">
        <v>1</v>
      </c>
      <c r="O103" s="1">
        <v>0</v>
      </c>
      <c r="P103" s="11" t="str">
        <f t="shared" si="1"/>
        <v>平</v>
      </c>
      <c r="Q103" s="11" t="str">
        <f t="shared" si="1"/>
        <v>胜</v>
      </c>
    </row>
    <row r="104" spans="4:17" customFormat="1" hidden="1" x14ac:dyDescent="0.15">
      <c r="D104" t="s">
        <v>6</v>
      </c>
      <c r="E104" s="1">
        <v>33057</v>
      </c>
      <c r="F104" s="1">
        <v>33057</v>
      </c>
      <c r="G104" s="8">
        <v>41909.895833333336</v>
      </c>
      <c r="H104" s="1" t="s">
        <v>38</v>
      </c>
      <c r="I104" s="1">
        <v>1</v>
      </c>
      <c r="J104" s="1">
        <v>2</v>
      </c>
      <c r="K104" s="1">
        <v>0</v>
      </c>
      <c r="L104" s="1" t="s">
        <v>32</v>
      </c>
      <c r="M104" s="1">
        <v>0</v>
      </c>
      <c r="N104" s="1">
        <v>1</v>
      </c>
      <c r="O104" s="1">
        <v>0</v>
      </c>
      <c r="P104" s="11" t="str">
        <f t="shared" si="1"/>
        <v>胜</v>
      </c>
      <c r="Q104" s="11" t="str">
        <f t="shared" si="1"/>
        <v>胜</v>
      </c>
    </row>
    <row r="105" spans="4:17" customFormat="1" hidden="1" x14ac:dyDescent="0.15">
      <c r="D105" t="s">
        <v>6</v>
      </c>
      <c r="E105" s="1">
        <v>33058</v>
      </c>
      <c r="F105" s="1">
        <v>33058</v>
      </c>
      <c r="G105" s="8">
        <v>41909.896527777775</v>
      </c>
      <c r="H105" s="1" t="s">
        <v>35</v>
      </c>
      <c r="I105" s="1">
        <v>1</v>
      </c>
      <c r="J105" s="1">
        <v>4</v>
      </c>
      <c r="K105" s="1">
        <v>0</v>
      </c>
      <c r="L105" s="1" t="s">
        <v>48</v>
      </c>
      <c r="M105" s="1">
        <v>1</v>
      </c>
      <c r="N105" s="1">
        <v>1</v>
      </c>
      <c r="O105" s="1">
        <v>0</v>
      </c>
      <c r="P105" s="11" t="str">
        <f t="shared" si="1"/>
        <v>平</v>
      </c>
      <c r="Q105" s="11" t="str">
        <f t="shared" si="1"/>
        <v>胜</v>
      </c>
    </row>
    <row r="106" spans="4:17" customFormat="1" hidden="1" x14ac:dyDescent="0.15">
      <c r="D106" t="s">
        <v>6</v>
      </c>
      <c r="E106" s="1">
        <v>33252</v>
      </c>
      <c r="F106" s="1">
        <v>33252</v>
      </c>
      <c r="G106" s="8">
        <v>41909.999305555553</v>
      </c>
      <c r="H106" s="1" t="s">
        <v>40</v>
      </c>
      <c r="I106" s="1">
        <v>1</v>
      </c>
      <c r="J106" s="1">
        <v>2</v>
      </c>
      <c r="K106" s="1">
        <v>0</v>
      </c>
      <c r="L106" s="1" t="s">
        <v>45</v>
      </c>
      <c r="M106" s="1">
        <v>1</v>
      </c>
      <c r="N106" s="1">
        <v>1</v>
      </c>
      <c r="O106" s="1">
        <v>0</v>
      </c>
      <c r="P106" s="11" t="str">
        <f t="shared" si="1"/>
        <v>平</v>
      </c>
      <c r="Q106" s="11" t="str">
        <f t="shared" si="1"/>
        <v>胜</v>
      </c>
    </row>
    <row r="107" spans="4:17" customFormat="1" hidden="1" x14ac:dyDescent="0.15">
      <c r="D107" t="s">
        <v>6</v>
      </c>
      <c r="E107" s="1">
        <v>33299</v>
      </c>
      <c r="F107" s="1">
        <v>33299</v>
      </c>
      <c r="G107" s="8">
        <v>41910.895833333336</v>
      </c>
      <c r="H107" s="1" t="s">
        <v>42</v>
      </c>
      <c r="I107" s="1">
        <v>2</v>
      </c>
      <c r="J107" s="1">
        <v>2</v>
      </c>
      <c r="K107" s="1">
        <v>0</v>
      </c>
      <c r="L107" s="1" t="s">
        <v>44</v>
      </c>
      <c r="M107" s="1">
        <v>0</v>
      </c>
      <c r="N107" s="1">
        <v>0</v>
      </c>
      <c r="O107" s="1">
        <v>0</v>
      </c>
      <c r="P107" s="11" t="str">
        <f t="shared" si="1"/>
        <v>胜</v>
      </c>
      <c r="Q107" s="11" t="str">
        <f t="shared" si="1"/>
        <v>胜</v>
      </c>
    </row>
    <row r="108" spans="4:17" customFormat="1" hidden="1" x14ac:dyDescent="0.15">
      <c r="D108" t="s">
        <v>6</v>
      </c>
      <c r="E108" s="1">
        <v>33588</v>
      </c>
      <c r="F108" s="1">
        <v>33588</v>
      </c>
      <c r="G108" s="8">
        <v>41911</v>
      </c>
      <c r="H108" s="1" t="s">
        <v>34</v>
      </c>
      <c r="I108" s="1">
        <v>1</v>
      </c>
      <c r="J108" s="1">
        <v>4</v>
      </c>
      <c r="K108" s="1">
        <v>0</v>
      </c>
      <c r="L108" s="1" t="s">
        <v>46</v>
      </c>
      <c r="M108" s="1">
        <v>0</v>
      </c>
      <c r="N108" s="1">
        <v>0</v>
      </c>
      <c r="O108" s="1">
        <v>0</v>
      </c>
      <c r="P108" s="11" t="str">
        <f t="shared" si="1"/>
        <v>胜</v>
      </c>
      <c r="Q108" s="11" t="str">
        <f t="shared" si="1"/>
        <v>胜</v>
      </c>
    </row>
    <row r="109" spans="4:17" customFormat="1" hidden="1" x14ac:dyDescent="0.15">
      <c r="D109" t="s">
        <v>6</v>
      </c>
      <c r="E109" s="1">
        <v>33589</v>
      </c>
      <c r="F109" s="1">
        <v>33589</v>
      </c>
      <c r="G109" s="8">
        <v>41911</v>
      </c>
      <c r="H109" s="1" t="s">
        <v>36</v>
      </c>
      <c r="I109" s="1">
        <v>1</v>
      </c>
      <c r="J109" s="1">
        <v>3</v>
      </c>
      <c r="K109" s="1">
        <v>0</v>
      </c>
      <c r="L109" s="1" t="s">
        <v>41</v>
      </c>
      <c r="M109" s="1">
        <v>0</v>
      </c>
      <c r="N109" s="1">
        <v>1</v>
      </c>
      <c r="O109" s="1">
        <v>0</v>
      </c>
      <c r="P109" s="11" t="str">
        <f t="shared" si="1"/>
        <v>胜</v>
      </c>
      <c r="Q109" s="11" t="str">
        <f t="shared" si="1"/>
        <v>胜</v>
      </c>
    </row>
    <row r="110" spans="4:17" customFormat="1" hidden="1" x14ac:dyDescent="0.15">
      <c r="D110" t="s">
        <v>6</v>
      </c>
      <c r="E110" s="1">
        <v>33597</v>
      </c>
      <c r="F110" s="1">
        <v>33597</v>
      </c>
      <c r="G110" s="8">
        <v>41911.083333333336</v>
      </c>
      <c r="H110" s="1" t="s">
        <v>37</v>
      </c>
      <c r="I110" s="1">
        <v>2</v>
      </c>
      <c r="J110" s="1">
        <v>3</v>
      </c>
      <c r="K110" s="1">
        <v>0</v>
      </c>
      <c r="L110" s="1" t="s">
        <v>43</v>
      </c>
      <c r="M110" s="1">
        <v>0</v>
      </c>
      <c r="N110" s="1">
        <v>0</v>
      </c>
      <c r="O110" s="1">
        <v>0</v>
      </c>
      <c r="P110" s="11" t="str">
        <f t="shared" si="1"/>
        <v>胜</v>
      </c>
      <c r="Q110" s="11" t="str">
        <f t="shared" si="1"/>
        <v>胜</v>
      </c>
    </row>
    <row r="111" spans="4:17" customFormat="1" hidden="1" x14ac:dyDescent="0.15">
      <c r="D111" t="s">
        <v>6</v>
      </c>
      <c r="E111" s="1">
        <v>35006</v>
      </c>
      <c r="F111" s="1">
        <v>35006</v>
      </c>
      <c r="G111" s="8">
        <v>41916.041666666664</v>
      </c>
      <c r="H111" s="1" t="s">
        <v>44</v>
      </c>
      <c r="I111" s="1">
        <v>0</v>
      </c>
      <c r="J111" s="1">
        <v>0</v>
      </c>
      <c r="K111" s="1">
        <v>0</v>
      </c>
      <c r="L111" s="1" t="s">
        <v>37</v>
      </c>
      <c r="M111" s="1">
        <v>0</v>
      </c>
      <c r="N111" s="1">
        <v>2</v>
      </c>
      <c r="O111" s="1">
        <v>0</v>
      </c>
      <c r="P111" s="11" t="str">
        <f t="shared" si="1"/>
        <v>平</v>
      </c>
      <c r="Q111" s="11" t="str">
        <f t="shared" si="1"/>
        <v>负</v>
      </c>
    </row>
    <row r="112" spans="4:17" customFormat="1" hidden="1" x14ac:dyDescent="0.15">
      <c r="D112" t="s">
        <v>6</v>
      </c>
      <c r="E112" s="1">
        <v>35112</v>
      </c>
      <c r="F112" s="1">
        <v>35112</v>
      </c>
      <c r="G112" s="8">
        <v>41916.999305555553</v>
      </c>
      <c r="H112" s="1" t="s">
        <v>45</v>
      </c>
      <c r="I112" s="1">
        <v>1</v>
      </c>
      <c r="J112" s="1">
        <v>1</v>
      </c>
      <c r="K112" s="1">
        <v>0</v>
      </c>
      <c r="L112" s="1" t="s">
        <v>38</v>
      </c>
      <c r="M112" s="1">
        <v>0</v>
      </c>
      <c r="N112" s="1">
        <v>2</v>
      </c>
      <c r="O112" s="1">
        <v>0</v>
      </c>
      <c r="P112" s="11" t="str">
        <f t="shared" si="1"/>
        <v>胜</v>
      </c>
      <c r="Q112" s="11" t="str">
        <f t="shared" si="1"/>
        <v>负</v>
      </c>
    </row>
    <row r="113" spans="4:17" customFormat="1" hidden="1" x14ac:dyDescent="0.15">
      <c r="D113" t="s">
        <v>6</v>
      </c>
      <c r="E113" s="1">
        <v>35208</v>
      </c>
      <c r="F113" s="1">
        <v>35208</v>
      </c>
      <c r="G113" s="8">
        <v>41917.895833333336</v>
      </c>
      <c r="H113" s="1" t="s">
        <v>41</v>
      </c>
      <c r="I113" s="1">
        <v>0</v>
      </c>
      <c r="J113" s="1">
        <v>0</v>
      </c>
      <c r="K113" s="1">
        <v>0</v>
      </c>
      <c r="L113" s="1" t="s">
        <v>40</v>
      </c>
      <c r="M113" s="1">
        <v>0</v>
      </c>
      <c r="N113" s="1">
        <v>0</v>
      </c>
      <c r="O113" s="1">
        <v>0</v>
      </c>
      <c r="P113" s="11" t="str">
        <f t="shared" si="1"/>
        <v>平</v>
      </c>
      <c r="Q113" s="11" t="str">
        <f t="shared" si="1"/>
        <v>平</v>
      </c>
    </row>
    <row r="114" spans="4:17" customFormat="1" hidden="1" x14ac:dyDescent="0.15">
      <c r="D114" t="s">
        <v>6</v>
      </c>
      <c r="E114" s="1">
        <v>35508</v>
      </c>
      <c r="F114" s="1">
        <v>35508</v>
      </c>
      <c r="G114" s="8">
        <v>41918</v>
      </c>
      <c r="H114" s="1" t="s">
        <v>48</v>
      </c>
      <c r="I114" s="1">
        <v>0</v>
      </c>
      <c r="J114" s="1">
        <v>2</v>
      </c>
      <c r="K114" s="1">
        <v>0</v>
      </c>
      <c r="L114" s="1" t="s">
        <v>31</v>
      </c>
      <c r="M114" s="1">
        <v>0</v>
      </c>
      <c r="N114" s="1">
        <v>0</v>
      </c>
      <c r="O114" s="1">
        <v>0</v>
      </c>
      <c r="P114" s="11" t="str">
        <f t="shared" si="1"/>
        <v>平</v>
      </c>
      <c r="Q114" s="11" t="str">
        <f t="shared" si="1"/>
        <v>胜</v>
      </c>
    </row>
    <row r="115" spans="4:17" x14ac:dyDescent="0.15">
      <c r="D115" s="2" t="s">
        <v>6</v>
      </c>
      <c r="E115" s="6">
        <v>35509</v>
      </c>
      <c r="F115" s="6">
        <v>35509</v>
      </c>
      <c r="G115" s="24">
        <v>41918</v>
      </c>
      <c r="H115" s="6" t="s">
        <v>32</v>
      </c>
      <c r="I115" s="6">
        <v>1</v>
      </c>
      <c r="J115" s="6">
        <v>1</v>
      </c>
      <c r="K115" s="6">
        <v>0</v>
      </c>
      <c r="L115" s="6" t="s">
        <v>42</v>
      </c>
      <c r="M115" s="6">
        <v>0</v>
      </c>
      <c r="N115" s="6">
        <v>1</v>
      </c>
      <c r="O115" s="6">
        <v>0</v>
      </c>
      <c r="P115" s="11" t="str">
        <f t="shared" si="1"/>
        <v>胜</v>
      </c>
      <c r="Q115" s="11" t="str">
        <f t="shared" si="1"/>
        <v>平</v>
      </c>
    </row>
    <row r="116" spans="4:17" customFormat="1" hidden="1" x14ac:dyDescent="0.15">
      <c r="D116" t="s">
        <v>6</v>
      </c>
      <c r="E116" s="1">
        <v>35510</v>
      </c>
      <c r="F116" s="1">
        <v>35510</v>
      </c>
      <c r="G116" s="8">
        <v>41918</v>
      </c>
      <c r="H116" s="1" t="s">
        <v>49</v>
      </c>
      <c r="I116" s="1">
        <v>1</v>
      </c>
      <c r="J116" s="1">
        <v>2</v>
      </c>
      <c r="K116" s="1">
        <v>0</v>
      </c>
      <c r="L116" s="1" t="s">
        <v>35</v>
      </c>
      <c r="M116" s="1">
        <v>1</v>
      </c>
      <c r="N116" s="1">
        <v>1</v>
      </c>
      <c r="O116" s="1">
        <v>0</v>
      </c>
      <c r="P116" s="11" t="str">
        <f t="shared" si="1"/>
        <v>平</v>
      </c>
      <c r="Q116" s="11" t="str">
        <f t="shared" si="1"/>
        <v>胜</v>
      </c>
    </row>
    <row r="117" spans="4:17" customFormat="1" hidden="1" x14ac:dyDescent="0.15">
      <c r="D117" t="s">
        <v>6</v>
      </c>
      <c r="E117" s="1">
        <v>35527</v>
      </c>
      <c r="F117" s="1">
        <v>35527</v>
      </c>
      <c r="G117" s="8">
        <v>41918.084027777775</v>
      </c>
      <c r="H117" s="1" t="s">
        <v>46</v>
      </c>
      <c r="I117" s="1">
        <v>0</v>
      </c>
      <c r="J117" s="1">
        <v>1</v>
      </c>
      <c r="K117" s="1">
        <v>0</v>
      </c>
      <c r="L117" s="1" t="s">
        <v>36</v>
      </c>
      <c r="M117" s="1">
        <v>1</v>
      </c>
      <c r="N117" s="1">
        <v>2</v>
      </c>
      <c r="O117" s="1">
        <v>0</v>
      </c>
      <c r="P117" s="11" t="str">
        <f t="shared" si="1"/>
        <v>负</v>
      </c>
      <c r="Q117" s="11" t="str">
        <f t="shared" si="1"/>
        <v>负</v>
      </c>
    </row>
    <row r="118" spans="4:17" customFormat="1" hidden="1" x14ac:dyDescent="0.15">
      <c r="D118" t="s">
        <v>6</v>
      </c>
      <c r="E118" s="1">
        <v>35993</v>
      </c>
      <c r="F118" s="1">
        <v>35993</v>
      </c>
      <c r="G118" s="8">
        <v>41916.895833333336</v>
      </c>
      <c r="H118" s="1" t="s">
        <v>43</v>
      </c>
      <c r="I118" s="1">
        <v>1</v>
      </c>
      <c r="J118" s="1">
        <v>2</v>
      </c>
      <c r="K118" s="1">
        <v>0</v>
      </c>
      <c r="L118" s="1" t="s">
        <v>34</v>
      </c>
      <c r="M118" s="1">
        <v>0</v>
      </c>
      <c r="N118" s="1">
        <v>2</v>
      </c>
      <c r="O118" s="1">
        <v>0</v>
      </c>
      <c r="P118" s="11" t="str">
        <f t="shared" si="1"/>
        <v>胜</v>
      </c>
      <c r="Q118" s="11" t="str">
        <f t="shared" si="1"/>
        <v>平</v>
      </c>
    </row>
    <row r="119" spans="4:17" customFormat="1" hidden="1" x14ac:dyDescent="0.15">
      <c r="D119" t="s">
        <v>6</v>
      </c>
      <c r="E119" s="1">
        <v>37779</v>
      </c>
      <c r="F119" s="1">
        <v>37779</v>
      </c>
      <c r="G119" s="8">
        <v>41930.041666666664</v>
      </c>
      <c r="H119" s="1" t="s">
        <v>46</v>
      </c>
      <c r="I119" s="1">
        <v>1</v>
      </c>
      <c r="J119" s="1">
        <v>1</v>
      </c>
      <c r="K119" s="1">
        <v>0</v>
      </c>
      <c r="L119" s="1" t="s">
        <v>41</v>
      </c>
      <c r="M119" s="1">
        <v>0</v>
      </c>
      <c r="N119" s="1">
        <v>2</v>
      </c>
      <c r="O119" s="1">
        <v>0</v>
      </c>
      <c r="P119" s="11" t="str">
        <f t="shared" si="1"/>
        <v>胜</v>
      </c>
      <c r="Q119" s="11" t="str">
        <f t="shared" si="1"/>
        <v>负</v>
      </c>
    </row>
    <row r="120" spans="4:17" customFormat="1" hidden="1" x14ac:dyDescent="0.15">
      <c r="D120" t="s">
        <v>6</v>
      </c>
      <c r="E120" s="1">
        <v>37963</v>
      </c>
      <c r="F120" s="1">
        <v>37963</v>
      </c>
      <c r="G120" s="8">
        <v>41930.895833333336</v>
      </c>
      <c r="H120" s="1" t="s">
        <v>36</v>
      </c>
      <c r="I120" s="1">
        <v>0</v>
      </c>
      <c r="J120" s="1">
        <v>1</v>
      </c>
      <c r="K120" s="1">
        <v>0</v>
      </c>
      <c r="L120" s="1" t="s">
        <v>43</v>
      </c>
      <c r="M120" s="1">
        <v>1</v>
      </c>
      <c r="N120" s="1">
        <v>1</v>
      </c>
      <c r="O120" s="1">
        <v>0</v>
      </c>
      <c r="P120" s="11" t="str">
        <f t="shared" si="1"/>
        <v>负</v>
      </c>
      <c r="Q120" s="11" t="str">
        <f t="shared" si="1"/>
        <v>平</v>
      </c>
    </row>
    <row r="121" spans="4:17" customFormat="1" hidden="1" x14ac:dyDescent="0.15">
      <c r="D121" t="s">
        <v>6</v>
      </c>
      <c r="E121" s="1">
        <v>38051</v>
      </c>
      <c r="F121" s="1">
        <v>38051</v>
      </c>
      <c r="G121" s="8">
        <v>41931</v>
      </c>
      <c r="H121" s="1" t="s">
        <v>38</v>
      </c>
      <c r="I121" s="1">
        <v>0</v>
      </c>
      <c r="J121" s="1">
        <v>1</v>
      </c>
      <c r="K121" s="1">
        <v>0</v>
      </c>
      <c r="L121" s="1" t="s">
        <v>48</v>
      </c>
      <c r="M121" s="1">
        <v>0</v>
      </c>
      <c r="N121" s="1">
        <v>2</v>
      </c>
      <c r="O121" s="1">
        <v>0</v>
      </c>
      <c r="P121" s="11" t="str">
        <f t="shared" si="1"/>
        <v>平</v>
      </c>
      <c r="Q121" s="11" t="str">
        <f t="shared" si="1"/>
        <v>负</v>
      </c>
    </row>
    <row r="122" spans="4:17" customFormat="1" hidden="1" x14ac:dyDescent="0.15">
      <c r="D122" t="s">
        <v>6</v>
      </c>
      <c r="E122" s="1">
        <v>38303</v>
      </c>
      <c r="F122" s="1">
        <v>38303</v>
      </c>
      <c r="G122" s="8">
        <v>41931.895833333336</v>
      </c>
      <c r="H122" s="1" t="s">
        <v>40</v>
      </c>
      <c r="I122" s="1">
        <v>2</v>
      </c>
      <c r="J122" s="1">
        <v>2</v>
      </c>
      <c r="K122" s="1">
        <v>0</v>
      </c>
      <c r="L122" s="1" t="s">
        <v>44</v>
      </c>
      <c r="M122" s="1">
        <v>0</v>
      </c>
      <c r="N122" s="1">
        <v>1</v>
      </c>
      <c r="O122" s="1">
        <v>0</v>
      </c>
      <c r="P122" s="11" t="str">
        <f t="shared" si="1"/>
        <v>胜</v>
      </c>
      <c r="Q122" s="11" t="str">
        <f t="shared" si="1"/>
        <v>胜</v>
      </c>
    </row>
    <row r="123" spans="4:17" customFormat="1" hidden="1" x14ac:dyDescent="0.15">
      <c r="D123" t="s">
        <v>6</v>
      </c>
      <c r="E123" s="1">
        <v>38324</v>
      </c>
      <c r="F123" s="1">
        <v>38324</v>
      </c>
      <c r="G123" s="8">
        <v>41932</v>
      </c>
      <c r="H123" s="1" t="s">
        <v>31</v>
      </c>
      <c r="I123" s="1">
        <v>1</v>
      </c>
      <c r="J123" s="1">
        <v>1</v>
      </c>
      <c r="K123" s="1">
        <v>0</v>
      </c>
      <c r="L123" s="1" t="s">
        <v>35</v>
      </c>
      <c r="M123" s="1">
        <v>0</v>
      </c>
      <c r="N123" s="1">
        <v>0</v>
      </c>
      <c r="O123" s="1">
        <v>0</v>
      </c>
      <c r="P123" s="11" t="str">
        <f t="shared" si="1"/>
        <v>胜</v>
      </c>
      <c r="Q123" s="11" t="str">
        <f t="shared" si="1"/>
        <v>胜</v>
      </c>
    </row>
    <row r="124" spans="4:17" customFormat="1" hidden="1" x14ac:dyDescent="0.15">
      <c r="D124" t="s">
        <v>6</v>
      </c>
      <c r="E124" s="1">
        <v>38325</v>
      </c>
      <c r="F124" s="1">
        <v>38325</v>
      </c>
      <c r="G124" s="8">
        <v>41932</v>
      </c>
      <c r="H124" s="1" t="s">
        <v>34</v>
      </c>
      <c r="I124" s="1">
        <v>2</v>
      </c>
      <c r="J124" s="1">
        <v>4</v>
      </c>
      <c r="K124" s="1">
        <v>0</v>
      </c>
      <c r="L124" s="1" t="s">
        <v>32</v>
      </c>
      <c r="M124" s="1">
        <v>2</v>
      </c>
      <c r="N124" s="1">
        <v>3</v>
      </c>
      <c r="O124" s="1">
        <v>0</v>
      </c>
      <c r="P124" s="11" t="str">
        <f t="shared" si="1"/>
        <v>平</v>
      </c>
      <c r="Q124" s="11" t="str">
        <f t="shared" si="1"/>
        <v>胜</v>
      </c>
    </row>
    <row r="125" spans="4:17" customFormat="1" hidden="1" x14ac:dyDescent="0.15">
      <c r="D125" t="s">
        <v>6</v>
      </c>
      <c r="E125" s="1">
        <v>38326</v>
      </c>
      <c r="F125" s="1">
        <v>38326</v>
      </c>
      <c r="G125" s="8">
        <v>41932</v>
      </c>
      <c r="H125" s="1" t="s">
        <v>42</v>
      </c>
      <c r="I125" s="1">
        <v>0</v>
      </c>
      <c r="J125" s="1">
        <v>1</v>
      </c>
      <c r="K125" s="1">
        <v>0</v>
      </c>
      <c r="L125" s="1" t="s">
        <v>45</v>
      </c>
      <c r="M125" s="1">
        <v>1</v>
      </c>
      <c r="N125" s="1">
        <v>1</v>
      </c>
      <c r="O125" s="1">
        <v>0</v>
      </c>
      <c r="P125" s="11" t="str">
        <f t="shared" si="1"/>
        <v>负</v>
      </c>
      <c r="Q125" s="11" t="str">
        <f t="shared" si="1"/>
        <v>平</v>
      </c>
    </row>
    <row r="126" spans="4:17" customFormat="1" hidden="1" x14ac:dyDescent="0.15">
      <c r="D126" t="s">
        <v>6</v>
      </c>
      <c r="E126" s="1">
        <v>38338</v>
      </c>
      <c r="F126" s="1">
        <v>38338</v>
      </c>
      <c r="G126" s="8">
        <v>41932.083333333336</v>
      </c>
      <c r="H126" s="1" t="s">
        <v>37</v>
      </c>
      <c r="I126" s="1">
        <v>2</v>
      </c>
      <c r="J126" s="1">
        <v>3</v>
      </c>
      <c r="K126" s="1">
        <v>0</v>
      </c>
      <c r="L126" s="1" t="s">
        <v>49</v>
      </c>
      <c r="M126" s="1">
        <v>2</v>
      </c>
      <c r="N126" s="1">
        <v>2</v>
      </c>
      <c r="O126" s="1">
        <v>0</v>
      </c>
      <c r="P126" s="11" t="str">
        <f t="shared" si="1"/>
        <v>平</v>
      </c>
      <c r="Q126" s="11" t="str">
        <f t="shared" si="1"/>
        <v>胜</v>
      </c>
    </row>
    <row r="127" spans="4:17" customFormat="1" hidden="1" x14ac:dyDescent="0.15">
      <c r="D127" t="s">
        <v>6</v>
      </c>
      <c r="E127" s="1">
        <v>40181</v>
      </c>
      <c r="F127" s="1">
        <v>40181</v>
      </c>
      <c r="G127" s="8">
        <v>41938.9375</v>
      </c>
      <c r="H127" s="1" t="s">
        <v>37</v>
      </c>
      <c r="I127" s="1">
        <v>2</v>
      </c>
      <c r="J127" s="1">
        <v>3</v>
      </c>
      <c r="K127" s="1">
        <v>0</v>
      </c>
      <c r="L127" s="1" t="s">
        <v>31</v>
      </c>
      <c r="M127" s="1">
        <v>0</v>
      </c>
      <c r="N127" s="1">
        <v>1</v>
      </c>
      <c r="O127" s="1">
        <v>0</v>
      </c>
      <c r="P127" s="11" t="str">
        <f t="shared" si="1"/>
        <v>胜</v>
      </c>
      <c r="Q127" s="11" t="str">
        <f t="shared" si="1"/>
        <v>胜</v>
      </c>
    </row>
    <row r="128" spans="4:17" customFormat="1" hidden="1" x14ac:dyDescent="0.15">
      <c r="D128" t="s">
        <v>6</v>
      </c>
      <c r="E128" s="1">
        <v>40182</v>
      </c>
      <c r="F128" s="1">
        <v>40182</v>
      </c>
      <c r="G128" s="8">
        <v>41938.938888888886</v>
      </c>
      <c r="H128" s="1" t="s">
        <v>41</v>
      </c>
      <c r="I128" s="1">
        <v>0</v>
      </c>
      <c r="J128" s="1">
        <v>1</v>
      </c>
      <c r="K128" s="1">
        <v>0</v>
      </c>
      <c r="L128" s="1" t="s">
        <v>42</v>
      </c>
      <c r="M128" s="1">
        <v>0</v>
      </c>
      <c r="N128" s="1">
        <v>1</v>
      </c>
      <c r="O128" s="1">
        <v>0</v>
      </c>
      <c r="P128" s="11" t="str">
        <f t="shared" si="1"/>
        <v>平</v>
      </c>
      <c r="Q128" s="11" t="str">
        <f t="shared" si="1"/>
        <v>平</v>
      </c>
    </row>
    <row r="129" spans="4:17" x14ac:dyDescent="0.15">
      <c r="D129" s="2" t="s">
        <v>6</v>
      </c>
      <c r="E129" s="6">
        <v>40184</v>
      </c>
      <c r="F129" s="6">
        <v>40184</v>
      </c>
      <c r="G129" s="24">
        <v>41939.125</v>
      </c>
      <c r="H129" s="6" t="s">
        <v>32</v>
      </c>
      <c r="I129" s="6">
        <v>2</v>
      </c>
      <c r="J129" s="6">
        <v>2</v>
      </c>
      <c r="K129" s="6">
        <v>0</v>
      </c>
      <c r="L129" s="6" t="s">
        <v>46</v>
      </c>
      <c r="M129" s="6">
        <v>0</v>
      </c>
      <c r="N129" s="6">
        <v>1</v>
      </c>
      <c r="O129" s="6">
        <v>0</v>
      </c>
      <c r="P129" s="11" t="str">
        <f t="shared" si="1"/>
        <v>胜</v>
      </c>
      <c r="Q129" s="11" t="str">
        <f t="shared" si="1"/>
        <v>胜</v>
      </c>
    </row>
    <row r="130" spans="4:17" customFormat="1" hidden="1" x14ac:dyDescent="0.15">
      <c r="D130" t="s">
        <v>6</v>
      </c>
      <c r="E130" s="1">
        <v>40185</v>
      </c>
      <c r="F130" s="1">
        <v>40185</v>
      </c>
      <c r="G130" s="8">
        <v>41939.042361111111</v>
      </c>
      <c r="H130" s="1" t="s">
        <v>35</v>
      </c>
      <c r="I130" s="1">
        <v>0</v>
      </c>
      <c r="J130" s="1">
        <v>0</v>
      </c>
      <c r="K130" s="1">
        <v>0</v>
      </c>
      <c r="L130" s="1" t="s">
        <v>38</v>
      </c>
      <c r="M130" s="1">
        <v>1</v>
      </c>
      <c r="N130" s="1">
        <v>1</v>
      </c>
      <c r="O130" s="1">
        <v>0</v>
      </c>
      <c r="P130" s="11" t="str">
        <f t="shared" si="1"/>
        <v>负</v>
      </c>
      <c r="Q130" s="11" t="str">
        <f t="shared" si="1"/>
        <v>负</v>
      </c>
    </row>
    <row r="131" spans="4:17" customFormat="1" hidden="1" x14ac:dyDescent="0.15">
      <c r="D131" t="s">
        <v>6</v>
      </c>
      <c r="E131" s="1">
        <v>40186</v>
      </c>
      <c r="F131" s="1">
        <v>40186</v>
      </c>
      <c r="G131" s="8">
        <v>41939.042361111111</v>
      </c>
      <c r="H131" s="1" t="s">
        <v>45</v>
      </c>
      <c r="I131" s="1">
        <v>0</v>
      </c>
      <c r="J131" s="1">
        <v>1</v>
      </c>
      <c r="K131" s="1">
        <v>0</v>
      </c>
      <c r="L131" s="1" t="s">
        <v>43</v>
      </c>
      <c r="M131" s="1">
        <v>2</v>
      </c>
      <c r="N131" s="1">
        <v>2</v>
      </c>
      <c r="O131" s="1">
        <v>0</v>
      </c>
      <c r="P131" s="11" t="str">
        <f t="shared" si="1"/>
        <v>负</v>
      </c>
      <c r="Q131" s="11" t="str">
        <f t="shared" si="1"/>
        <v>负</v>
      </c>
    </row>
    <row r="132" spans="4:17" customFormat="1" hidden="1" x14ac:dyDescent="0.15">
      <c r="D132" t="s">
        <v>6</v>
      </c>
      <c r="E132" s="1">
        <v>40187</v>
      </c>
      <c r="F132" s="1">
        <v>40187</v>
      </c>
      <c r="G132" s="8">
        <v>41939.041666666664</v>
      </c>
      <c r="H132" s="1" t="s">
        <v>44</v>
      </c>
      <c r="I132" s="1">
        <v>2</v>
      </c>
      <c r="J132" s="1">
        <v>4</v>
      </c>
      <c r="K132" s="1">
        <v>0</v>
      </c>
      <c r="L132" s="1" t="s">
        <v>36</v>
      </c>
      <c r="M132" s="1">
        <v>0</v>
      </c>
      <c r="N132" s="1">
        <v>1</v>
      </c>
      <c r="O132" s="1">
        <v>0</v>
      </c>
      <c r="P132" s="11" t="str">
        <f t="shared" si="1"/>
        <v>胜</v>
      </c>
      <c r="Q132" s="11" t="str">
        <f t="shared" si="1"/>
        <v>胜</v>
      </c>
    </row>
    <row r="133" spans="4:17" customFormat="1" hidden="1" x14ac:dyDescent="0.15">
      <c r="D133" t="s">
        <v>6</v>
      </c>
      <c r="E133" s="1">
        <v>40698</v>
      </c>
      <c r="F133" s="1">
        <v>40698</v>
      </c>
      <c r="G133" s="8">
        <v>41937.041666666664</v>
      </c>
      <c r="H133" s="1" t="s">
        <v>49</v>
      </c>
      <c r="I133" s="1">
        <v>0</v>
      </c>
      <c r="J133" s="1">
        <v>1</v>
      </c>
      <c r="K133" s="1">
        <v>0</v>
      </c>
      <c r="L133" s="1" t="s">
        <v>34</v>
      </c>
      <c r="M133" s="1">
        <v>2</v>
      </c>
      <c r="N133" s="1">
        <v>2</v>
      </c>
      <c r="O133" s="1">
        <v>0</v>
      </c>
      <c r="P133" s="11" t="str">
        <f t="shared" si="1"/>
        <v>负</v>
      </c>
      <c r="Q133" s="11" t="str">
        <f t="shared" si="1"/>
        <v>负</v>
      </c>
    </row>
    <row r="134" spans="4:17" customFormat="1" hidden="1" x14ac:dyDescent="0.15">
      <c r="D134" t="s">
        <v>6</v>
      </c>
      <c r="E134" s="1">
        <v>41963</v>
      </c>
      <c r="F134" s="1">
        <v>41963</v>
      </c>
      <c r="G134" s="8">
        <v>41946.040972222225</v>
      </c>
      <c r="H134" s="1" t="s">
        <v>45</v>
      </c>
      <c r="I134" s="1">
        <v>0</v>
      </c>
      <c r="J134" s="1">
        <v>1</v>
      </c>
      <c r="K134" s="1">
        <v>0</v>
      </c>
      <c r="L134" s="1" t="s">
        <v>41</v>
      </c>
      <c r="M134" s="1">
        <v>0</v>
      </c>
      <c r="N134" s="1">
        <v>0</v>
      </c>
      <c r="O134" s="1">
        <v>0</v>
      </c>
      <c r="P134" s="11" t="str">
        <f t="shared" si="1"/>
        <v>平</v>
      </c>
      <c r="Q134" s="11" t="str">
        <f t="shared" si="1"/>
        <v>胜</v>
      </c>
    </row>
    <row r="135" spans="4:17" customFormat="1" hidden="1" x14ac:dyDescent="0.15">
      <c r="D135" t="s">
        <v>6</v>
      </c>
      <c r="E135" s="1">
        <v>41964</v>
      </c>
      <c r="F135" s="1">
        <v>41964</v>
      </c>
      <c r="G135" s="8">
        <v>41946.041666666664</v>
      </c>
      <c r="H135" s="1" t="s">
        <v>40</v>
      </c>
      <c r="I135" s="1">
        <v>0</v>
      </c>
      <c r="J135" s="1">
        <v>2</v>
      </c>
      <c r="K135" s="1">
        <v>0</v>
      </c>
      <c r="L135" s="1" t="s">
        <v>38</v>
      </c>
      <c r="M135" s="1">
        <v>0</v>
      </c>
      <c r="N135" s="1">
        <v>0</v>
      </c>
      <c r="O135" s="1">
        <v>0</v>
      </c>
      <c r="P135" s="11" t="str">
        <f t="shared" si="1"/>
        <v>平</v>
      </c>
      <c r="Q135" s="11" t="str">
        <f t="shared" si="1"/>
        <v>胜</v>
      </c>
    </row>
    <row r="136" spans="4:17" customFormat="1" hidden="1" x14ac:dyDescent="0.15">
      <c r="D136" t="s">
        <v>6</v>
      </c>
      <c r="E136" s="1">
        <v>41965</v>
      </c>
      <c r="F136" s="1">
        <v>41965</v>
      </c>
      <c r="G136" s="8">
        <v>41946.042361111111</v>
      </c>
      <c r="H136" s="1" t="s">
        <v>42</v>
      </c>
      <c r="I136" s="1">
        <v>0</v>
      </c>
      <c r="J136" s="1">
        <v>0</v>
      </c>
      <c r="K136" s="1">
        <v>0</v>
      </c>
      <c r="L136" s="1" t="s">
        <v>48</v>
      </c>
      <c r="M136" s="1">
        <v>0</v>
      </c>
      <c r="N136" s="1">
        <v>1</v>
      </c>
      <c r="O136" s="1">
        <v>0</v>
      </c>
      <c r="P136" s="11" t="str">
        <f t="shared" si="1"/>
        <v>平</v>
      </c>
      <c r="Q136" s="11" t="str">
        <f t="shared" si="1"/>
        <v>负</v>
      </c>
    </row>
    <row r="137" spans="4:17" customFormat="1" hidden="1" x14ac:dyDescent="0.15">
      <c r="D137" t="s">
        <v>6</v>
      </c>
      <c r="E137" s="1">
        <v>41966</v>
      </c>
      <c r="F137" s="1">
        <v>41966</v>
      </c>
      <c r="G137" s="8">
        <v>41946.042361111111</v>
      </c>
      <c r="H137" s="1" t="s">
        <v>46</v>
      </c>
      <c r="I137" s="1">
        <v>1</v>
      </c>
      <c r="J137" s="1">
        <v>2</v>
      </c>
      <c r="K137" s="1">
        <v>0</v>
      </c>
      <c r="L137" s="1" t="s">
        <v>35</v>
      </c>
      <c r="M137" s="1">
        <v>0</v>
      </c>
      <c r="N137" s="1">
        <v>1</v>
      </c>
      <c r="O137" s="1">
        <v>0</v>
      </c>
      <c r="P137" s="11" t="str">
        <f t="shared" si="1"/>
        <v>胜</v>
      </c>
      <c r="Q137" s="11" t="str">
        <f t="shared" si="1"/>
        <v>胜</v>
      </c>
    </row>
    <row r="138" spans="4:17" customFormat="1" hidden="1" x14ac:dyDescent="0.15">
      <c r="D138" t="s">
        <v>6</v>
      </c>
      <c r="E138" s="1">
        <v>41967</v>
      </c>
      <c r="F138" s="1">
        <v>41967</v>
      </c>
      <c r="G138" s="8">
        <v>41946.041666666664</v>
      </c>
      <c r="H138" s="1" t="s">
        <v>34</v>
      </c>
      <c r="I138" s="1">
        <v>0</v>
      </c>
      <c r="J138" s="1">
        <v>0</v>
      </c>
      <c r="K138" s="1">
        <v>0</v>
      </c>
      <c r="L138" s="1" t="s">
        <v>37</v>
      </c>
      <c r="M138" s="1">
        <v>0</v>
      </c>
      <c r="N138" s="1">
        <v>1</v>
      </c>
      <c r="O138" s="1">
        <v>0</v>
      </c>
      <c r="P138" s="11" t="str">
        <f t="shared" si="1"/>
        <v>平</v>
      </c>
      <c r="Q138" s="11" t="str">
        <f t="shared" si="1"/>
        <v>负</v>
      </c>
    </row>
    <row r="139" spans="4:17" customFormat="1" hidden="1" x14ac:dyDescent="0.15">
      <c r="D139" t="s">
        <v>6</v>
      </c>
      <c r="E139" s="1">
        <v>41968</v>
      </c>
      <c r="F139" s="1">
        <v>41968</v>
      </c>
      <c r="G139" s="8">
        <v>41946.041666666664</v>
      </c>
      <c r="H139" s="1" t="s">
        <v>44</v>
      </c>
      <c r="I139" s="1">
        <v>2</v>
      </c>
      <c r="J139" s="1">
        <v>4</v>
      </c>
      <c r="K139" s="1">
        <v>0</v>
      </c>
      <c r="L139" s="1" t="s">
        <v>32</v>
      </c>
      <c r="M139" s="1">
        <v>0</v>
      </c>
      <c r="N139" s="1">
        <v>0</v>
      </c>
      <c r="O139" s="1">
        <v>0</v>
      </c>
      <c r="P139" s="11" t="str">
        <f t="shared" si="1"/>
        <v>胜</v>
      </c>
      <c r="Q139" s="11" t="str">
        <f t="shared" si="1"/>
        <v>胜</v>
      </c>
    </row>
    <row r="140" spans="4:17" customFormat="1" hidden="1" x14ac:dyDescent="0.15">
      <c r="D140" t="s">
        <v>6</v>
      </c>
      <c r="E140" s="1">
        <v>41969</v>
      </c>
      <c r="F140" s="1">
        <v>41969</v>
      </c>
      <c r="G140" s="8">
        <v>41946.041666666664</v>
      </c>
      <c r="H140" s="1" t="s">
        <v>36</v>
      </c>
      <c r="I140" s="1">
        <v>1</v>
      </c>
      <c r="J140" s="1">
        <v>1</v>
      </c>
      <c r="K140" s="1">
        <v>0</v>
      </c>
      <c r="L140" s="1" t="s">
        <v>31</v>
      </c>
      <c r="M140" s="1">
        <v>2</v>
      </c>
      <c r="N140" s="1">
        <v>3</v>
      </c>
      <c r="O140" s="1">
        <v>0</v>
      </c>
      <c r="P140" s="11" t="str">
        <f t="shared" si="1"/>
        <v>负</v>
      </c>
      <c r="Q140" s="11" t="str">
        <f t="shared" si="1"/>
        <v>负</v>
      </c>
    </row>
    <row r="141" spans="4:17" customFormat="1" hidden="1" x14ac:dyDescent="0.15">
      <c r="D141" t="s">
        <v>6</v>
      </c>
      <c r="E141" s="1">
        <v>41970</v>
      </c>
      <c r="F141" s="1">
        <v>41970</v>
      </c>
      <c r="G141" s="8">
        <v>41946.041666666664</v>
      </c>
      <c r="H141" s="1" t="s">
        <v>43</v>
      </c>
      <c r="I141" s="1">
        <v>2</v>
      </c>
      <c r="J141" s="1">
        <v>4</v>
      </c>
      <c r="K141" s="1">
        <v>0</v>
      </c>
      <c r="L141" s="1" t="s">
        <v>49</v>
      </c>
      <c r="M141" s="1">
        <v>1</v>
      </c>
      <c r="N141" s="1">
        <v>1</v>
      </c>
      <c r="O141" s="1">
        <v>0</v>
      </c>
      <c r="P141" s="11" t="str">
        <f t="shared" ref="P141:Q204" si="2">IF(I141=M141,"平",IF(I141&gt;M141,"胜","负"))</f>
        <v>胜</v>
      </c>
      <c r="Q141" s="11" t="str">
        <f t="shared" si="2"/>
        <v>胜</v>
      </c>
    </row>
    <row r="142" spans="4:17" customFormat="1" hidden="1" x14ac:dyDescent="0.15">
      <c r="D142" t="s">
        <v>6</v>
      </c>
      <c r="E142" s="1">
        <v>43631</v>
      </c>
      <c r="F142" s="1">
        <v>43631</v>
      </c>
      <c r="G142" s="8">
        <v>41953.041666666664</v>
      </c>
      <c r="H142" s="1" t="s">
        <v>49</v>
      </c>
      <c r="I142" s="1">
        <v>1</v>
      </c>
      <c r="J142" s="1">
        <v>1</v>
      </c>
      <c r="K142" s="1">
        <v>0</v>
      </c>
      <c r="L142" s="1" t="s">
        <v>36</v>
      </c>
      <c r="M142" s="1">
        <v>0</v>
      </c>
      <c r="N142" s="1">
        <v>0</v>
      </c>
      <c r="O142" s="1">
        <v>0</v>
      </c>
      <c r="P142" s="11" t="str">
        <f t="shared" si="2"/>
        <v>胜</v>
      </c>
      <c r="Q142" s="11" t="str">
        <f t="shared" si="2"/>
        <v>胜</v>
      </c>
    </row>
    <row r="143" spans="4:17" customFormat="1" hidden="1" x14ac:dyDescent="0.15">
      <c r="D143" t="s">
        <v>6</v>
      </c>
      <c r="E143" s="1">
        <v>43632</v>
      </c>
      <c r="F143" s="1">
        <v>43632</v>
      </c>
      <c r="G143" s="8">
        <v>41953.042361111111</v>
      </c>
      <c r="H143" s="1" t="s">
        <v>31</v>
      </c>
      <c r="I143" s="1">
        <v>1</v>
      </c>
      <c r="J143" s="1">
        <v>1</v>
      </c>
      <c r="K143" s="1">
        <v>0</v>
      </c>
      <c r="L143" s="1" t="s">
        <v>43</v>
      </c>
      <c r="M143" s="1">
        <v>0</v>
      </c>
      <c r="N143" s="1">
        <v>2</v>
      </c>
      <c r="O143" s="1">
        <v>0</v>
      </c>
      <c r="P143" s="11" t="str">
        <f t="shared" si="2"/>
        <v>胜</v>
      </c>
      <c r="Q143" s="11" t="str">
        <f t="shared" si="2"/>
        <v>负</v>
      </c>
    </row>
    <row r="144" spans="4:17" x14ac:dyDescent="0.15">
      <c r="D144" s="2" t="s">
        <v>6</v>
      </c>
      <c r="E144" s="6">
        <v>43634</v>
      </c>
      <c r="F144" s="6">
        <v>43634</v>
      </c>
      <c r="G144" s="24">
        <v>41953.041666666664</v>
      </c>
      <c r="H144" s="6" t="s">
        <v>32</v>
      </c>
      <c r="I144" s="6">
        <v>0</v>
      </c>
      <c r="J144" s="6">
        <v>3</v>
      </c>
      <c r="K144" s="6">
        <v>0</v>
      </c>
      <c r="L144" s="6" t="s">
        <v>45</v>
      </c>
      <c r="M144" s="6">
        <v>1</v>
      </c>
      <c r="N144" s="6">
        <v>2</v>
      </c>
      <c r="O144" s="6">
        <v>0</v>
      </c>
      <c r="P144" s="11" t="str">
        <f t="shared" si="2"/>
        <v>负</v>
      </c>
      <c r="Q144" s="11" t="str">
        <f t="shared" si="2"/>
        <v>胜</v>
      </c>
    </row>
    <row r="145" spans="4:17" customFormat="1" hidden="1" x14ac:dyDescent="0.15">
      <c r="D145" t="s">
        <v>6</v>
      </c>
      <c r="E145" s="1">
        <v>43636</v>
      </c>
      <c r="F145" s="1">
        <v>43636</v>
      </c>
      <c r="G145" s="8">
        <v>41953.042361111111</v>
      </c>
      <c r="H145" s="1" t="s">
        <v>35</v>
      </c>
      <c r="I145" s="1">
        <v>0</v>
      </c>
      <c r="J145" s="1">
        <v>0</v>
      </c>
      <c r="K145" s="1">
        <v>0</v>
      </c>
      <c r="L145" s="1" t="s">
        <v>42</v>
      </c>
      <c r="M145" s="1">
        <v>0</v>
      </c>
      <c r="N145" s="1">
        <v>2</v>
      </c>
      <c r="O145" s="1">
        <v>0</v>
      </c>
      <c r="P145" s="11" t="str">
        <f t="shared" si="2"/>
        <v>平</v>
      </c>
      <c r="Q145" s="11" t="str">
        <f t="shared" si="2"/>
        <v>负</v>
      </c>
    </row>
    <row r="146" spans="4:17" customFormat="1" hidden="1" x14ac:dyDescent="0.15">
      <c r="D146" t="s">
        <v>6</v>
      </c>
      <c r="E146" s="1">
        <v>43637</v>
      </c>
      <c r="F146" s="1">
        <v>43637</v>
      </c>
      <c r="G146" s="8">
        <v>41953.042361111111</v>
      </c>
      <c r="H146" s="1" t="s">
        <v>41</v>
      </c>
      <c r="I146" s="1">
        <v>1</v>
      </c>
      <c r="J146" s="1">
        <v>3</v>
      </c>
      <c r="K146" s="1">
        <v>0</v>
      </c>
      <c r="L146" s="1" t="s">
        <v>44</v>
      </c>
      <c r="M146" s="1">
        <v>1</v>
      </c>
      <c r="N146" s="1">
        <v>2</v>
      </c>
      <c r="O146" s="1">
        <v>0</v>
      </c>
      <c r="P146" s="11" t="str">
        <f t="shared" si="2"/>
        <v>平</v>
      </c>
      <c r="Q146" s="11" t="str">
        <f t="shared" si="2"/>
        <v>胜</v>
      </c>
    </row>
    <row r="147" spans="4:17" customFormat="1" hidden="1" x14ac:dyDescent="0.15">
      <c r="D147" t="s">
        <v>6</v>
      </c>
      <c r="E147" s="1">
        <v>43638</v>
      </c>
      <c r="F147" s="1">
        <v>43638</v>
      </c>
      <c r="G147" s="8">
        <v>41953.040972222225</v>
      </c>
      <c r="H147" s="1" t="s">
        <v>48</v>
      </c>
      <c r="I147" s="1">
        <v>1</v>
      </c>
      <c r="J147" s="1">
        <v>2</v>
      </c>
      <c r="K147" s="1">
        <v>0</v>
      </c>
      <c r="L147" s="1" t="s">
        <v>46</v>
      </c>
      <c r="M147" s="1">
        <v>2</v>
      </c>
      <c r="N147" s="1">
        <v>3</v>
      </c>
      <c r="O147" s="1">
        <v>0</v>
      </c>
      <c r="P147" s="11" t="str">
        <f t="shared" si="2"/>
        <v>负</v>
      </c>
      <c r="Q147" s="11" t="str">
        <f t="shared" si="2"/>
        <v>负</v>
      </c>
    </row>
    <row r="148" spans="4:17" customFormat="1" hidden="1" x14ac:dyDescent="0.15">
      <c r="D148" t="s">
        <v>6</v>
      </c>
      <c r="E148" s="1">
        <v>43639</v>
      </c>
      <c r="F148" s="1">
        <v>43639</v>
      </c>
      <c r="G148" s="8">
        <v>41953.041666666664</v>
      </c>
      <c r="H148" s="1" t="s">
        <v>37</v>
      </c>
      <c r="I148" s="1">
        <v>1</v>
      </c>
      <c r="J148" s="1">
        <v>4</v>
      </c>
      <c r="K148" s="1">
        <v>0</v>
      </c>
      <c r="L148" s="1" t="s">
        <v>40</v>
      </c>
      <c r="M148" s="1">
        <v>1</v>
      </c>
      <c r="N148" s="1">
        <v>1</v>
      </c>
      <c r="O148" s="1">
        <v>0</v>
      </c>
      <c r="P148" s="11" t="str">
        <f t="shared" si="2"/>
        <v>平</v>
      </c>
      <c r="Q148" s="11" t="str">
        <f t="shared" si="2"/>
        <v>胜</v>
      </c>
    </row>
    <row r="149" spans="4:17" customFormat="1" hidden="1" x14ac:dyDescent="0.15">
      <c r="D149" t="s">
        <v>6</v>
      </c>
      <c r="E149" s="1">
        <v>43773</v>
      </c>
      <c r="F149" s="1">
        <v>43773</v>
      </c>
      <c r="G149" s="8">
        <v>41953.042361111111</v>
      </c>
      <c r="H149" s="1" t="s">
        <v>38</v>
      </c>
      <c r="I149" s="1">
        <v>0</v>
      </c>
      <c r="J149" s="1">
        <v>2</v>
      </c>
      <c r="K149" s="1">
        <v>0</v>
      </c>
      <c r="L149" s="1" t="s">
        <v>34</v>
      </c>
      <c r="M149" s="1">
        <v>0</v>
      </c>
      <c r="N149" s="1">
        <v>0</v>
      </c>
      <c r="O149" s="1">
        <v>0</v>
      </c>
      <c r="P149" s="11" t="str">
        <f t="shared" si="2"/>
        <v>平</v>
      </c>
      <c r="Q149" s="11" t="str">
        <f t="shared" si="2"/>
        <v>胜</v>
      </c>
    </row>
    <row r="150" spans="4:17" customFormat="1" hidden="1" x14ac:dyDescent="0.15">
      <c r="D150" t="s">
        <v>6</v>
      </c>
      <c r="E150" s="1">
        <v>73538</v>
      </c>
      <c r="F150" s="1">
        <v>73538</v>
      </c>
      <c r="G150" s="8">
        <v>42100.895833333336</v>
      </c>
      <c r="H150" s="1" t="s">
        <v>51</v>
      </c>
      <c r="I150" s="1">
        <v>0</v>
      </c>
      <c r="J150" s="1">
        <v>1</v>
      </c>
      <c r="K150" s="1">
        <v>0</v>
      </c>
      <c r="L150" s="1" t="s">
        <v>45</v>
      </c>
      <c r="M150" s="1">
        <v>0</v>
      </c>
      <c r="N150" s="1">
        <v>0</v>
      </c>
      <c r="O150" s="1">
        <v>0</v>
      </c>
      <c r="P150" s="11" t="str">
        <f t="shared" si="2"/>
        <v>平</v>
      </c>
      <c r="Q150" s="11" t="str">
        <f t="shared" si="2"/>
        <v>胜</v>
      </c>
    </row>
    <row r="151" spans="4:17" customFormat="1" hidden="1" x14ac:dyDescent="0.15">
      <c r="D151" t="s">
        <v>6</v>
      </c>
      <c r="E151" s="1">
        <v>73741</v>
      </c>
      <c r="F151" s="1">
        <v>73741</v>
      </c>
      <c r="G151" s="8">
        <v>42101.000694444447</v>
      </c>
      <c r="H151" s="1" t="s">
        <v>42</v>
      </c>
      <c r="I151" s="1">
        <v>1</v>
      </c>
      <c r="J151" s="1">
        <v>1</v>
      </c>
      <c r="K151" s="1">
        <v>0</v>
      </c>
      <c r="L151" s="1" t="s">
        <v>48</v>
      </c>
      <c r="M151" s="1">
        <v>0</v>
      </c>
      <c r="N151" s="1">
        <v>1</v>
      </c>
      <c r="O151" s="1">
        <v>0</v>
      </c>
      <c r="P151" s="11" t="str">
        <f t="shared" si="2"/>
        <v>胜</v>
      </c>
      <c r="Q151" s="11" t="str">
        <f t="shared" si="2"/>
        <v>平</v>
      </c>
    </row>
    <row r="152" spans="4:17" customFormat="1" hidden="1" x14ac:dyDescent="0.15">
      <c r="D152" t="s">
        <v>6</v>
      </c>
      <c r="E152" s="1">
        <v>73742</v>
      </c>
      <c r="F152" s="1">
        <v>73742</v>
      </c>
      <c r="G152" s="8">
        <v>42101</v>
      </c>
      <c r="H152" s="1" t="s">
        <v>52</v>
      </c>
      <c r="I152" s="1">
        <v>1</v>
      </c>
      <c r="J152" s="1">
        <v>3</v>
      </c>
      <c r="K152" s="1">
        <v>0</v>
      </c>
      <c r="L152" s="1" t="s">
        <v>32</v>
      </c>
      <c r="M152" s="1">
        <v>1</v>
      </c>
      <c r="N152" s="1">
        <v>1</v>
      </c>
      <c r="O152" s="1">
        <v>0</v>
      </c>
      <c r="P152" s="11" t="str">
        <f t="shared" si="2"/>
        <v>平</v>
      </c>
      <c r="Q152" s="11" t="str">
        <f t="shared" si="2"/>
        <v>胜</v>
      </c>
    </row>
    <row r="153" spans="4:17" customFormat="1" hidden="1" x14ac:dyDescent="0.15">
      <c r="D153" t="s">
        <v>6</v>
      </c>
      <c r="E153" s="1">
        <v>73743</v>
      </c>
      <c r="F153" s="1">
        <v>73743</v>
      </c>
      <c r="G153" s="8">
        <v>42101</v>
      </c>
      <c r="H153" s="1" t="s">
        <v>53</v>
      </c>
      <c r="I153" s="1">
        <v>0</v>
      </c>
      <c r="J153" s="1">
        <v>0</v>
      </c>
      <c r="K153" s="1">
        <v>0</v>
      </c>
      <c r="L153" s="1" t="s">
        <v>41</v>
      </c>
      <c r="M153" s="1">
        <v>0</v>
      </c>
      <c r="N153" s="1">
        <v>1</v>
      </c>
      <c r="O153" s="1">
        <v>0</v>
      </c>
      <c r="P153" s="11" t="str">
        <f t="shared" si="2"/>
        <v>平</v>
      </c>
      <c r="Q153" s="11" t="str">
        <f t="shared" si="2"/>
        <v>负</v>
      </c>
    </row>
    <row r="154" spans="4:17" customFormat="1" hidden="1" x14ac:dyDescent="0.15">
      <c r="D154" t="s">
        <v>6</v>
      </c>
      <c r="E154" s="1">
        <v>73744</v>
      </c>
      <c r="F154" s="1">
        <v>73744</v>
      </c>
      <c r="G154" s="8">
        <v>42101.000694444447</v>
      </c>
      <c r="H154" s="1" t="s">
        <v>37</v>
      </c>
      <c r="I154" s="1">
        <v>3</v>
      </c>
      <c r="J154" s="1">
        <v>5</v>
      </c>
      <c r="K154" s="1">
        <v>0</v>
      </c>
      <c r="L154" s="1" t="s">
        <v>43</v>
      </c>
      <c r="M154" s="1">
        <v>0</v>
      </c>
      <c r="N154" s="1">
        <v>0</v>
      </c>
      <c r="O154" s="1">
        <v>0</v>
      </c>
      <c r="P154" s="11" t="str">
        <f t="shared" si="2"/>
        <v>胜</v>
      </c>
      <c r="Q154" s="11" t="str">
        <f t="shared" si="2"/>
        <v>胜</v>
      </c>
    </row>
    <row r="155" spans="4:17" customFormat="1" hidden="1" x14ac:dyDescent="0.15">
      <c r="D155" t="s">
        <v>6</v>
      </c>
      <c r="E155" s="1">
        <v>73747</v>
      </c>
      <c r="F155" s="1">
        <v>73747</v>
      </c>
      <c r="G155" s="8">
        <v>42101.041666666664</v>
      </c>
      <c r="H155" s="1" t="s">
        <v>49</v>
      </c>
      <c r="I155" s="1">
        <v>2</v>
      </c>
      <c r="J155" s="1">
        <v>3</v>
      </c>
      <c r="K155" s="1">
        <v>0</v>
      </c>
      <c r="L155" s="1" t="s">
        <v>40</v>
      </c>
      <c r="M155" s="1">
        <v>1</v>
      </c>
      <c r="N155" s="1">
        <v>1</v>
      </c>
      <c r="O155" s="1">
        <v>0</v>
      </c>
      <c r="P155" s="11" t="str">
        <f t="shared" si="2"/>
        <v>胜</v>
      </c>
      <c r="Q155" s="11" t="str">
        <f t="shared" si="2"/>
        <v>胜</v>
      </c>
    </row>
    <row r="156" spans="4:17" customFormat="1" hidden="1" x14ac:dyDescent="0.15">
      <c r="D156" t="s">
        <v>6</v>
      </c>
      <c r="E156" s="1">
        <v>74202</v>
      </c>
      <c r="F156" s="1">
        <v>74202</v>
      </c>
      <c r="G156" s="8">
        <v>42102.041666666664</v>
      </c>
      <c r="H156" s="1" t="s">
        <v>38</v>
      </c>
      <c r="I156" s="1">
        <v>0</v>
      </c>
      <c r="J156" s="1">
        <v>1</v>
      </c>
      <c r="K156" s="1">
        <v>0</v>
      </c>
      <c r="L156" s="1" t="s">
        <v>54</v>
      </c>
      <c r="M156" s="1">
        <v>0</v>
      </c>
      <c r="N156" s="1">
        <v>2</v>
      </c>
      <c r="O156" s="1">
        <v>0</v>
      </c>
      <c r="P156" s="11" t="str">
        <f t="shared" si="2"/>
        <v>平</v>
      </c>
      <c r="Q156" s="11" t="str">
        <f t="shared" si="2"/>
        <v>负</v>
      </c>
    </row>
    <row r="157" spans="4:17" customFormat="1" hidden="1" x14ac:dyDescent="0.15">
      <c r="D157" t="s">
        <v>6</v>
      </c>
      <c r="E157" s="1">
        <v>74474</v>
      </c>
      <c r="F157" s="1">
        <v>74474</v>
      </c>
      <c r="G157" s="8">
        <v>42102.041666666664</v>
      </c>
      <c r="H157" s="1" t="s">
        <v>44</v>
      </c>
      <c r="I157" s="1">
        <v>0</v>
      </c>
      <c r="J157" s="1">
        <v>1</v>
      </c>
      <c r="K157" s="1">
        <v>0</v>
      </c>
      <c r="L157" s="1" t="s">
        <v>36</v>
      </c>
      <c r="M157" s="1">
        <v>1</v>
      </c>
      <c r="N157" s="1">
        <v>1</v>
      </c>
      <c r="O157" s="1">
        <v>0</v>
      </c>
      <c r="P157" s="11" t="str">
        <f t="shared" si="2"/>
        <v>负</v>
      </c>
      <c r="Q157" s="11" t="str">
        <f t="shared" si="2"/>
        <v>平</v>
      </c>
    </row>
    <row r="158" spans="4:17" customFormat="1" hidden="1" x14ac:dyDescent="0.15">
      <c r="D158" t="s">
        <v>6</v>
      </c>
      <c r="E158" s="1">
        <v>75227</v>
      </c>
      <c r="F158" s="1">
        <v>75227</v>
      </c>
      <c r="G158" s="8">
        <v>42105.041666666664</v>
      </c>
      <c r="H158" s="1" t="s">
        <v>41</v>
      </c>
      <c r="I158" s="1">
        <v>0</v>
      </c>
      <c r="J158" s="1">
        <v>1</v>
      </c>
      <c r="K158" s="1">
        <v>0</v>
      </c>
      <c r="L158" s="1" t="s">
        <v>49</v>
      </c>
      <c r="M158" s="1">
        <v>0</v>
      </c>
      <c r="N158" s="1">
        <v>1</v>
      </c>
      <c r="O158" s="1">
        <v>0</v>
      </c>
      <c r="P158" s="11" t="str">
        <f t="shared" si="2"/>
        <v>平</v>
      </c>
      <c r="Q158" s="11" t="str">
        <f t="shared" si="2"/>
        <v>平</v>
      </c>
    </row>
    <row r="159" spans="4:17" x14ac:dyDescent="0.15">
      <c r="D159" s="2" t="s">
        <v>6</v>
      </c>
      <c r="E159" s="6">
        <v>75236</v>
      </c>
      <c r="F159" s="6">
        <v>75236</v>
      </c>
      <c r="G159" s="24">
        <v>42105.895833333336</v>
      </c>
      <c r="H159" s="6" t="s">
        <v>32</v>
      </c>
      <c r="I159" s="6">
        <v>0</v>
      </c>
      <c r="J159" s="6">
        <v>1</v>
      </c>
      <c r="K159" s="6">
        <v>0</v>
      </c>
      <c r="L159" s="6" t="s">
        <v>38</v>
      </c>
      <c r="M159" s="6">
        <v>1</v>
      </c>
      <c r="N159" s="6">
        <v>3</v>
      </c>
      <c r="O159" s="6">
        <v>0</v>
      </c>
      <c r="P159" s="11" t="str">
        <f t="shared" si="2"/>
        <v>负</v>
      </c>
      <c r="Q159" s="11" t="str">
        <f t="shared" si="2"/>
        <v>负</v>
      </c>
    </row>
    <row r="160" spans="4:17" customFormat="1" hidden="1" x14ac:dyDescent="0.15">
      <c r="D160" t="s">
        <v>6</v>
      </c>
      <c r="E160" s="1">
        <v>75248</v>
      </c>
      <c r="F160" s="1">
        <v>75248</v>
      </c>
      <c r="G160" s="8">
        <v>42105.999305555553</v>
      </c>
      <c r="H160" s="1" t="s">
        <v>40</v>
      </c>
      <c r="I160" s="1">
        <v>1</v>
      </c>
      <c r="J160" s="1">
        <v>1</v>
      </c>
      <c r="K160" s="1">
        <v>0</v>
      </c>
      <c r="L160" s="1" t="s">
        <v>51</v>
      </c>
      <c r="M160" s="1">
        <v>1</v>
      </c>
      <c r="N160" s="1">
        <v>1</v>
      </c>
      <c r="O160" s="1">
        <v>0</v>
      </c>
      <c r="P160" s="11" t="str">
        <f t="shared" si="2"/>
        <v>平</v>
      </c>
      <c r="Q160" s="11" t="str">
        <f t="shared" si="2"/>
        <v>平</v>
      </c>
    </row>
    <row r="161" spans="4:17" customFormat="1" hidden="1" x14ac:dyDescent="0.15">
      <c r="D161" t="s">
        <v>6</v>
      </c>
      <c r="E161" s="1">
        <v>75253</v>
      </c>
      <c r="F161" s="1">
        <v>75253</v>
      </c>
      <c r="G161" s="8">
        <v>42106.895833333336</v>
      </c>
      <c r="H161" s="1" t="s">
        <v>43</v>
      </c>
      <c r="I161" s="1">
        <v>0</v>
      </c>
      <c r="J161" s="1">
        <v>1</v>
      </c>
      <c r="K161" s="1">
        <v>0</v>
      </c>
      <c r="L161" s="1" t="s">
        <v>44</v>
      </c>
      <c r="M161" s="1">
        <v>0</v>
      </c>
      <c r="N161" s="1">
        <v>1</v>
      </c>
      <c r="O161" s="1">
        <v>0</v>
      </c>
      <c r="P161" s="11" t="str">
        <f t="shared" si="2"/>
        <v>平</v>
      </c>
      <c r="Q161" s="11" t="str">
        <f t="shared" si="2"/>
        <v>平</v>
      </c>
    </row>
    <row r="162" spans="4:17" customFormat="1" hidden="1" x14ac:dyDescent="0.15">
      <c r="D162" t="s">
        <v>6</v>
      </c>
      <c r="E162" s="1">
        <v>75503</v>
      </c>
      <c r="F162" s="1">
        <v>75503</v>
      </c>
      <c r="G162" s="8">
        <v>42107</v>
      </c>
      <c r="H162" s="1" t="s">
        <v>48</v>
      </c>
      <c r="I162" s="1">
        <v>0</v>
      </c>
      <c r="J162" s="1">
        <v>0</v>
      </c>
      <c r="K162" s="1">
        <v>0</v>
      </c>
      <c r="L162" s="1" t="s">
        <v>37</v>
      </c>
      <c r="M162" s="1">
        <v>3</v>
      </c>
      <c r="N162" s="1">
        <v>6</v>
      </c>
      <c r="O162" s="1">
        <v>0</v>
      </c>
      <c r="P162" s="11" t="str">
        <f t="shared" si="2"/>
        <v>负</v>
      </c>
      <c r="Q162" s="11" t="str">
        <f t="shared" si="2"/>
        <v>负</v>
      </c>
    </row>
    <row r="163" spans="4:17" customFormat="1" hidden="1" x14ac:dyDescent="0.15">
      <c r="D163" t="s">
        <v>6</v>
      </c>
      <c r="E163" s="1">
        <v>75504</v>
      </c>
      <c r="F163" s="1">
        <v>75504</v>
      </c>
      <c r="G163" s="8">
        <v>42107</v>
      </c>
      <c r="H163" s="1" t="s">
        <v>36</v>
      </c>
      <c r="I163" s="1">
        <v>0</v>
      </c>
      <c r="J163" s="1">
        <v>2</v>
      </c>
      <c r="K163" s="1">
        <v>0</v>
      </c>
      <c r="L163" s="1" t="s">
        <v>52</v>
      </c>
      <c r="M163" s="1">
        <v>0</v>
      </c>
      <c r="N163" s="1">
        <v>1</v>
      </c>
      <c r="O163" s="1">
        <v>0</v>
      </c>
      <c r="P163" s="11" t="str">
        <f t="shared" si="2"/>
        <v>平</v>
      </c>
      <c r="Q163" s="11" t="str">
        <f t="shared" si="2"/>
        <v>胜</v>
      </c>
    </row>
    <row r="164" spans="4:17" customFormat="1" hidden="1" x14ac:dyDescent="0.15">
      <c r="D164" t="s">
        <v>6</v>
      </c>
      <c r="E164" s="1">
        <v>75510</v>
      </c>
      <c r="F164" s="1">
        <v>75510</v>
      </c>
      <c r="G164" s="8">
        <v>42107.000694444447</v>
      </c>
      <c r="H164" s="1" t="s">
        <v>54</v>
      </c>
      <c r="I164" s="1">
        <v>0</v>
      </c>
      <c r="J164" s="1">
        <v>2</v>
      </c>
      <c r="K164" s="1">
        <v>0</v>
      </c>
      <c r="L164" s="1" t="s">
        <v>42</v>
      </c>
      <c r="M164" s="1">
        <v>0</v>
      </c>
      <c r="N164" s="1">
        <v>0</v>
      </c>
      <c r="O164" s="1">
        <v>0</v>
      </c>
      <c r="P164" s="11" t="str">
        <f t="shared" si="2"/>
        <v>平</v>
      </c>
      <c r="Q164" s="11" t="str">
        <f t="shared" si="2"/>
        <v>胜</v>
      </c>
    </row>
    <row r="165" spans="4:17" customFormat="1" hidden="1" x14ac:dyDescent="0.15">
      <c r="D165" t="s">
        <v>6</v>
      </c>
      <c r="E165" s="1">
        <v>75514</v>
      </c>
      <c r="F165" s="1">
        <v>75514</v>
      </c>
      <c r="G165" s="8">
        <v>42106.999305555553</v>
      </c>
      <c r="H165" s="1" t="s">
        <v>45</v>
      </c>
      <c r="I165" s="1">
        <v>1</v>
      </c>
      <c r="J165" s="1">
        <v>3</v>
      </c>
      <c r="K165" s="1">
        <v>0</v>
      </c>
      <c r="L165" s="1" t="s">
        <v>53</v>
      </c>
      <c r="M165" s="1">
        <v>0</v>
      </c>
      <c r="N165" s="1">
        <v>1</v>
      </c>
      <c r="O165" s="1">
        <v>0</v>
      </c>
      <c r="P165" s="11" t="str">
        <f t="shared" si="2"/>
        <v>胜</v>
      </c>
      <c r="Q165" s="11" t="str">
        <f t="shared" si="2"/>
        <v>胜</v>
      </c>
    </row>
    <row r="166" spans="4:17" customFormat="1" hidden="1" x14ac:dyDescent="0.15">
      <c r="D166" t="s">
        <v>6</v>
      </c>
      <c r="E166" s="1">
        <v>76751</v>
      </c>
      <c r="F166" s="1">
        <v>76751</v>
      </c>
      <c r="G166" s="8">
        <v>42112.040972222225</v>
      </c>
      <c r="H166" s="1" t="s">
        <v>49</v>
      </c>
      <c r="I166" s="1">
        <v>2</v>
      </c>
      <c r="J166" s="1">
        <v>2</v>
      </c>
      <c r="K166" s="1">
        <v>0</v>
      </c>
      <c r="L166" s="1" t="s">
        <v>48</v>
      </c>
      <c r="M166" s="1">
        <v>0</v>
      </c>
      <c r="N166" s="1">
        <v>0</v>
      </c>
      <c r="O166" s="1">
        <v>0</v>
      </c>
      <c r="P166" s="11" t="str">
        <f t="shared" si="2"/>
        <v>胜</v>
      </c>
      <c r="Q166" s="11" t="str">
        <f t="shared" si="2"/>
        <v>胜</v>
      </c>
    </row>
    <row r="167" spans="4:17" customFormat="1" hidden="1" x14ac:dyDescent="0.15">
      <c r="D167" t="s">
        <v>6</v>
      </c>
      <c r="E167" s="1">
        <v>76804</v>
      </c>
      <c r="F167" s="1">
        <v>76804</v>
      </c>
      <c r="G167" s="8">
        <v>42112.895138888889</v>
      </c>
      <c r="H167" s="1" t="s">
        <v>51</v>
      </c>
      <c r="I167" s="1">
        <v>0</v>
      </c>
      <c r="J167" s="1">
        <v>1</v>
      </c>
      <c r="K167" s="1">
        <v>0</v>
      </c>
      <c r="L167" s="1" t="s">
        <v>36</v>
      </c>
      <c r="M167" s="1">
        <v>0</v>
      </c>
      <c r="N167" s="1">
        <v>1</v>
      </c>
      <c r="O167" s="1">
        <v>0</v>
      </c>
      <c r="P167" s="11" t="str">
        <f t="shared" si="2"/>
        <v>平</v>
      </c>
      <c r="Q167" s="11" t="str">
        <f t="shared" si="2"/>
        <v>平</v>
      </c>
    </row>
    <row r="168" spans="4:17" customFormat="1" hidden="1" x14ac:dyDescent="0.15">
      <c r="D168" t="s">
        <v>6</v>
      </c>
      <c r="E168" s="1">
        <v>76981</v>
      </c>
      <c r="F168" s="1">
        <v>76981</v>
      </c>
      <c r="G168" s="8">
        <v>42112.999305555553</v>
      </c>
      <c r="H168" s="1" t="s">
        <v>37</v>
      </c>
      <c r="I168" s="1">
        <v>1</v>
      </c>
      <c r="J168" s="1">
        <v>1</v>
      </c>
      <c r="K168" s="1">
        <v>0</v>
      </c>
      <c r="L168" s="1" t="s">
        <v>40</v>
      </c>
      <c r="M168" s="1">
        <v>0</v>
      </c>
      <c r="N168" s="1">
        <v>1</v>
      </c>
      <c r="O168" s="1">
        <v>0</v>
      </c>
      <c r="P168" s="11" t="str">
        <f t="shared" si="2"/>
        <v>胜</v>
      </c>
      <c r="Q168" s="11" t="str">
        <f t="shared" si="2"/>
        <v>平</v>
      </c>
    </row>
    <row r="169" spans="4:17" x14ac:dyDescent="0.15">
      <c r="D169" s="2" t="s">
        <v>6</v>
      </c>
      <c r="E169" s="6">
        <v>77039</v>
      </c>
      <c r="F169" s="6">
        <v>77039</v>
      </c>
      <c r="G169" s="24">
        <v>42113.895833333336</v>
      </c>
      <c r="H169" s="6" t="s">
        <v>32</v>
      </c>
      <c r="I169" s="6">
        <v>2</v>
      </c>
      <c r="J169" s="6">
        <v>2</v>
      </c>
      <c r="K169" s="6">
        <v>0</v>
      </c>
      <c r="L169" s="6" t="s">
        <v>54</v>
      </c>
      <c r="M169" s="6">
        <v>2</v>
      </c>
      <c r="N169" s="6">
        <v>4</v>
      </c>
      <c r="O169" s="6">
        <v>0</v>
      </c>
      <c r="P169" s="11" t="str">
        <f t="shared" si="2"/>
        <v>平</v>
      </c>
      <c r="Q169" s="11" t="str">
        <f t="shared" si="2"/>
        <v>负</v>
      </c>
    </row>
    <row r="170" spans="4:17" customFormat="1" hidden="1" x14ac:dyDescent="0.15">
      <c r="D170" t="s">
        <v>6</v>
      </c>
      <c r="E170" s="1">
        <v>77442</v>
      </c>
      <c r="F170" s="1">
        <v>77442</v>
      </c>
      <c r="G170" s="8">
        <v>42113.999305555553</v>
      </c>
      <c r="H170" s="1" t="s">
        <v>52</v>
      </c>
      <c r="I170" s="1">
        <v>0</v>
      </c>
      <c r="J170" s="1">
        <v>1</v>
      </c>
      <c r="K170" s="1">
        <v>0</v>
      </c>
      <c r="L170" s="1" t="s">
        <v>41</v>
      </c>
      <c r="M170" s="1">
        <v>0</v>
      </c>
      <c r="N170" s="1">
        <v>0</v>
      </c>
      <c r="O170" s="1">
        <v>0</v>
      </c>
      <c r="P170" s="11" t="str">
        <f t="shared" si="2"/>
        <v>平</v>
      </c>
      <c r="Q170" s="11" t="str">
        <f t="shared" si="2"/>
        <v>胜</v>
      </c>
    </row>
    <row r="171" spans="4:17" customFormat="1" hidden="1" x14ac:dyDescent="0.15">
      <c r="D171" t="s">
        <v>6</v>
      </c>
      <c r="E171" s="1">
        <v>77443</v>
      </c>
      <c r="F171" s="1">
        <v>77443</v>
      </c>
      <c r="G171" s="8">
        <v>42114</v>
      </c>
      <c r="H171" s="1" t="s">
        <v>42</v>
      </c>
      <c r="I171" s="1">
        <v>0</v>
      </c>
      <c r="J171" s="1">
        <v>1</v>
      </c>
      <c r="K171" s="1">
        <v>0</v>
      </c>
      <c r="L171" s="1" t="s">
        <v>45</v>
      </c>
      <c r="M171" s="1">
        <v>0</v>
      </c>
      <c r="N171" s="1">
        <v>0</v>
      </c>
      <c r="O171" s="1">
        <v>0</v>
      </c>
      <c r="P171" s="11" t="str">
        <f t="shared" si="2"/>
        <v>平</v>
      </c>
      <c r="Q171" s="11" t="str">
        <f t="shared" si="2"/>
        <v>胜</v>
      </c>
    </row>
    <row r="172" spans="4:17" customFormat="1" hidden="1" x14ac:dyDescent="0.15">
      <c r="D172" t="s">
        <v>6</v>
      </c>
      <c r="E172" s="1">
        <v>77444</v>
      </c>
      <c r="F172" s="1">
        <v>77444</v>
      </c>
      <c r="G172" s="8">
        <v>42114</v>
      </c>
      <c r="H172" s="1" t="s">
        <v>53</v>
      </c>
      <c r="I172" s="1">
        <v>1</v>
      </c>
      <c r="J172" s="1">
        <v>1</v>
      </c>
      <c r="K172" s="1">
        <v>0</v>
      </c>
      <c r="L172" s="1" t="s">
        <v>44</v>
      </c>
      <c r="M172" s="1">
        <v>1</v>
      </c>
      <c r="N172" s="1">
        <v>1</v>
      </c>
      <c r="O172" s="1">
        <v>0</v>
      </c>
      <c r="P172" s="11" t="str">
        <f t="shared" si="2"/>
        <v>平</v>
      </c>
      <c r="Q172" s="11" t="str">
        <f t="shared" si="2"/>
        <v>平</v>
      </c>
    </row>
    <row r="173" spans="4:17" customFormat="1" hidden="1" x14ac:dyDescent="0.15">
      <c r="D173" t="s">
        <v>6</v>
      </c>
      <c r="E173" s="1">
        <v>77445</v>
      </c>
      <c r="F173" s="1">
        <v>77445</v>
      </c>
      <c r="G173" s="8">
        <v>42114</v>
      </c>
      <c r="H173" s="1" t="s">
        <v>38</v>
      </c>
      <c r="I173" s="1">
        <v>2</v>
      </c>
      <c r="J173" s="1">
        <v>5</v>
      </c>
      <c r="K173" s="1">
        <v>0</v>
      </c>
      <c r="L173" s="1" t="s">
        <v>43</v>
      </c>
      <c r="M173" s="1">
        <v>1</v>
      </c>
      <c r="N173" s="1">
        <v>1</v>
      </c>
      <c r="O173" s="1">
        <v>0</v>
      </c>
      <c r="P173" s="11" t="str">
        <f t="shared" si="2"/>
        <v>胜</v>
      </c>
      <c r="Q173" s="11" t="str">
        <f t="shared" si="2"/>
        <v>胜</v>
      </c>
    </row>
    <row r="174" spans="4:17" customFormat="1" hidden="1" x14ac:dyDescent="0.15">
      <c r="D174" t="s">
        <v>6</v>
      </c>
      <c r="E174" s="1">
        <v>78711</v>
      </c>
      <c r="F174" s="1">
        <v>78711</v>
      </c>
      <c r="G174" s="8">
        <v>42119.041666666664</v>
      </c>
      <c r="H174" s="1" t="s">
        <v>36</v>
      </c>
      <c r="I174" s="1">
        <v>1</v>
      </c>
      <c r="J174" s="1">
        <v>2</v>
      </c>
      <c r="K174" s="1">
        <v>0</v>
      </c>
      <c r="L174" s="1" t="s">
        <v>49</v>
      </c>
      <c r="M174" s="1">
        <v>1</v>
      </c>
      <c r="N174" s="1">
        <v>3</v>
      </c>
      <c r="O174" s="1">
        <v>0</v>
      </c>
      <c r="P174" s="11" t="str">
        <f t="shared" si="2"/>
        <v>平</v>
      </c>
      <c r="Q174" s="11" t="str">
        <f t="shared" si="2"/>
        <v>负</v>
      </c>
    </row>
    <row r="175" spans="4:17" customFormat="1" hidden="1" x14ac:dyDescent="0.15">
      <c r="D175" t="s">
        <v>6</v>
      </c>
      <c r="E175" s="1">
        <v>78747</v>
      </c>
      <c r="F175" s="1">
        <v>78747</v>
      </c>
      <c r="G175" s="8">
        <v>42119.895138888889</v>
      </c>
      <c r="H175" s="1" t="s">
        <v>54</v>
      </c>
      <c r="I175" s="1">
        <v>2</v>
      </c>
      <c r="J175" s="1">
        <v>2</v>
      </c>
      <c r="K175" s="1">
        <v>0</v>
      </c>
      <c r="L175" s="1" t="s">
        <v>51</v>
      </c>
      <c r="M175" s="1">
        <v>0</v>
      </c>
      <c r="N175" s="1">
        <v>2</v>
      </c>
      <c r="O175" s="1">
        <v>0</v>
      </c>
      <c r="P175" s="11" t="str">
        <f t="shared" si="2"/>
        <v>胜</v>
      </c>
      <c r="Q175" s="11" t="str">
        <f t="shared" si="2"/>
        <v>平</v>
      </c>
    </row>
    <row r="176" spans="4:17" customFormat="1" hidden="1" x14ac:dyDescent="0.15">
      <c r="D176" t="s">
        <v>6</v>
      </c>
      <c r="E176" s="1">
        <v>78754</v>
      </c>
      <c r="F176" s="1">
        <v>78754</v>
      </c>
      <c r="G176" s="8">
        <v>42119.999305555553</v>
      </c>
      <c r="H176" s="1" t="s">
        <v>45</v>
      </c>
      <c r="I176" s="1">
        <v>0</v>
      </c>
      <c r="J176" s="1">
        <v>1</v>
      </c>
      <c r="K176" s="1">
        <v>0</v>
      </c>
      <c r="L176" s="1" t="s">
        <v>37</v>
      </c>
      <c r="M176" s="1">
        <v>1</v>
      </c>
      <c r="N176" s="1">
        <v>4</v>
      </c>
      <c r="O176" s="1">
        <v>0</v>
      </c>
      <c r="P176" s="11" t="str">
        <f t="shared" si="2"/>
        <v>负</v>
      </c>
      <c r="Q176" s="11" t="str">
        <f t="shared" si="2"/>
        <v>负</v>
      </c>
    </row>
    <row r="177" spans="4:17" customFormat="1" hidden="1" x14ac:dyDescent="0.15">
      <c r="D177" t="s">
        <v>6</v>
      </c>
      <c r="E177" s="1">
        <v>78780</v>
      </c>
      <c r="F177" s="1">
        <v>78780</v>
      </c>
      <c r="G177" s="8">
        <v>42120.895138888889</v>
      </c>
      <c r="H177" s="1" t="s">
        <v>43</v>
      </c>
      <c r="I177" s="1">
        <v>0</v>
      </c>
      <c r="J177" s="1">
        <v>0</v>
      </c>
      <c r="K177" s="1">
        <v>0</v>
      </c>
      <c r="L177" s="1" t="s">
        <v>53</v>
      </c>
      <c r="M177" s="1">
        <v>1</v>
      </c>
      <c r="N177" s="1">
        <v>2</v>
      </c>
      <c r="O177" s="1">
        <v>0</v>
      </c>
      <c r="P177" s="11" t="str">
        <f t="shared" si="2"/>
        <v>负</v>
      </c>
      <c r="Q177" s="11" t="str">
        <f t="shared" si="2"/>
        <v>负</v>
      </c>
    </row>
    <row r="178" spans="4:17" customFormat="1" hidden="1" x14ac:dyDescent="0.15">
      <c r="D178" t="s">
        <v>6</v>
      </c>
      <c r="E178" s="1">
        <v>78786</v>
      </c>
      <c r="F178" s="1">
        <v>78786</v>
      </c>
      <c r="G178" s="8">
        <v>42121</v>
      </c>
      <c r="H178" s="1" t="s">
        <v>41</v>
      </c>
      <c r="I178" s="1">
        <v>1</v>
      </c>
      <c r="J178" s="1">
        <v>2</v>
      </c>
      <c r="K178" s="1">
        <v>0</v>
      </c>
      <c r="L178" s="1" t="s">
        <v>32</v>
      </c>
      <c r="M178" s="1">
        <v>1</v>
      </c>
      <c r="N178" s="1">
        <v>2</v>
      </c>
      <c r="O178" s="1">
        <v>0</v>
      </c>
      <c r="P178" s="11" t="str">
        <f t="shared" si="2"/>
        <v>平</v>
      </c>
      <c r="Q178" s="11" t="str">
        <f t="shared" si="2"/>
        <v>平</v>
      </c>
    </row>
    <row r="179" spans="4:17" customFormat="1" hidden="1" x14ac:dyDescent="0.15">
      <c r="D179" t="s">
        <v>6</v>
      </c>
      <c r="E179" s="1">
        <v>78787</v>
      </c>
      <c r="F179" s="1">
        <v>78787</v>
      </c>
      <c r="G179" s="8">
        <v>42121</v>
      </c>
      <c r="H179" s="1" t="s">
        <v>48</v>
      </c>
      <c r="I179" s="1">
        <v>0</v>
      </c>
      <c r="J179" s="1">
        <v>0</v>
      </c>
      <c r="K179" s="1">
        <v>0</v>
      </c>
      <c r="L179" s="1" t="s">
        <v>38</v>
      </c>
      <c r="M179" s="1">
        <v>0</v>
      </c>
      <c r="N179" s="1">
        <v>0</v>
      </c>
      <c r="O179" s="1">
        <v>0</v>
      </c>
      <c r="P179" s="11" t="str">
        <f t="shared" si="2"/>
        <v>平</v>
      </c>
      <c r="Q179" s="11" t="str">
        <f t="shared" si="2"/>
        <v>平</v>
      </c>
    </row>
    <row r="180" spans="4:17" customFormat="1" hidden="1" x14ac:dyDescent="0.15">
      <c r="D180" t="s">
        <v>6</v>
      </c>
      <c r="E180" s="1">
        <v>78788</v>
      </c>
      <c r="F180" s="1">
        <v>78788</v>
      </c>
      <c r="G180" s="8">
        <v>42121</v>
      </c>
      <c r="H180" s="1" t="s">
        <v>44</v>
      </c>
      <c r="I180" s="1">
        <v>0</v>
      </c>
      <c r="J180" s="1">
        <v>0</v>
      </c>
      <c r="K180" s="1">
        <v>0</v>
      </c>
      <c r="L180" s="1" t="s">
        <v>42</v>
      </c>
      <c r="M180" s="1">
        <v>2</v>
      </c>
      <c r="N180" s="1">
        <v>2</v>
      </c>
      <c r="O180" s="1">
        <v>0</v>
      </c>
      <c r="P180" s="11" t="str">
        <f t="shared" si="2"/>
        <v>负</v>
      </c>
      <c r="Q180" s="11" t="str">
        <f t="shared" si="2"/>
        <v>负</v>
      </c>
    </row>
    <row r="181" spans="4:17" customFormat="1" hidden="1" x14ac:dyDescent="0.15">
      <c r="D181" t="s">
        <v>6</v>
      </c>
      <c r="E181" s="1">
        <v>78789</v>
      </c>
      <c r="F181" s="1">
        <v>78789</v>
      </c>
      <c r="G181" s="8">
        <v>42120.999305555553</v>
      </c>
      <c r="H181" s="1" t="s">
        <v>40</v>
      </c>
      <c r="I181" s="1">
        <v>3</v>
      </c>
      <c r="J181" s="1">
        <v>3</v>
      </c>
      <c r="K181" s="1">
        <v>0</v>
      </c>
      <c r="L181" s="1" t="s">
        <v>52</v>
      </c>
      <c r="M181" s="1">
        <v>1</v>
      </c>
      <c r="N181" s="1">
        <v>2</v>
      </c>
      <c r="O181" s="1">
        <v>0</v>
      </c>
      <c r="P181" s="11" t="str">
        <f t="shared" si="2"/>
        <v>胜</v>
      </c>
      <c r="Q181" s="11" t="str">
        <f t="shared" si="2"/>
        <v>胜</v>
      </c>
    </row>
    <row r="182" spans="4:17" customFormat="1" hidden="1" x14ac:dyDescent="0.15">
      <c r="D182" t="s">
        <v>6</v>
      </c>
      <c r="E182" s="1">
        <v>80682</v>
      </c>
      <c r="F182" s="1">
        <v>80682</v>
      </c>
      <c r="G182" s="8">
        <v>42124.040972222225</v>
      </c>
      <c r="H182" s="1" t="s">
        <v>41</v>
      </c>
      <c r="I182" s="1">
        <v>2</v>
      </c>
      <c r="J182" s="1">
        <v>2</v>
      </c>
      <c r="K182" s="1">
        <v>0</v>
      </c>
      <c r="L182" s="1" t="s">
        <v>54</v>
      </c>
      <c r="M182" s="1">
        <v>0</v>
      </c>
      <c r="N182" s="1">
        <v>0</v>
      </c>
      <c r="O182" s="1">
        <v>0</v>
      </c>
      <c r="P182" s="11" t="str">
        <f t="shared" si="2"/>
        <v>胜</v>
      </c>
      <c r="Q182" s="11" t="str">
        <f t="shared" si="2"/>
        <v>胜</v>
      </c>
    </row>
    <row r="183" spans="4:17" customFormat="1" hidden="1" x14ac:dyDescent="0.15">
      <c r="D183" t="s">
        <v>6</v>
      </c>
      <c r="E183" s="1">
        <v>80683</v>
      </c>
      <c r="F183" s="1">
        <v>80683</v>
      </c>
      <c r="G183" s="8">
        <v>42124.041666666664</v>
      </c>
      <c r="H183" s="1" t="s">
        <v>38</v>
      </c>
      <c r="I183" s="1">
        <v>2</v>
      </c>
      <c r="J183" s="1">
        <v>3</v>
      </c>
      <c r="K183" s="1">
        <v>0</v>
      </c>
      <c r="L183" s="1" t="s">
        <v>40</v>
      </c>
      <c r="M183" s="1">
        <v>1</v>
      </c>
      <c r="N183" s="1">
        <v>1</v>
      </c>
      <c r="O183" s="1">
        <v>0</v>
      </c>
      <c r="P183" s="11" t="str">
        <f t="shared" si="2"/>
        <v>胜</v>
      </c>
      <c r="Q183" s="11" t="str">
        <f t="shared" si="2"/>
        <v>胜</v>
      </c>
    </row>
    <row r="184" spans="4:17" x14ac:dyDescent="0.15">
      <c r="D184" s="2" t="s">
        <v>6</v>
      </c>
      <c r="E184" s="6">
        <v>80987</v>
      </c>
      <c r="F184" s="6">
        <v>80987</v>
      </c>
      <c r="G184" s="24">
        <v>42125</v>
      </c>
      <c r="H184" s="6" t="s">
        <v>32</v>
      </c>
      <c r="I184" s="6">
        <v>0</v>
      </c>
      <c r="J184" s="6">
        <v>1</v>
      </c>
      <c r="K184" s="6">
        <v>0</v>
      </c>
      <c r="L184" s="6" t="s">
        <v>48</v>
      </c>
      <c r="M184" s="6">
        <v>1</v>
      </c>
      <c r="N184" s="6">
        <v>2</v>
      </c>
      <c r="O184" s="6">
        <v>0</v>
      </c>
      <c r="P184" s="11" t="str">
        <f t="shared" si="2"/>
        <v>负</v>
      </c>
      <c r="Q184" s="11" t="str">
        <f t="shared" si="2"/>
        <v>负</v>
      </c>
    </row>
    <row r="185" spans="4:17" customFormat="1" hidden="1" x14ac:dyDescent="0.15">
      <c r="D185" t="s">
        <v>6</v>
      </c>
      <c r="E185" s="1">
        <v>80988</v>
      </c>
      <c r="F185" s="1">
        <v>80988</v>
      </c>
      <c r="G185" s="8">
        <v>42125</v>
      </c>
      <c r="H185" s="1" t="s">
        <v>53</v>
      </c>
      <c r="I185" s="1">
        <v>0</v>
      </c>
      <c r="J185" s="1">
        <v>0</v>
      </c>
      <c r="K185" s="1">
        <v>0</v>
      </c>
      <c r="L185" s="1" t="s">
        <v>42</v>
      </c>
      <c r="M185" s="1">
        <v>2</v>
      </c>
      <c r="N185" s="1">
        <v>2</v>
      </c>
      <c r="O185" s="1">
        <v>0</v>
      </c>
      <c r="P185" s="11" t="str">
        <f t="shared" si="2"/>
        <v>负</v>
      </c>
      <c r="Q185" s="11" t="str">
        <f t="shared" si="2"/>
        <v>负</v>
      </c>
    </row>
    <row r="186" spans="4:17" customFormat="1" hidden="1" x14ac:dyDescent="0.15">
      <c r="D186" t="s">
        <v>6</v>
      </c>
      <c r="E186" s="1">
        <v>80989</v>
      </c>
      <c r="F186" s="1">
        <v>80989</v>
      </c>
      <c r="G186" s="8">
        <v>42124.999305555553</v>
      </c>
      <c r="H186" s="1" t="s">
        <v>52</v>
      </c>
      <c r="I186" s="1">
        <v>0</v>
      </c>
      <c r="J186" s="1">
        <v>1</v>
      </c>
      <c r="K186" s="1">
        <v>0</v>
      </c>
      <c r="L186" s="1" t="s">
        <v>45</v>
      </c>
      <c r="M186" s="1">
        <v>0</v>
      </c>
      <c r="N186" s="1">
        <v>2</v>
      </c>
      <c r="O186" s="1">
        <v>0</v>
      </c>
      <c r="P186" s="11" t="str">
        <f t="shared" si="2"/>
        <v>平</v>
      </c>
      <c r="Q186" s="11" t="str">
        <f t="shared" si="2"/>
        <v>负</v>
      </c>
    </row>
    <row r="187" spans="4:17" customFormat="1" hidden="1" x14ac:dyDescent="0.15">
      <c r="D187" t="s">
        <v>6</v>
      </c>
      <c r="E187" s="1">
        <v>80990</v>
      </c>
      <c r="F187" s="1">
        <v>80990</v>
      </c>
      <c r="G187" s="8">
        <v>42124.999305555553</v>
      </c>
      <c r="H187" s="1" t="s">
        <v>49</v>
      </c>
      <c r="I187" s="1">
        <v>1</v>
      </c>
      <c r="J187" s="1">
        <v>1</v>
      </c>
      <c r="K187" s="1">
        <v>0</v>
      </c>
      <c r="L187" s="1" t="s">
        <v>43</v>
      </c>
      <c r="M187" s="1">
        <v>0</v>
      </c>
      <c r="N187" s="1">
        <v>2</v>
      </c>
      <c r="O187" s="1">
        <v>0</v>
      </c>
      <c r="P187" s="11" t="str">
        <f t="shared" si="2"/>
        <v>胜</v>
      </c>
      <c r="Q187" s="11" t="str">
        <f t="shared" si="2"/>
        <v>负</v>
      </c>
    </row>
    <row r="188" spans="4:17" customFormat="1" hidden="1" x14ac:dyDescent="0.15">
      <c r="D188" t="s">
        <v>6</v>
      </c>
      <c r="E188" s="1">
        <v>80998</v>
      </c>
      <c r="F188" s="1">
        <v>80998</v>
      </c>
      <c r="G188" s="8">
        <v>42125.082638888889</v>
      </c>
      <c r="H188" s="1" t="s">
        <v>51</v>
      </c>
      <c r="I188" s="1">
        <v>1</v>
      </c>
      <c r="J188" s="1">
        <v>1</v>
      </c>
      <c r="K188" s="1">
        <v>0</v>
      </c>
      <c r="L188" s="1" t="s">
        <v>44</v>
      </c>
      <c r="M188" s="1">
        <v>1</v>
      </c>
      <c r="N188" s="1">
        <v>4</v>
      </c>
      <c r="O188" s="1">
        <v>0</v>
      </c>
      <c r="P188" s="11" t="str">
        <f t="shared" si="2"/>
        <v>平</v>
      </c>
      <c r="Q188" s="11" t="str">
        <f t="shared" si="2"/>
        <v>负</v>
      </c>
    </row>
    <row r="189" spans="4:17" customFormat="1" hidden="1" x14ac:dyDescent="0.15">
      <c r="D189" t="s">
        <v>6</v>
      </c>
      <c r="E189" s="1">
        <v>80999</v>
      </c>
      <c r="F189" s="1">
        <v>80999</v>
      </c>
      <c r="G189" s="8">
        <v>42125.083333333336</v>
      </c>
      <c r="H189" s="1" t="s">
        <v>37</v>
      </c>
      <c r="I189" s="1">
        <v>0</v>
      </c>
      <c r="J189" s="1">
        <v>3</v>
      </c>
      <c r="K189" s="1">
        <v>0</v>
      </c>
      <c r="L189" s="1" t="s">
        <v>36</v>
      </c>
      <c r="M189" s="1">
        <v>1</v>
      </c>
      <c r="N189" s="1">
        <v>2</v>
      </c>
      <c r="O189" s="1">
        <v>0</v>
      </c>
      <c r="P189" s="11" t="str">
        <f t="shared" si="2"/>
        <v>负</v>
      </c>
      <c r="Q189" s="11" t="str">
        <f t="shared" si="2"/>
        <v>胜</v>
      </c>
    </row>
    <row r="190" spans="4:17" customFormat="1" hidden="1" x14ac:dyDescent="0.15">
      <c r="D190" t="s">
        <v>6</v>
      </c>
      <c r="E190" s="1">
        <v>81725</v>
      </c>
      <c r="F190" s="1">
        <v>81725</v>
      </c>
      <c r="G190" s="8">
        <v>42127</v>
      </c>
      <c r="H190" s="1" t="s">
        <v>40</v>
      </c>
      <c r="I190" s="1">
        <v>1</v>
      </c>
      <c r="J190" s="1">
        <v>1</v>
      </c>
      <c r="K190" s="1">
        <v>0</v>
      </c>
      <c r="L190" s="1" t="s">
        <v>41</v>
      </c>
      <c r="M190" s="1">
        <v>1</v>
      </c>
      <c r="N190" s="1">
        <v>1</v>
      </c>
      <c r="O190" s="1">
        <v>0</v>
      </c>
      <c r="P190" s="11" t="str">
        <f t="shared" si="2"/>
        <v>平</v>
      </c>
      <c r="Q190" s="11" t="str">
        <f t="shared" si="2"/>
        <v>平</v>
      </c>
    </row>
    <row r="191" spans="4:17" customFormat="1" hidden="1" x14ac:dyDescent="0.15">
      <c r="D191" t="s">
        <v>6</v>
      </c>
      <c r="E191" s="1">
        <v>81759</v>
      </c>
      <c r="F191" s="1">
        <v>81759</v>
      </c>
      <c r="G191" s="8">
        <v>42129.041666666664</v>
      </c>
      <c r="H191" s="1" t="s">
        <v>45</v>
      </c>
      <c r="I191" s="1">
        <v>1</v>
      </c>
      <c r="J191" s="1">
        <v>2</v>
      </c>
      <c r="K191" s="1">
        <v>0</v>
      </c>
      <c r="L191" s="1" t="s">
        <v>38</v>
      </c>
      <c r="M191" s="1">
        <v>1</v>
      </c>
      <c r="N191" s="1">
        <v>1</v>
      </c>
      <c r="O191" s="1">
        <v>0</v>
      </c>
      <c r="P191" s="11" t="str">
        <f t="shared" si="2"/>
        <v>平</v>
      </c>
      <c r="Q191" s="11" t="str">
        <f t="shared" si="2"/>
        <v>胜</v>
      </c>
    </row>
    <row r="192" spans="4:17" customFormat="1" hidden="1" x14ac:dyDescent="0.15">
      <c r="D192" t="s">
        <v>6</v>
      </c>
      <c r="E192" s="1">
        <v>82095</v>
      </c>
      <c r="F192" s="1">
        <v>82095</v>
      </c>
      <c r="G192" s="8">
        <v>42128</v>
      </c>
      <c r="H192" s="1" t="s">
        <v>44</v>
      </c>
      <c r="I192" s="1">
        <v>0</v>
      </c>
      <c r="J192" s="1">
        <v>1</v>
      </c>
      <c r="K192" s="1">
        <v>0</v>
      </c>
      <c r="L192" s="1" t="s">
        <v>49</v>
      </c>
      <c r="M192" s="1">
        <v>1</v>
      </c>
      <c r="N192" s="1">
        <v>1</v>
      </c>
      <c r="O192" s="1">
        <v>0</v>
      </c>
      <c r="P192" s="11" t="str">
        <f t="shared" si="2"/>
        <v>负</v>
      </c>
      <c r="Q192" s="11" t="str">
        <f t="shared" si="2"/>
        <v>平</v>
      </c>
    </row>
    <row r="193" spans="4:17" customFormat="1" hidden="1" x14ac:dyDescent="0.15">
      <c r="D193" t="s">
        <v>6</v>
      </c>
      <c r="E193" s="1">
        <v>82098</v>
      </c>
      <c r="F193" s="1">
        <v>82098</v>
      </c>
      <c r="G193" s="8">
        <v>42127.999305555553</v>
      </c>
      <c r="H193" s="1" t="s">
        <v>48</v>
      </c>
      <c r="I193" s="1">
        <v>1</v>
      </c>
      <c r="J193" s="1">
        <v>2</v>
      </c>
      <c r="K193" s="1">
        <v>0</v>
      </c>
      <c r="L193" s="1" t="s">
        <v>52</v>
      </c>
      <c r="M193" s="1">
        <v>1</v>
      </c>
      <c r="N193" s="1">
        <v>1</v>
      </c>
      <c r="O193" s="1">
        <v>0</v>
      </c>
      <c r="P193" s="11" t="str">
        <f t="shared" si="2"/>
        <v>平</v>
      </c>
      <c r="Q193" s="11" t="str">
        <f t="shared" si="2"/>
        <v>胜</v>
      </c>
    </row>
    <row r="194" spans="4:17" customFormat="1" hidden="1" x14ac:dyDescent="0.15">
      <c r="D194" t="s">
        <v>6</v>
      </c>
      <c r="E194" s="1">
        <v>82099</v>
      </c>
      <c r="F194" s="1">
        <v>82099</v>
      </c>
      <c r="G194" s="8">
        <v>42128</v>
      </c>
      <c r="H194" s="1" t="s">
        <v>42</v>
      </c>
      <c r="I194" s="1">
        <v>0</v>
      </c>
      <c r="J194" s="1">
        <v>1</v>
      </c>
      <c r="K194" s="1">
        <v>0</v>
      </c>
      <c r="L194" s="1" t="s">
        <v>51</v>
      </c>
      <c r="M194" s="1">
        <v>0</v>
      </c>
      <c r="N194" s="1">
        <v>0</v>
      </c>
      <c r="O194" s="1">
        <v>0</v>
      </c>
      <c r="P194" s="11" t="str">
        <f t="shared" si="2"/>
        <v>平</v>
      </c>
      <c r="Q194" s="11" t="str">
        <f t="shared" si="2"/>
        <v>胜</v>
      </c>
    </row>
    <row r="195" spans="4:17" customFormat="1" hidden="1" x14ac:dyDescent="0.15">
      <c r="D195" t="s">
        <v>6</v>
      </c>
      <c r="E195" s="1">
        <v>82131</v>
      </c>
      <c r="F195" s="1">
        <v>82131</v>
      </c>
      <c r="G195" s="8">
        <v>42128.083333333336</v>
      </c>
      <c r="H195" s="1" t="s">
        <v>54</v>
      </c>
      <c r="I195" s="1">
        <v>1</v>
      </c>
      <c r="J195" s="1">
        <v>1</v>
      </c>
      <c r="K195" s="1">
        <v>0</v>
      </c>
      <c r="L195" s="1" t="s">
        <v>37</v>
      </c>
      <c r="M195" s="1">
        <v>1</v>
      </c>
      <c r="N195" s="1">
        <v>2</v>
      </c>
      <c r="O195" s="1">
        <v>0</v>
      </c>
      <c r="P195" s="11" t="str">
        <f t="shared" si="2"/>
        <v>平</v>
      </c>
      <c r="Q195" s="11" t="str">
        <f t="shared" si="2"/>
        <v>负</v>
      </c>
    </row>
    <row r="196" spans="4:17" customFormat="1" hidden="1" x14ac:dyDescent="0.15">
      <c r="D196" t="s">
        <v>6</v>
      </c>
      <c r="E196" s="1">
        <v>82269</v>
      </c>
      <c r="F196" s="1">
        <v>82269</v>
      </c>
      <c r="G196" s="8">
        <v>42127.895138888889</v>
      </c>
      <c r="H196" s="1" t="s">
        <v>36</v>
      </c>
      <c r="I196" s="1">
        <v>2</v>
      </c>
      <c r="J196" s="1">
        <v>3</v>
      </c>
      <c r="K196" s="1">
        <v>0</v>
      </c>
      <c r="L196" s="1" t="s">
        <v>53</v>
      </c>
      <c r="M196" s="1">
        <v>1</v>
      </c>
      <c r="N196" s="1">
        <v>1</v>
      </c>
      <c r="O196" s="1">
        <v>0</v>
      </c>
      <c r="P196" s="11" t="str">
        <f t="shared" si="2"/>
        <v>胜</v>
      </c>
      <c r="Q196" s="11" t="str">
        <f t="shared" si="2"/>
        <v>胜</v>
      </c>
    </row>
    <row r="197" spans="4:17" customFormat="1" hidden="1" x14ac:dyDescent="0.15">
      <c r="D197" t="s">
        <v>6</v>
      </c>
      <c r="E197" s="1">
        <v>82270</v>
      </c>
      <c r="F197" s="1">
        <v>82270</v>
      </c>
      <c r="G197" s="8">
        <v>42127.895833333336</v>
      </c>
      <c r="H197" s="1" t="s">
        <v>43</v>
      </c>
      <c r="I197" s="1">
        <v>1</v>
      </c>
      <c r="J197" s="1">
        <v>2</v>
      </c>
      <c r="K197" s="1">
        <v>0</v>
      </c>
      <c r="L197" s="1" t="s">
        <v>32</v>
      </c>
      <c r="M197" s="1">
        <v>0</v>
      </c>
      <c r="N197" s="1">
        <v>0</v>
      </c>
      <c r="O197" s="1">
        <v>0</v>
      </c>
      <c r="P197" s="11" t="str">
        <f t="shared" si="2"/>
        <v>胜</v>
      </c>
      <c r="Q197" s="11" t="str">
        <f t="shared" si="2"/>
        <v>胜</v>
      </c>
    </row>
    <row r="198" spans="4:17" customFormat="1" hidden="1" x14ac:dyDescent="0.15">
      <c r="D198" t="s">
        <v>6</v>
      </c>
      <c r="E198" s="1">
        <v>82995</v>
      </c>
      <c r="F198" s="1">
        <v>82995</v>
      </c>
      <c r="G198" s="8">
        <v>42134.895138888889</v>
      </c>
      <c r="H198" s="1" t="s">
        <v>52</v>
      </c>
      <c r="I198" s="1">
        <v>0</v>
      </c>
      <c r="J198" s="1">
        <v>1</v>
      </c>
      <c r="K198" s="1">
        <v>0</v>
      </c>
      <c r="L198" s="1" t="s">
        <v>43</v>
      </c>
      <c r="M198" s="1">
        <v>0</v>
      </c>
      <c r="N198" s="1">
        <v>3</v>
      </c>
      <c r="O198" s="1">
        <v>0</v>
      </c>
      <c r="P198" s="11" t="str">
        <f t="shared" si="2"/>
        <v>平</v>
      </c>
      <c r="Q198" s="11" t="str">
        <f t="shared" si="2"/>
        <v>负</v>
      </c>
    </row>
    <row r="199" spans="4:17" customFormat="1" hidden="1" x14ac:dyDescent="0.15">
      <c r="D199" t="s">
        <v>6</v>
      </c>
      <c r="E199" s="1">
        <v>82999</v>
      </c>
      <c r="F199" s="1">
        <v>82999</v>
      </c>
      <c r="G199" s="8">
        <v>42135.000694444447</v>
      </c>
      <c r="H199" s="1" t="s">
        <v>41</v>
      </c>
      <c r="I199" s="1">
        <v>1</v>
      </c>
      <c r="J199" s="1">
        <v>3</v>
      </c>
      <c r="K199" s="1">
        <v>0</v>
      </c>
      <c r="L199" s="1" t="s">
        <v>48</v>
      </c>
      <c r="M199" s="1">
        <v>0</v>
      </c>
      <c r="N199" s="1">
        <v>0</v>
      </c>
      <c r="O199" s="1">
        <v>0</v>
      </c>
      <c r="P199" s="11" t="str">
        <f t="shared" si="2"/>
        <v>胜</v>
      </c>
      <c r="Q199" s="11" t="str">
        <f t="shared" si="2"/>
        <v>胜</v>
      </c>
    </row>
    <row r="200" spans="4:17" x14ac:dyDescent="0.15">
      <c r="D200" s="2" t="s">
        <v>6</v>
      </c>
      <c r="E200" s="6">
        <v>83000</v>
      </c>
      <c r="F200" s="6">
        <v>83000</v>
      </c>
      <c r="G200" s="24">
        <v>42135</v>
      </c>
      <c r="H200" s="6" t="s">
        <v>32</v>
      </c>
      <c r="I200" s="6">
        <v>2</v>
      </c>
      <c r="J200" s="6">
        <v>3</v>
      </c>
      <c r="K200" s="6">
        <v>0</v>
      </c>
      <c r="L200" s="6" t="s">
        <v>40</v>
      </c>
      <c r="M200" s="6">
        <v>4</v>
      </c>
      <c r="N200" s="6">
        <v>5</v>
      </c>
      <c r="O200" s="6">
        <v>0</v>
      </c>
      <c r="P200" s="11" t="str">
        <f t="shared" si="2"/>
        <v>负</v>
      </c>
      <c r="Q200" s="11" t="str">
        <f t="shared" si="2"/>
        <v>负</v>
      </c>
    </row>
    <row r="201" spans="4:17" customFormat="1" hidden="1" x14ac:dyDescent="0.15">
      <c r="D201" t="s">
        <v>6</v>
      </c>
      <c r="E201" s="1">
        <v>83001</v>
      </c>
      <c r="F201" s="1">
        <v>83001</v>
      </c>
      <c r="G201" s="8">
        <v>42134.999305555553</v>
      </c>
      <c r="H201" s="1" t="s">
        <v>45</v>
      </c>
      <c r="I201" s="1">
        <v>0</v>
      </c>
      <c r="J201" s="1">
        <v>1</v>
      </c>
      <c r="K201" s="1">
        <v>0</v>
      </c>
      <c r="L201" s="1" t="s">
        <v>54</v>
      </c>
      <c r="M201" s="1">
        <v>1</v>
      </c>
      <c r="N201" s="1">
        <v>1</v>
      </c>
      <c r="O201" s="1">
        <v>0</v>
      </c>
      <c r="P201" s="11" t="str">
        <f t="shared" si="2"/>
        <v>负</v>
      </c>
      <c r="Q201" s="11" t="str">
        <f t="shared" si="2"/>
        <v>平</v>
      </c>
    </row>
    <row r="202" spans="4:17" customFormat="1" hidden="1" x14ac:dyDescent="0.15">
      <c r="D202" t="s">
        <v>6</v>
      </c>
      <c r="E202" s="1">
        <v>83007</v>
      </c>
      <c r="F202" s="1">
        <v>83007</v>
      </c>
      <c r="G202" s="8">
        <v>42135.083333333336</v>
      </c>
      <c r="H202" s="1" t="s">
        <v>38</v>
      </c>
      <c r="I202" s="1">
        <v>2</v>
      </c>
      <c r="J202" s="1">
        <v>4</v>
      </c>
      <c r="K202" s="1">
        <v>0</v>
      </c>
      <c r="L202" s="1" t="s">
        <v>36</v>
      </c>
      <c r="M202" s="1">
        <v>0</v>
      </c>
      <c r="N202" s="1">
        <v>0</v>
      </c>
      <c r="O202" s="1">
        <v>0</v>
      </c>
      <c r="P202" s="11" t="str">
        <f t="shared" si="2"/>
        <v>胜</v>
      </c>
      <c r="Q202" s="11" t="str">
        <f t="shared" si="2"/>
        <v>胜</v>
      </c>
    </row>
    <row r="203" spans="4:17" customFormat="1" hidden="1" x14ac:dyDescent="0.15">
      <c r="D203" t="s">
        <v>6</v>
      </c>
      <c r="E203" s="1">
        <v>83018</v>
      </c>
      <c r="F203" s="1">
        <v>83018</v>
      </c>
      <c r="G203" s="8">
        <v>42133.895833333336</v>
      </c>
      <c r="H203" s="1" t="s">
        <v>51</v>
      </c>
      <c r="I203" s="1">
        <v>1</v>
      </c>
      <c r="J203" s="1">
        <v>4</v>
      </c>
      <c r="K203" s="1">
        <v>0</v>
      </c>
      <c r="L203" s="1" t="s">
        <v>53</v>
      </c>
      <c r="M203" s="1">
        <v>2</v>
      </c>
      <c r="N203" s="1">
        <v>3</v>
      </c>
      <c r="O203" s="1">
        <v>0</v>
      </c>
      <c r="P203" s="11" t="str">
        <f t="shared" si="2"/>
        <v>负</v>
      </c>
      <c r="Q203" s="11" t="str">
        <f t="shared" si="2"/>
        <v>胜</v>
      </c>
    </row>
    <row r="204" spans="4:17" customFormat="1" hidden="1" x14ac:dyDescent="0.15">
      <c r="D204" t="s">
        <v>6</v>
      </c>
      <c r="E204" s="1">
        <v>83021</v>
      </c>
      <c r="F204" s="1">
        <v>83021</v>
      </c>
      <c r="G204" s="8">
        <v>42134</v>
      </c>
      <c r="H204" s="1" t="s">
        <v>37</v>
      </c>
      <c r="I204" s="1">
        <v>3</v>
      </c>
      <c r="J204" s="1">
        <v>3</v>
      </c>
      <c r="K204" s="1">
        <v>0</v>
      </c>
      <c r="L204" s="1" t="s">
        <v>44</v>
      </c>
      <c r="M204" s="1">
        <v>0</v>
      </c>
      <c r="N204" s="1">
        <v>0</v>
      </c>
      <c r="O204" s="1">
        <v>0</v>
      </c>
      <c r="P204" s="11" t="str">
        <f t="shared" si="2"/>
        <v>胜</v>
      </c>
      <c r="Q204" s="11" t="str">
        <f t="shared" si="2"/>
        <v>胜</v>
      </c>
    </row>
    <row r="205" spans="4:17" customFormat="1" hidden="1" x14ac:dyDescent="0.15">
      <c r="D205" t="s">
        <v>6</v>
      </c>
      <c r="E205" s="1">
        <v>83023</v>
      </c>
      <c r="F205" s="1">
        <v>83023</v>
      </c>
      <c r="G205" s="8">
        <v>42134.082638888889</v>
      </c>
      <c r="H205" s="1" t="s">
        <v>49</v>
      </c>
      <c r="I205" s="1">
        <v>0</v>
      </c>
      <c r="J205" s="1">
        <v>0</v>
      </c>
      <c r="K205" s="1">
        <v>0</v>
      </c>
      <c r="L205" s="1" t="s">
        <v>42</v>
      </c>
      <c r="M205" s="1">
        <v>1</v>
      </c>
      <c r="N205" s="1">
        <v>2</v>
      </c>
      <c r="O205" s="1">
        <v>0</v>
      </c>
      <c r="P205" s="11" t="str">
        <f t="shared" ref="P205:Q268" si="3">IF(I205=M205,"平",IF(I205&gt;M205,"胜","负"))</f>
        <v>负</v>
      </c>
      <c r="Q205" s="11" t="str">
        <f t="shared" si="3"/>
        <v>负</v>
      </c>
    </row>
    <row r="206" spans="4:17" customFormat="1" hidden="1" x14ac:dyDescent="0.15">
      <c r="D206" t="s">
        <v>6</v>
      </c>
      <c r="E206" s="1">
        <v>84679</v>
      </c>
      <c r="F206" s="1">
        <v>84679</v>
      </c>
      <c r="G206" s="8">
        <v>42136.999305555553</v>
      </c>
      <c r="H206" s="1" t="s">
        <v>53</v>
      </c>
      <c r="I206" s="1">
        <v>2</v>
      </c>
      <c r="J206" s="1">
        <v>4</v>
      </c>
      <c r="K206" s="1">
        <v>0</v>
      </c>
      <c r="L206" s="1" t="s">
        <v>49</v>
      </c>
      <c r="M206" s="1">
        <v>2</v>
      </c>
      <c r="N206" s="1">
        <v>5</v>
      </c>
      <c r="O206" s="1">
        <v>0</v>
      </c>
      <c r="P206" s="11" t="str">
        <f t="shared" si="3"/>
        <v>平</v>
      </c>
      <c r="Q206" s="11" t="str">
        <f t="shared" si="3"/>
        <v>负</v>
      </c>
    </row>
    <row r="207" spans="4:17" customFormat="1" hidden="1" x14ac:dyDescent="0.15">
      <c r="D207" t="s">
        <v>6</v>
      </c>
      <c r="E207" s="1">
        <v>84681</v>
      </c>
      <c r="F207" s="1">
        <v>84681</v>
      </c>
      <c r="G207" s="8">
        <v>42136.999305555553</v>
      </c>
      <c r="H207" s="1" t="s">
        <v>51</v>
      </c>
      <c r="I207" s="1">
        <v>2</v>
      </c>
      <c r="J207" s="1">
        <v>3</v>
      </c>
      <c r="K207" s="1">
        <v>0</v>
      </c>
      <c r="L207" s="1" t="s">
        <v>37</v>
      </c>
      <c r="M207" s="1">
        <v>2</v>
      </c>
      <c r="N207" s="1">
        <v>2</v>
      </c>
      <c r="O207" s="1">
        <v>0</v>
      </c>
      <c r="P207" s="11" t="str">
        <f t="shared" si="3"/>
        <v>平</v>
      </c>
      <c r="Q207" s="11" t="str">
        <f t="shared" si="3"/>
        <v>胜</v>
      </c>
    </row>
    <row r="208" spans="4:17" customFormat="1" hidden="1" x14ac:dyDescent="0.15">
      <c r="D208" t="s">
        <v>6</v>
      </c>
      <c r="E208" s="1">
        <v>84711</v>
      </c>
      <c r="F208" s="1">
        <v>84711</v>
      </c>
      <c r="G208" s="8">
        <v>42138</v>
      </c>
      <c r="H208" s="1" t="s">
        <v>54</v>
      </c>
      <c r="I208" s="1">
        <v>1</v>
      </c>
      <c r="J208" s="1">
        <v>2</v>
      </c>
      <c r="K208" s="1">
        <v>0</v>
      </c>
      <c r="L208" s="1" t="s">
        <v>40</v>
      </c>
      <c r="M208" s="1">
        <v>0</v>
      </c>
      <c r="N208" s="1">
        <v>0</v>
      </c>
      <c r="O208" s="1">
        <v>0</v>
      </c>
      <c r="P208" s="11" t="str">
        <f t="shared" si="3"/>
        <v>胜</v>
      </c>
      <c r="Q208" s="11" t="str">
        <f t="shared" si="3"/>
        <v>胜</v>
      </c>
    </row>
    <row r="209" spans="4:17" customFormat="1" hidden="1" x14ac:dyDescent="0.15">
      <c r="D209" t="s">
        <v>6</v>
      </c>
      <c r="E209" s="1">
        <v>84712</v>
      </c>
      <c r="F209" s="1">
        <v>84712</v>
      </c>
      <c r="G209" s="8">
        <v>42138</v>
      </c>
      <c r="H209" s="1" t="s">
        <v>48</v>
      </c>
      <c r="I209" s="1">
        <v>0</v>
      </c>
      <c r="J209" s="1">
        <v>0</v>
      </c>
      <c r="K209" s="1">
        <v>0</v>
      </c>
      <c r="L209" s="1" t="s">
        <v>45</v>
      </c>
      <c r="M209" s="1">
        <v>1</v>
      </c>
      <c r="N209" s="1">
        <v>2</v>
      </c>
      <c r="O209" s="1">
        <v>0</v>
      </c>
      <c r="P209" s="11" t="str">
        <f t="shared" si="3"/>
        <v>负</v>
      </c>
      <c r="Q209" s="11" t="str">
        <f t="shared" si="3"/>
        <v>负</v>
      </c>
    </row>
    <row r="210" spans="4:17" customFormat="1" hidden="1" x14ac:dyDescent="0.15">
      <c r="D210" t="s">
        <v>6</v>
      </c>
      <c r="E210" s="1">
        <v>84713</v>
      </c>
      <c r="F210" s="1">
        <v>84713</v>
      </c>
      <c r="G210" s="8">
        <v>42138</v>
      </c>
      <c r="H210" s="1" t="s">
        <v>44</v>
      </c>
      <c r="I210" s="1">
        <v>0</v>
      </c>
      <c r="J210" s="1">
        <v>2</v>
      </c>
      <c r="K210" s="1">
        <v>0</v>
      </c>
      <c r="L210" s="1" t="s">
        <v>38</v>
      </c>
      <c r="M210" s="1">
        <v>1</v>
      </c>
      <c r="N210" s="1">
        <v>1</v>
      </c>
      <c r="O210" s="1">
        <v>0</v>
      </c>
      <c r="P210" s="11" t="str">
        <f t="shared" si="3"/>
        <v>负</v>
      </c>
      <c r="Q210" s="11" t="str">
        <f t="shared" si="3"/>
        <v>胜</v>
      </c>
    </row>
    <row r="211" spans="4:17" customFormat="1" hidden="1" x14ac:dyDescent="0.15">
      <c r="D211" t="s">
        <v>6</v>
      </c>
      <c r="E211" s="1">
        <v>84714</v>
      </c>
      <c r="F211" s="1">
        <v>84714</v>
      </c>
      <c r="G211" s="8">
        <v>42137.999305555553</v>
      </c>
      <c r="H211" s="1" t="s">
        <v>36</v>
      </c>
      <c r="I211" s="1">
        <v>1</v>
      </c>
      <c r="J211" s="1">
        <v>1</v>
      </c>
      <c r="K211" s="1">
        <v>0</v>
      </c>
      <c r="L211" s="1" t="s">
        <v>32</v>
      </c>
      <c r="M211" s="1">
        <v>1</v>
      </c>
      <c r="N211" s="1">
        <v>1</v>
      </c>
      <c r="O211" s="1">
        <v>0</v>
      </c>
      <c r="P211" s="11" t="str">
        <f t="shared" si="3"/>
        <v>平</v>
      </c>
      <c r="Q211" s="11" t="str">
        <f t="shared" si="3"/>
        <v>平</v>
      </c>
    </row>
    <row r="212" spans="4:17" customFormat="1" hidden="1" x14ac:dyDescent="0.15">
      <c r="D212" t="s">
        <v>6</v>
      </c>
      <c r="E212" s="1">
        <v>84715</v>
      </c>
      <c r="F212" s="1">
        <v>84715</v>
      </c>
      <c r="G212" s="8">
        <v>42138</v>
      </c>
      <c r="H212" s="1" t="s">
        <v>42</v>
      </c>
      <c r="I212" s="1">
        <v>1</v>
      </c>
      <c r="J212" s="1">
        <v>4</v>
      </c>
      <c r="K212" s="1">
        <v>0</v>
      </c>
      <c r="L212" s="1" t="s">
        <v>52</v>
      </c>
      <c r="M212" s="1">
        <v>0</v>
      </c>
      <c r="N212" s="1">
        <v>0</v>
      </c>
      <c r="O212" s="1">
        <v>0</v>
      </c>
      <c r="P212" s="11" t="str">
        <f t="shared" si="3"/>
        <v>胜</v>
      </c>
      <c r="Q212" s="11" t="str">
        <f t="shared" si="3"/>
        <v>胜</v>
      </c>
    </row>
    <row r="213" spans="4:17" customFormat="1" hidden="1" x14ac:dyDescent="0.15">
      <c r="D213" t="s">
        <v>6</v>
      </c>
      <c r="E213" s="1">
        <v>84977</v>
      </c>
      <c r="F213" s="1">
        <v>84977</v>
      </c>
      <c r="G213" s="8">
        <v>42138</v>
      </c>
      <c r="H213" s="1" t="s">
        <v>43</v>
      </c>
      <c r="I213" s="1">
        <v>0</v>
      </c>
      <c r="J213" s="1">
        <v>2</v>
      </c>
      <c r="K213" s="1">
        <v>0</v>
      </c>
      <c r="L213" s="1" t="s">
        <v>41</v>
      </c>
      <c r="M213" s="1">
        <v>1</v>
      </c>
      <c r="N213" s="1">
        <v>2</v>
      </c>
      <c r="O213" s="1">
        <v>0</v>
      </c>
      <c r="P213" s="11" t="str">
        <f t="shared" si="3"/>
        <v>负</v>
      </c>
      <c r="Q213" s="11" t="str">
        <f t="shared" si="3"/>
        <v>平</v>
      </c>
    </row>
    <row r="214" spans="4:17" customFormat="1" hidden="1" x14ac:dyDescent="0.15">
      <c r="D214" t="s">
        <v>6</v>
      </c>
      <c r="E214" s="1">
        <v>85389</v>
      </c>
      <c r="F214" s="1">
        <v>85389</v>
      </c>
      <c r="G214" s="8">
        <v>42140.895138888889</v>
      </c>
      <c r="H214" s="1" t="s">
        <v>49</v>
      </c>
      <c r="I214" s="1">
        <v>2</v>
      </c>
      <c r="J214" s="1">
        <v>4</v>
      </c>
      <c r="K214" s="1">
        <v>0</v>
      </c>
      <c r="L214" s="1" t="s">
        <v>51</v>
      </c>
      <c r="M214" s="1">
        <v>1</v>
      </c>
      <c r="N214" s="1">
        <v>2</v>
      </c>
      <c r="O214" s="1">
        <v>0</v>
      </c>
      <c r="P214" s="11" t="str">
        <f t="shared" si="3"/>
        <v>胜</v>
      </c>
      <c r="Q214" s="11" t="str">
        <f t="shared" si="3"/>
        <v>胜</v>
      </c>
    </row>
    <row r="215" spans="4:17" x14ac:dyDescent="0.15">
      <c r="D215" s="2" t="s">
        <v>6</v>
      </c>
      <c r="E215" s="6">
        <v>85392</v>
      </c>
      <c r="F215" s="6">
        <v>85392</v>
      </c>
      <c r="G215" s="24">
        <v>42140.895138888889</v>
      </c>
      <c r="H215" s="6" t="s">
        <v>32</v>
      </c>
      <c r="I215" s="6">
        <v>0</v>
      </c>
      <c r="J215" s="6">
        <v>1</v>
      </c>
      <c r="K215" s="6">
        <v>0</v>
      </c>
      <c r="L215" s="6" t="s">
        <v>53</v>
      </c>
      <c r="M215" s="6">
        <v>0</v>
      </c>
      <c r="N215" s="6">
        <v>0</v>
      </c>
      <c r="O215" s="6">
        <v>0</v>
      </c>
      <c r="P215" s="11" t="str">
        <f t="shared" si="3"/>
        <v>平</v>
      </c>
      <c r="Q215" s="11" t="str">
        <f t="shared" si="3"/>
        <v>胜</v>
      </c>
    </row>
    <row r="216" spans="4:17" customFormat="1" hidden="1" x14ac:dyDescent="0.15">
      <c r="D216" t="s">
        <v>6</v>
      </c>
      <c r="E216" s="1">
        <v>85419</v>
      </c>
      <c r="F216" s="1">
        <v>85419</v>
      </c>
      <c r="G216" s="8">
        <v>42141.002083333333</v>
      </c>
      <c r="H216" s="1" t="s">
        <v>37</v>
      </c>
      <c r="I216" s="1">
        <v>2</v>
      </c>
      <c r="J216" s="1">
        <v>5</v>
      </c>
      <c r="K216" s="1">
        <v>0</v>
      </c>
      <c r="L216" s="1" t="s">
        <v>52</v>
      </c>
      <c r="M216" s="1">
        <v>1</v>
      </c>
      <c r="N216" s="1">
        <v>1</v>
      </c>
      <c r="O216" s="1">
        <v>0</v>
      </c>
      <c r="P216" s="11" t="str">
        <f t="shared" si="3"/>
        <v>胜</v>
      </c>
      <c r="Q216" s="11" t="str">
        <f t="shared" si="3"/>
        <v>胜</v>
      </c>
    </row>
    <row r="217" spans="4:17" customFormat="1" hidden="1" x14ac:dyDescent="0.15">
      <c r="D217" t="s">
        <v>6</v>
      </c>
      <c r="E217" s="1">
        <v>85420</v>
      </c>
      <c r="F217" s="1">
        <v>85420</v>
      </c>
      <c r="G217" s="8">
        <v>42141</v>
      </c>
      <c r="H217" s="1" t="s">
        <v>38</v>
      </c>
      <c r="I217" s="1">
        <v>2</v>
      </c>
      <c r="J217" s="1">
        <v>3</v>
      </c>
      <c r="K217" s="1">
        <v>0</v>
      </c>
      <c r="L217" s="1" t="s">
        <v>42</v>
      </c>
      <c r="M217" s="1">
        <v>1</v>
      </c>
      <c r="N217" s="1">
        <v>3</v>
      </c>
      <c r="O217" s="1">
        <v>0</v>
      </c>
      <c r="P217" s="11" t="str">
        <f t="shared" si="3"/>
        <v>胜</v>
      </c>
      <c r="Q217" s="11" t="str">
        <f t="shared" si="3"/>
        <v>平</v>
      </c>
    </row>
    <row r="218" spans="4:17" customFormat="1" hidden="1" x14ac:dyDescent="0.15">
      <c r="D218" t="s">
        <v>6</v>
      </c>
      <c r="E218" s="1">
        <v>85421</v>
      </c>
      <c r="F218" s="1">
        <v>85421</v>
      </c>
      <c r="G218" s="8">
        <v>42140.999305555553</v>
      </c>
      <c r="H218" s="1" t="s">
        <v>54</v>
      </c>
      <c r="I218" s="1">
        <v>0</v>
      </c>
      <c r="J218" s="1">
        <v>0</v>
      </c>
      <c r="K218" s="1">
        <v>0</v>
      </c>
      <c r="L218" s="1" t="s">
        <v>48</v>
      </c>
      <c r="M218" s="1">
        <v>0</v>
      </c>
      <c r="N218" s="1">
        <v>0</v>
      </c>
      <c r="O218" s="1">
        <v>0</v>
      </c>
      <c r="P218" s="11" t="str">
        <f t="shared" si="3"/>
        <v>平</v>
      </c>
      <c r="Q218" s="11" t="str">
        <f t="shared" si="3"/>
        <v>平</v>
      </c>
    </row>
    <row r="219" spans="4:17" customFormat="1" hidden="1" x14ac:dyDescent="0.15">
      <c r="D219" t="s">
        <v>6</v>
      </c>
      <c r="E219" s="1">
        <v>85422</v>
      </c>
      <c r="F219" s="1">
        <v>85422</v>
      </c>
      <c r="G219" s="8">
        <v>42140.999305555553</v>
      </c>
      <c r="H219" s="1" t="s">
        <v>40</v>
      </c>
      <c r="I219" s="1">
        <v>2</v>
      </c>
      <c r="J219" s="1">
        <v>3</v>
      </c>
      <c r="K219" s="1">
        <v>0</v>
      </c>
      <c r="L219" s="1" t="s">
        <v>43</v>
      </c>
      <c r="M219" s="1">
        <v>0</v>
      </c>
      <c r="N219" s="1">
        <v>1</v>
      </c>
      <c r="O219" s="1">
        <v>0</v>
      </c>
      <c r="P219" s="11" t="str">
        <f t="shared" si="3"/>
        <v>胜</v>
      </c>
      <c r="Q219" s="11" t="str">
        <f t="shared" si="3"/>
        <v>胜</v>
      </c>
    </row>
    <row r="220" spans="4:17" customFormat="1" hidden="1" x14ac:dyDescent="0.15">
      <c r="D220" t="s">
        <v>6</v>
      </c>
      <c r="E220" s="1">
        <v>85423</v>
      </c>
      <c r="F220" s="1">
        <v>85423</v>
      </c>
      <c r="G220" s="8">
        <v>42141</v>
      </c>
      <c r="H220" s="1" t="s">
        <v>41</v>
      </c>
      <c r="I220" s="1">
        <v>0</v>
      </c>
      <c r="J220" s="1">
        <v>1</v>
      </c>
      <c r="K220" s="1">
        <v>0</v>
      </c>
      <c r="L220" s="1" t="s">
        <v>44</v>
      </c>
      <c r="M220" s="1">
        <v>1</v>
      </c>
      <c r="N220" s="1">
        <v>3</v>
      </c>
      <c r="O220" s="1">
        <v>0</v>
      </c>
      <c r="P220" s="11" t="str">
        <f t="shared" si="3"/>
        <v>负</v>
      </c>
      <c r="Q220" s="11" t="str">
        <f t="shared" si="3"/>
        <v>负</v>
      </c>
    </row>
    <row r="221" spans="4:17" customFormat="1" hidden="1" x14ac:dyDescent="0.15">
      <c r="D221" t="s">
        <v>6</v>
      </c>
      <c r="E221" s="1">
        <v>85447</v>
      </c>
      <c r="F221" s="1">
        <v>85447</v>
      </c>
      <c r="G221" s="8">
        <v>42141.082638888889</v>
      </c>
      <c r="H221" s="1" t="s">
        <v>45</v>
      </c>
      <c r="I221" s="1">
        <v>0</v>
      </c>
      <c r="J221" s="1">
        <v>1</v>
      </c>
      <c r="K221" s="1">
        <v>0</v>
      </c>
      <c r="L221" s="1" t="s">
        <v>36</v>
      </c>
      <c r="M221" s="1">
        <v>0</v>
      </c>
      <c r="N221" s="1">
        <v>0</v>
      </c>
      <c r="O221" s="1">
        <v>0</v>
      </c>
      <c r="P221" s="11" t="str">
        <f t="shared" si="3"/>
        <v>平</v>
      </c>
      <c r="Q221" s="11" t="str">
        <f t="shared" si="3"/>
        <v>胜</v>
      </c>
    </row>
    <row r="222" spans="4:17" customFormat="1" hidden="1" x14ac:dyDescent="0.15">
      <c r="D222" t="s">
        <v>6</v>
      </c>
      <c r="E222" s="1">
        <v>86632</v>
      </c>
      <c r="F222" s="1">
        <v>86632</v>
      </c>
      <c r="G222" s="8">
        <v>42147.041666666664</v>
      </c>
      <c r="H222" s="1" t="s">
        <v>51</v>
      </c>
      <c r="I222" s="1">
        <v>0</v>
      </c>
      <c r="J222" s="1">
        <v>0</v>
      </c>
      <c r="K222" s="1">
        <v>0</v>
      </c>
      <c r="L222" s="1" t="s">
        <v>38</v>
      </c>
      <c r="M222" s="1">
        <v>1</v>
      </c>
      <c r="N222" s="1">
        <v>3</v>
      </c>
      <c r="O222" s="1">
        <v>0</v>
      </c>
      <c r="P222" s="11" t="str">
        <f t="shared" si="3"/>
        <v>负</v>
      </c>
      <c r="Q222" s="11" t="str">
        <f t="shared" si="3"/>
        <v>负</v>
      </c>
    </row>
    <row r="223" spans="4:17" customFormat="1" hidden="1" x14ac:dyDescent="0.15">
      <c r="D223" t="s">
        <v>6</v>
      </c>
      <c r="E223" s="1">
        <v>86774</v>
      </c>
      <c r="F223" s="1">
        <v>86774</v>
      </c>
      <c r="G223" s="8">
        <v>42148.999305555553</v>
      </c>
      <c r="H223" s="1" t="s">
        <v>48</v>
      </c>
      <c r="I223" s="1">
        <v>2</v>
      </c>
      <c r="J223" s="1">
        <v>4</v>
      </c>
      <c r="K223" s="1">
        <v>0</v>
      </c>
      <c r="L223" s="1" t="s">
        <v>40</v>
      </c>
      <c r="M223" s="1">
        <v>0</v>
      </c>
      <c r="N223" s="1">
        <v>0</v>
      </c>
      <c r="O223" s="1">
        <v>0</v>
      </c>
      <c r="P223" s="11" t="str">
        <f t="shared" si="3"/>
        <v>胜</v>
      </c>
      <c r="Q223" s="11" t="str">
        <f t="shared" si="3"/>
        <v>胜</v>
      </c>
    </row>
    <row r="224" spans="4:17" customFormat="1" hidden="1" x14ac:dyDescent="0.15">
      <c r="D224" t="s">
        <v>6</v>
      </c>
      <c r="E224" s="1">
        <v>86776</v>
      </c>
      <c r="F224" s="1">
        <v>86776</v>
      </c>
      <c r="G224" s="8">
        <v>42149.895833333336</v>
      </c>
      <c r="H224" s="1" t="s">
        <v>44</v>
      </c>
      <c r="I224" s="1">
        <v>2</v>
      </c>
      <c r="J224" s="1">
        <v>3</v>
      </c>
      <c r="K224" s="1">
        <v>0</v>
      </c>
      <c r="L224" s="1" t="s">
        <v>32</v>
      </c>
      <c r="M224" s="1">
        <v>0</v>
      </c>
      <c r="N224" s="1">
        <v>0</v>
      </c>
      <c r="O224" s="1">
        <v>0</v>
      </c>
      <c r="P224" s="11" t="str">
        <f t="shared" si="3"/>
        <v>胜</v>
      </c>
      <c r="Q224" s="11" t="str">
        <f t="shared" si="3"/>
        <v>胜</v>
      </c>
    </row>
    <row r="225" spans="4:17" customFormat="1" hidden="1" x14ac:dyDescent="0.15">
      <c r="D225" t="s">
        <v>6</v>
      </c>
      <c r="E225" s="1">
        <v>86777</v>
      </c>
      <c r="F225" s="1">
        <v>86777</v>
      </c>
      <c r="G225" s="8">
        <v>42149.895138888889</v>
      </c>
      <c r="H225" s="1" t="s">
        <v>53</v>
      </c>
      <c r="I225" s="1">
        <v>2</v>
      </c>
      <c r="J225" s="1">
        <v>2</v>
      </c>
      <c r="K225" s="1">
        <v>0</v>
      </c>
      <c r="L225" s="1" t="s">
        <v>54</v>
      </c>
      <c r="M225" s="1">
        <v>1</v>
      </c>
      <c r="N225" s="1">
        <v>2</v>
      </c>
      <c r="O225" s="1">
        <v>0</v>
      </c>
      <c r="P225" s="11" t="str">
        <f t="shared" si="3"/>
        <v>胜</v>
      </c>
      <c r="Q225" s="11" t="str">
        <f t="shared" si="3"/>
        <v>平</v>
      </c>
    </row>
    <row r="226" spans="4:17" customFormat="1" hidden="1" x14ac:dyDescent="0.15">
      <c r="D226" t="s">
        <v>6</v>
      </c>
      <c r="E226" s="1">
        <v>86870</v>
      </c>
      <c r="F226" s="1">
        <v>86870</v>
      </c>
      <c r="G226" s="8">
        <v>42150.000694444447</v>
      </c>
      <c r="H226" s="1" t="s">
        <v>43</v>
      </c>
      <c r="I226" s="1">
        <v>0</v>
      </c>
      <c r="J226" s="1">
        <v>0</v>
      </c>
      <c r="K226" s="1">
        <v>0</v>
      </c>
      <c r="L226" s="1" t="s">
        <v>45</v>
      </c>
      <c r="M226" s="1">
        <v>1</v>
      </c>
      <c r="N226" s="1">
        <v>4</v>
      </c>
      <c r="O226" s="1">
        <v>0</v>
      </c>
      <c r="P226" s="11" t="str">
        <f t="shared" si="3"/>
        <v>负</v>
      </c>
      <c r="Q226" s="11" t="str">
        <f t="shared" si="3"/>
        <v>负</v>
      </c>
    </row>
    <row r="227" spans="4:17" customFormat="1" hidden="1" x14ac:dyDescent="0.15">
      <c r="D227" t="s">
        <v>6</v>
      </c>
      <c r="E227" s="1">
        <v>86871</v>
      </c>
      <c r="F227" s="1">
        <v>86871</v>
      </c>
      <c r="G227" s="8">
        <v>42150</v>
      </c>
      <c r="H227" s="1" t="s">
        <v>42</v>
      </c>
      <c r="I227" s="1">
        <v>2</v>
      </c>
      <c r="J227" s="1">
        <v>2</v>
      </c>
      <c r="K227" s="1">
        <v>0</v>
      </c>
      <c r="L227" s="1" t="s">
        <v>37</v>
      </c>
      <c r="M227" s="1">
        <v>2</v>
      </c>
      <c r="N227" s="1">
        <v>3</v>
      </c>
      <c r="O227" s="1">
        <v>0</v>
      </c>
      <c r="P227" s="11" t="str">
        <f t="shared" si="3"/>
        <v>平</v>
      </c>
      <c r="Q227" s="11" t="str">
        <f t="shared" si="3"/>
        <v>负</v>
      </c>
    </row>
    <row r="228" spans="4:17" x14ac:dyDescent="0.15">
      <c r="D228" s="2" t="s">
        <v>6</v>
      </c>
      <c r="E228" s="6">
        <v>88439</v>
      </c>
      <c r="F228" s="6">
        <v>88439</v>
      </c>
      <c r="G228" s="24">
        <v>42156.001388888886</v>
      </c>
      <c r="H228" s="6" t="s">
        <v>32</v>
      </c>
      <c r="I228" s="6">
        <v>2</v>
      </c>
      <c r="J228" s="6">
        <v>5</v>
      </c>
      <c r="K228" s="6">
        <v>0</v>
      </c>
      <c r="L228" s="6" t="s">
        <v>51</v>
      </c>
      <c r="M228" s="6">
        <v>1</v>
      </c>
      <c r="N228" s="6">
        <v>1</v>
      </c>
      <c r="O228" s="6">
        <v>0</v>
      </c>
      <c r="P228" s="11" t="str">
        <f t="shared" si="3"/>
        <v>胜</v>
      </c>
      <c r="Q228" s="11" t="str">
        <f t="shared" si="3"/>
        <v>胜</v>
      </c>
    </row>
    <row r="229" spans="4:17" customFormat="1" hidden="1" x14ac:dyDescent="0.15">
      <c r="D229" t="s">
        <v>6</v>
      </c>
      <c r="E229" s="1">
        <v>88440</v>
      </c>
      <c r="F229" s="1">
        <v>88440</v>
      </c>
      <c r="G229" s="8">
        <v>42156</v>
      </c>
      <c r="H229" s="1" t="s">
        <v>41</v>
      </c>
      <c r="I229" s="1">
        <v>0</v>
      </c>
      <c r="J229" s="1">
        <v>0</v>
      </c>
      <c r="K229" s="1">
        <v>0</v>
      </c>
      <c r="L229" s="1" t="s">
        <v>42</v>
      </c>
      <c r="M229" s="1">
        <v>0</v>
      </c>
      <c r="N229" s="1">
        <v>1</v>
      </c>
      <c r="O229" s="1">
        <v>0</v>
      </c>
      <c r="P229" s="11" t="str">
        <f t="shared" si="3"/>
        <v>平</v>
      </c>
      <c r="Q229" s="11" t="str">
        <f t="shared" si="3"/>
        <v>负</v>
      </c>
    </row>
    <row r="230" spans="4:17" customFormat="1" hidden="1" x14ac:dyDescent="0.15">
      <c r="D230" t="s">
        <v>6</v>
      </c>
      <c r="E230" s="1">
        <v>88441</v>
      </c>
      <c r="F230" s="1">
        <v>88441</v>
      </c>
      <c r="G230" s="8">
        <v>42155.999305555553</v>
      </c>
      <c r="H230" s="1" t="s">
        <v>45</v>
      </c>
      <c r="I230" s="1">
        <v>1</v>
      </c>
      <c r="J230" s="1">
        <v>3</v>
      </c>
      <c r="K230" s="1">
        <v>0</v>
      </c>
      <c r="L230" s="1" t="s">
        <v>49</v>
      </c>
      <c r="M230" s="1">
        <v>3</v>
      </c>
      <c r="N230" s="1">
        <v>4</v>
      </c>
      <c r="O230" s="1">
        <v>0</v>
      </c>
      <c r="P230" s="11" t="str">
        <f t="shared" si="3"/>
        <v>负</v>
      </c>
      <c r="Q230" s="11" t="str">
        <f t="shared" si="3"/>
        <v>负</v>
      </c>
    </row>
    <row r="231" spans="4:17" customFormat="1" hidden="1" x14ac:dyDescent="0.15">
      <c r="D231" t="s">
        <v>6</v>
      </c>
      <c r="E231" s="1">
        <v>88442</v>
      </c>
      <c r="F231" s="1">
        <v>88442</v>
      </c>
      <c r="G231" s="8">
        <v>42156.083333333336</v>
      </c>
      <c r="H231" s="1" t="s">
        <v>37</v>
      </c>
      <c r="I231" s="1">
        <v>0</v>
      </c>
      <c r="J231" s="1">
        <v>1</v>
      </c>
      <c r="K231" s="1">
        <v>0</v>
      </c>
      <c r="L231" s="1" t="s">
        <v>53</v>
      </c>
      <c r="M231" s="1">
        <v>0</v>
      </c>
      <c r="N231" s="1">
        <v>1</v>
      </c>
      <c r="O231" s="1">
        <v>0</v>
      </c>
      <c r="P231" s="11" t="str">
        <f t="shared" si="3"/>
        <v>平</v>
      </c>
      <c r="Q231" s="11" t="str">
        <f t="shared" si="3"/>
        <v>平</v>
      </c>
    </row>
    <row r="232" spans="4:17" customFormat="1" hidden="1" x14ac:dyDescent="0.15">
      <c r="D232" t="s">
        <v>6</v>
      </c>
      <c r="E232" s="1">
        <v>88449</v>
      </c>
      <c r="F232" s="1">
        <v>88449</v>
      </c>
      <c r="G232" s="8">
        <v>42155.895833333336</v>
      </c>
      <c r="H232" s="1" t="s">
        <v>40</v>
      </c>
      <c r="I232" s="1">
        <v>0</v>
      </c>
      <c r="J232" s="1">
        <v>2</v>
      </c>
      <c r="K232" s="1">
        <v>0</v>
      </c>
      <c r="L232" s="1" t="s">
        <v>44</v>
      </c>
      <c r="M232" s="1">
        <v>0</v>
      </c>
      <c r="N232" s="1">
        <v>0</v>
      </c>
      <c r="O232" s="1">
        <v>0</v>
      </c>
      <c r="P232" s="11" t="str">
        <f t="shared" si="3"/>
        <v>平</v>
      </c>
      <c r="Q232" s="11" t="str">
        <f t="shared" si="3"/>
        <v>胜</v>
      </c>
    </row>
    <row r="233" spans="4:17" customFormat="1" hidden="1" x14ac:dyDescent="0.15">
      <c r="D233" t="s">
        <v>6</v>
      </c>
      <c r="E233" s="1">
        <v>88544</v>
      </c>
      <c r="F233" s="1">
        <v>88544</v>
      </c>
      <c r="G233" s="8">
        <v>42154.041666666664</v>
      </c>
      <c r="H233" s="1" t="s">
        <v>54</v>
      </c>
      <c r="I233" s="1">
        <v>1</v>
      </c>
      <c r="J233" s="1">
        <v>1</v>
      </c>
      <c r="K233" s="1">
        <v>0</v>
      </c>
      <c r="L233" s="1" t="s">
        <v>43</v>
      </c>
      <c r="M233" s="1">
        <v>0</v>
      </c>
      <c r="N233" s="1">
        <v>1</v>
      </c>
      <c r="O233" s="1">
        <v>0</v>
      </c>
      <c r="P233" s="11" t="str">
        <f t="shared" si="3"/>
        <v>胜</v>
      </c>
      <c r="Q233" s="11" t="str">
        <f t="shared" si="3"/>
        <v>平</v>
      </c>
    </row>
    <row r="234" spans="4:17" customFormat="1" hidden="1" x14ac:dyDescent="0.15">
      <c r="D234" t="s">
        <v>6</v>
      </c>
      <c r="E234" s="1">
        <v>88620</v>
      </c>
      <c r="F234" s="1">
        <v>88620</v>
      </c>
      <c r="G234" s="8">
        <v>42154.895138888889</v>
      </c>
      <c r="H234" s="1" t="s">
        <v>48</v>
      </c>
      <c r="I234" s="1">
        <v>0</v>
      </c>
      <c r="J234" s="1">
        <v>0</v>
      </c>
      <c r="K234" s="1">
        <v>0</v>
      </c>
      <c r="L234" s="1" t="s">
        <v>36</v>
      </c>
      <c r="M234" s="1">
        <v>0</v>
      </c>
      <c r="N234" s="1">
        <v>2</v>
      </c>
      <c r="O234" s="1">
        <v>0</v>
      </c>
      <c r="P234" s="11" t="str">
        <f t="shared" si="3"/>
        <v>平</v>
      </c>
      <c r="Q234" s="11" t="str">
        <f t="shared" si="3"/>
        <v>负</v>
      </c>
    </row>
    <row r="235" spans="4:17" customFormat="1" hidden="1" x14ac:dyDescent="0.15">
      <c r="D235" t="s">
        <v>6</v>
      </c>
      <c r="E235" s="1">
        <v>88624</v>
      </c>
      <c r="F235" s="1">
        <v>88624</v>
      </c>
      <c r="G235" s="8">
        <v>42155</v>
      </c>
      <c r="H235" s="1" t="s">
        <v>38</v>
      </c>
      <c r="I235" s="1">
        <v>3</v>
      </c>
      <c r="J235" s="1">
        <v>6</v>
      </c>
      <c r="K235" s="1">
        <v>0</v>
      </c>
      <c r="L235" s="1" t="s">
        <v>52</v>
      </c>
      <c r="M235" s="1">
        <v>1</v>
      </c>
      <c r="N235" s="1">
        <v>1</v>
      </c>
      <c r="O235" s="1">
        <v>0</v>
      </c>
      <c r="P235" s="11" t="str">
        <f t="shared" si="3"/>
        <v>胜</v>
      </c>
      <c r="Q235" s="11" t="str">
        <f t="shared" si="3"/>
        <v>胜</v>
      </c>
    </row>
    <row r="236" spans="4:17" customFormat="1" hidden="1" x14ac:dyDescent="0.15">
      <c r="D236" t="s">
        <v>6</v>
      </c>
      <c r="E236" s="1">
        <v>89939</v>
      </c>
      <c r="F236" s="1">
        <v>89939</v>
      </c>
      <c r="G236" s="8">
        <v>42162.999305555553</v>
      </c>
      <c r="H236" s="1" t="s">
        <v>36</v>
      </c>
      <c r="I236" s="1">
        <v>0</v>
      </c>
      <c r="J236" s="1">
        <v>0</v>
      </c>
      <c r="K236" s="1">
        <v>0</v>
      </c>
      <c r="L236" s="1" t="s">
        <v>40</v>
      </c>
      <c r="M236" s="1">
        <v>0</v>
      </c>
      <c r="N236" s="1">
        <v>1</v>
      </c>
      <c r="O236" s="1">
        <v>0</v>
      </c>
      <c r="P236" s="11" t="str">
        <f t="shared" si="3"/>
        <v>平</v>
      </c>
      <c r="Q236" s="11" t="str">
        <f t="shared" si="3"/>
        <v>负</v>
      </c>
    </row>
    <row r="237" spans="4:17" customFormat="1" hidden="1" x14ac:dyDescent="0.15">
      <c r="D237" t="s">
        <v>6</v>
      </c>
      <c r="E237" s="1">
        <v>89940</v>
      </c>
      <c r="F237" s="1">
        <v>89940</v>
      </c>
      <c r="G237" s="8">
        <v>42162.999305555553</v>
      </c>
      <c r="H237" s="1" t="s">
        <v>43</v>
      </c>
      <c r="I237" s="1">
        <v>1</v>
      </c>
      <c r="J237" s="1">
        <v>2</v>
      </c>
      <c r="K237" s="1">
        <v>0</v>
      </c>
      <c r="L237" s="1" t="s">
        <v>48</v>
      </c>
      <c r="M237" s="1">
        <v>0</v>
      </c>
      <c r="N237" s="1">
        <v>1</v>
      </c>
      <c r="O237" s="1">
        <v>0</v>
      </c>
      <c r="P237" s="11" t="str">
        <f t="shared" si="3"/>
        <v>胜</v>
      </c>
      <c r="Q237" s="11" t="str">
        <f t="shared" si="3"/>
        <v>胜</v>
      </c>
    </row>
    <row r="238" spans="4:17" customFormat="1" hidden="1" x14ac:dyDescent="0.15">
      <c r="D238" t="s">
        <v>6</v>
      </c>
      <c r="E238" s="1">
        <v>89941</v>
      </c>
      <c r="F238" s="1">
        <v>89941</v>
      </c>
      <c r="G238" s="8">
        <v>42163</v>
      </c>
      <c r="H238" s="1" t="s">
        <v>42</v>
      </c>
      <c r="I238" s="1">
        <v>1</v>
      </c>
      <c r="J238" s="1">
        <v>3</v>
      </c>
      <c r="K238" s="1">
        <v>0</v>
      </c>
      <c r="L238" s="1" t="s">
        <v>32</v>
      </c>
      <c r="M238" s="1">
        <v>1</v>
      </c>
      <c r="N238" s="1">
        <v>2</v>
      </c>
      <c r="O238" s="1">
        <v>0</v>
      </c>
      <c r="P238" s="11" t="str">
        <f t="shared" si="3"/>
        <v>平</v>
      </c>
      <c r="Q238" s="11" t="str">
        <f t="shared" si="3"/>
        <v>胜</v>
      </c>
    </row>
    <row r="239" spans="4:17" customFormat="1" hidden="1" x14ac:dyDescent="0.15">
      <c r="D239" t="s">
        <v>6</v>
      </c>
      <c r="E239" s="1">
        <v>89942</v>
      </c>
      <c r="F239" s="1">
        <v>89942</v>
      </c>
      <c r="G239" s="8">
        <v>42163</v>
      </c>
      <c r="H239" s="1" t="s">
        <v>51</v>
      </c>
      <c r="I239" s="1">
        <v>1</v>
      </c>
      <c r="J239" s="1">
        <v>1</v>
      </c>
      <c r="K239" s="1">
        <v>0</v>
      </c>
      <c r="L239" s="1" t="s">
        <v>41</v>
      </c>
      <c r="M239" s="1">
        <v>0</v>
      </c>
      <c r="N239" s="1">
        <v>1</v>
      </c>
      <c r="O239" s="1">
        <v>0</v>
      </c>
      <c r="P239" s="11" t="str">
        <f t="shared" si="3"/>
        <v>胜</v>
      </c>
      <c r="Q239" s="11" t="str">
        <f t="shared" si="3"/>
        <v>平</v>
      </c>
    </row>
    <row r="240" spans="4:17" customFormat="1" hidden="1" x14ac:dyDescent="0.15">
      <c r="D240" t="s">
        <v>6</v>
      </c>
      <c r="E240" s="1">
        <v>89944</v>
      </c>
      <c r="F240" s="1">
        <v>89944</v>
      </c>
      <c r="G240" s="8">
        <v>42163.084027777775</v>
      </c>
      <c r="H240" s="1" t="s">
        <v>44</v>
      </c>
      <c r="I240" s="1">
        <v>2</v>
      </c>
      <c r="J240" s="1">
        <v>2</v>
      </c>
      <c r="K240" s="1">
        <v>0</v>
      </c>
      <c r="L240" s="1" t="s">
        <v>45</v>
      </c>
      <c r="M240" s="1">
        <v>0</v>
      </c>
      <c r="N240" s="1">
        <v>1</v>
      </c>
      <c r="O240" s="1">
        <v>0</v>
      </c>
      <c r="P240" s="11" t="str">
        <f t="shared" si="3"/>
        <v>胜</v>
      </c>
      <c r="Q240" s="11" t="str">
        <f t="shared" si="3"/>
        <v>胜</v>
      </c>
    </row>
    <row r="241" spans="4:17" customFormat="1" hidden="1" x14ac:dyDescent="0.15">
      <c r="D241" t="s">
        <v>6</v>
      </c>
      <c r="E241" s="1">
        <v>89976</v>
      </c>
      <c r="F241" s="1">
        <v>89976</v>
      </c>
      <c r="G241" s="8">
        <v>42161.041666666664</v>
      </c>
      <c r="H241" s="1" t="s">
        <v>53</v>
      </c>
      <c r="I241" s="1">
        <v>2</v>
      </c>
      <c r="J241" s="1">
        <v>2</v>
      </c>
      <c r="K241" s="1">
        <v>0</v>
      </c>
      <c r="L241" s="1" t="s">
        <v>38</v>
      </c>
      <c r="M241" s="1">
        <v>0</v>
      </c>
      <c r="N241" s="1">
        <v>0</v>
      </c>
      <c r="O241" s="1">
        <v>0</v>
      </c>
      <c r="P241" s="11" t="str">
        <f t="shared" si="3"/>
        <v>胜</v>
      </c>
      <c r="Q241" s="11" t="str">
        <f t="shared" si="3"/>
        <v>胜</v>
      </c>
    </row>
    <row r="242" spans="4:17" customFormat="1" hidden="1" x14ac:dyDescent="0.15">
      <c r="D242" t="s">
        <v>6</v>
      </c>
      <c r="E242" s="1">
        <v>89977</v>
      </c>
      <c r="F242" s="1">
        <v>89977</v>
      </c>
      <c r="G242" s="8">
        <v>42161.895138888889</v>
      </c>
      <c r="H242" s="1" t="s">
        <v>49</v>
      </c>
      <c r="I242" s="1">
        <v>0</v>
      </c>
      <c r="J242" s="1">
        <v>1</v>
      </c>
      <c r="K242" s="1">
        <v>0</v>
      </c>
      <c r="L242" s="1" t="s">
        <v>37</v>
      </c>
      <c r="M242" s="1">
        <v>0</v>
      </c>
      <c r="N242" s="1">
        <v>2</v>
      </c>
      <c r="O242" s="1">
        <v>0</v>
      </c>
      <c r="P242" s="11" t="str">
        <f t="shared" si="3"/>
        <v>平</v>
      </c>
      <c r="Q242" s="11" t="str">
        <f t="shared" si="3"/>
        <v>负</v>
      </c>
    </row>
    <row r="243" spans="4:17" customFormat="1" hidden="1" x14ac:dyDescent="0.15">
      <c r="D243" t="s">
        <v>6</v>
      </c>
      <c r="E243" s="1">
        <v>89979</v>
      </c>
      <c r="F243" s="1">
        <v>89979</v>
      </c>
      <c r="G243" s="8">
        <v>42162</v>
      </c>
      <c r="H243" s="1" t="s">
        <v>52</v>
      </c>
      <c r="I243" s="1">
        <v>0</v>
      </c>
      <c r="J243" s="1">
        <v>0</v>
      </c>
      <c r="K243" s="1">
        <v>0</v>
      </c>
      <c r="L243" s="1" t="s">
        <v>54</v>
      </c>
      <c r="M243" s="1">
        <v>0</v>
      </c>
      <c r="N243" s="1">
        <v>1</v>
      </c>
      <c r="O243" s="1">
        <v>0</v>
      </c>
      <c r="P243" s="11" t="str">
        <f t="shared" si="3"/>
        <v>平</v>
      </c>
      <c r="Q243" s="11" t="str">
        <f t="shared" si="3"/>
        <v>负</v>
      </c>
    </row>
    <row r="244" spans="4:17" customFormat="1" hidden="1" x14ac:dyDescent="0.15">
      <c r="D244" t="s">
        <v>6</v>
      </c>
      <c r="E244" s="1">
        <v>92139</v>
      </c>
      <c r="F244" s="1">
        <v>92139</v>
      </c>
      <c r="G244" s="8">
        <v>42175.040972222225</v>
      </c>
      <c r="H244" s="1" t="s">
        <v>54</v>
      </c>
      <c r="I244" s="1">
        <v>3</v>
      </c>
      <c r="J244" s="1">
        <v>3</v>
      </c>
      <c r="K244" s="1">
        <v>0</v>
      </c>
      <c r="L244" s="1" t="s">
        <v>36</v>
      </c>
      <c r="M244" s="1">
        <v>1</v>
      </c>
      <c r="N244" s="1">
        <v>3</v>
      </c>
      <c r="O244" s="1">
        <v>0</v>
      </c>
      <c r="P244" s="11" t="str">
        <f t="shared" si="3"/>
        <v>胜</v>
      </c>
      <c r="Q244" s="11" t="str">
        <f t="shared" si="3"/>
        <v>平</v>
      </c>
    </row>
    <row r="245" spans="4:17" customFormat="1" hidden="1" x14ac:dyDescent="0.15">
      <c r="D245" t="s">
        <v>6</v>
      </c>
      <c r="E245" s="1">
        <v>92215</v>
      </c>
      <c r="F245" s="1">
        <v>92215</v>
      </c>
      <c r="G245" s="8">
        <v>42175.895833333336</v>
      </c>
      <c r="H245" s="1" t="s">
        <v>52</v>
      </c>
      <c r="I245" s="1">
        <v>0</v>
      </c>
      <c r="J245" s="1">
        <v>0</v>
      </c>
      <c r="K245" s="1">
        <v>0</v>
      </c>
      <c r="L245" s="1" t="s">
        <v>44</v>
      </c>
      <c r="M245" s="1">
        <v>0</v>
      </c>
      <c r="N245" s="1">
        <v>0</v>
      </c>
      <c r="O245" s="1">
        <v>0</v>
      </c>
      <c r="P245" s="11" t="str">
        <f t="shared" si="3"/>
        <v>平</v>
      </c>
      <c r="Q245" s="11" t="str">
        <f t="shared" si="3"/>
        <v>平</v>
      </c>
    </row>
    <row r="246" spans="4:17" customFormat="1" hidden="1" x14ac:dyDescent="0.15">
      <c r="D246" t="s">
        <v>6</v>
      </c>
      <c r="E246" s="1">
        <v>92290</v>
      </c>
      <c r="F246" s="1">
        <v>92290</v>
      </c>
      <c r="G246" s="8">
        <v>42176</v>
      </c>
      <c r="H246" s="1" t="s">
        <v>38</v>
      </c>
      <c r="I246" s="1">
        <v>0</v>
      </c>
      <c r="J246" s="1">
        <v>0</v>
      </c>
      <c r="K246" s="1">
        <v>0</v>
      </c>
      <c r="L246" s="1" t="s">
        <v>49</v>
      </c>
      <c r="M246" s="1">
        <v>0</v>
      </c>
      <c r="N246" s="1">
        <v>0</v>
      </c>
      <c r="O246" s="1">
        <v>0</v>
      </c>
      <c r="P246" s="11" t="str">
        <f t="shared" si="3"/>
        <v>平</v>
      </c>
      <c r="Q246" s="11" t="str">
        <f t="shared" si="3"/>
        <v>平</v>
      </c>
    </row>
    <row r="247" spans="4:17" x14ac:dyDescent="0.15">
      <c r="D247" s="2" t="s">
        <v>6</v>
      </c>
      <c r="E247" s="6">
        <v>92298</v>
      </c>
      <c r="F247" s="6">
        <v>92298</v>
      </c>
      <c r="G247" s="24">
        <v>42176.895138888889</v>
      </c>
      <c r="H247" s="6" t="s">
        <v>32</v>
      </c>
      <c r="I247" s="6">
        <v>0</v>
      </c>
      <c r="J247" s="6">
        <v>0</v>
      </c>
      <c r="K247" s="6">
        <v>0</v>
      </c>
      <c r="L247" s="6" t="s">
        <v>45</v>
      </c>
      <c r="M247" s="6">
        <v>3</v>
      </c>
      <c r="N247" s="6">
        <v>3</v>
      </c>
      <c r="O247" s="6">
        <v>0</v>
      </c>
      <c r="P247" s="11" t="str">
        <f t="shared" si="3"/>
        <v>负</v>
      </c>
      <c r="Q247" s="11" t="str">
        <f t="shared" si="3"/>
        <v>负</v>
      </c>
    </row>
    <row r="248" spans="4:17" customFormat="1" hidden="1" x14ac:dyDescent="0.15">
      <c r="D248" t="s">
        <v>6</v>
      </c>
      <c r="E248" s="1">
        <v>92395</v>
      </c>
      <c r="F248" s="1">
        <v>92395</v>
      </c>
      <c r="G248" s="8">
        <v>42177</v>
      </c>
      <c r="H248" s="1" t="s">
        <v>40</v>
      </c>
      <c r="I248" s="1">
        <v>1</v>
      </c>
      <c r="J248" s="1">
        <v>2</v>
      </c>
      <c r="K248" s="1">
        <v>0</v>
      </c>
      <c r="L248" s="1" t="s">
        <v>53</v>
      </c>
      <c r="M248" s="1">
        <v>0</v>
      </c>
      <c r="N248" s="1">
        <v>1</v>
      </c>
      <c r="O248" s="1">
        <v>0</v>
      </c>
      <c r="P248" s="11" t="str">
        <f t="shared" si="3"/>
        <v>胜</v>
      </c>
      <c r="Q248" s="11" t="str">
        <f t="shared" si="3"/>
        <v>胜</v>
      </c>
    </row>
    <row r="249" spans="4:17" customFormat="1" hidden="1" x14ac:dyDescent="0.15">
      <c r="D249" t="s">
        <v>6</v>
      </c>
      <c r="E249" s="1">
        <v>92396</v>
      </c>
      <c r="F249" s="1">
        <v>92396</v>
      </c>
      <c r="G249" s="8">
        <v>42176.999305555553</v>
      </c>
      <c r="H249" s="1" t="s">
        <v>48</v>
      </c>
      <c r="I249" s="1">
        <v>1</v>
      </c>
      <c r="J249" s="1">
        <v>1</v>
      </c>
      <c r="K249" s="1">
        <v>0</v>
      </c>
      <c r="L249" s="1" t="s">
        <v>51</v>
      </c>
      <c r="M249" s="1">
        <v>0</v>
      </c>
      <c r="N249" s="1">
        <v>1</v>
      </c>
      <c r="O249" s="1">
        <v>0</v>
      </c>
      <c r="P249" s="11" t="str">
        <f t="shared" si="3"/>
        <v>胜</v>
      </c>
      <c r="Q249" s="11" t="str">
        <f t="shared" si="3"/>
        <v>平</v>
      </c>
    </row>
    <row r="250" spans="4:17" customFormat="1" hidden="1" x14ac:dyDescent="0.15">
      <c r="D250" t="s">
        <v>6</v>
      </c>
      <c r="E250" s="1">
        <v>92403</v>
      </c>
      <c r="F250" s="1">
        <v>92403</v>
      </c>
      <c r="G250" s="8">
        <v>42177</v>
      </c>
      <c r="H250" s="1" t="s">
        <v>43</v>
      </c>
      <c r="I250" s="1">
        <v>1</v>
      </c>
      <c r="J250" s="1">
        <v>1</v>
      </c>
      <c r="K250" s="1">
        <v>0</v>
      </c>
      <c r="L250" s="1" t="s">
        <v>42</v>
      </c>
      <c r="M250" s="1">
        <v>1</v>
      </c>
      <c r="N250" s="1">
        <v>1</v>
      </c>
      <c r="O250" s="1">
        <v>0</v>
      </c>
      <c r="P250" s="11" t="str">
        <f t="shared" si="3"/>
        <v>平</v>
      </c>
      <c r="Q250" s="11" t="str">
        <f t="shared" si="3"/>
        <v>平</v>
      </c>
    </row>
    <row r="251" spans="4:17" customFormat="1" hidden="1" x14ac:dyDescent="0.15">
      <c r="D251" t="s">
        <v>6</v>
      </c>
      <c r="E251" s="1">
        <v>92405</v>
      </c>
      <c r="F251" s="1">
        <v>92405</v>
      </c>
      <c r="G251" s="8">
        <v>42177.083333333336</v>
      </c>
      <c r="H251" s="1" t="s">
        <v>41</v>
      </c>
      <c r="I251" s="1">
        <v>0</v>
      </c>
      <c r="J251" s="1">
        <v>0</v>
      </c>
      <c r="K251" s="1">
        <v>0</v>
      </c>
      <c r="L251" s="1" t="s">
        <v>37</v>
      </c>
      <c r="M251" s="1">
        <v>1</v>
      </c>
      <c r="N251" s="1">
        <v>2</v>
      </c>
      <c r="O251" s="1">
        <v>0</v>
      </c>
      <c r="P251" s="11" t="str">
        <f t="shared" si="3"/>
        <v>负</v>
      </c>
      <c r="Q251" s="11" t="str">
        <f t="shared" si="3"/>
        <v>负</v>
      </c>
    </row>
    <row r="252" spans="4:17" customFormat="1" hidden="1" x14ac:dyDescent="0.15">
      <c r="D252" t="s">
        <v>6</v>
      </c>
      <c r="E252" s="1">
        <v>93334</v>
      </c>
      <c r="F252" s="1">
        <v>93334</v>
      </c>
      <c r="G252" s="8">
        <v>42182.895138888889</v>
      </c>
      <c r="H252" s="1" t="s">
        <v>36</v>
      </c>
      <c r="I252" s="1">
        <v>2</v>
      </c>
      <c r="J252" s="1">
        <v>3</v>
      </c>
      <c r="K252" s="1">
        <v>0</v>
      </c>
      <c r="L252" s="1" t="s">
        <v>43</v>
      </c>
      <c r="M252" s="1">
        <v>1</v>
      </c>
      <c r="N252" s="1">
        <v>1</v>
      </c>
      <c r="O252" s="1">
        <v>0</v>
      </c>
      <c r="P252" s="11" t="str">
        <f t="shared" si="3"/>
        <v>胜</v>
      </c>
      <c r="Q252" s="11" t="str">
        <f t="shared" si="3"/>
        <v>胜</v>
      </c>
    </row>
    <row r="253" spans="4:17" customFormat="1" hidden="1" x14ac:dyDescent="0.15">
      <c r="D253" t="s">
        <v>6</v>
      </c>
      <c r="E253" s="1">
        <v>93337</v>
      </c>
      <c r="F253" s="1">
        <v>93337</v>
      </c>
      <c r="G253" s="8">
        <v>42183</v>
      </c>
      <c r="H253" s="1" t="s">
        <v>37</v>
      </c>
      <c r="I253" s="1">
        <v>1</v>
      </c>
      <c r="J253" s="1">
        <v>1</v>
      </c>
      <c r="K253" s="1">
        <v>0</v>
      </c>
      <c r="L253" s="1" t="s">
        <v>38</v>
      </c>
      <c r="M253" s="1">
        <v>1</v>
      </c>
      <c r="N253" s="1">
        <v>1</v>
      </c>
      <c r="O253" s="1">
        <v>0</v>
      </c>
      <c r="P253" s="11" t="str">
        <f t="shared" si="3"/>
        <v>平</v>
      </c>
      <c r="Q253" s="11" t="str">
        <f t="shared" si="3"/>
        <v>平</v>
      </c>
    </row>
    <row r="254" spans="4:17" customFormat="1" hidden="1" x14ac:dyDescent="0.15">
      <c r="D254" t="s">
        <v>6</v>
      </c>
      <c r="E254" s="1">
        <v>93338</v>
      </c>
      <c r="F254" s="1">
        <v>93338</v>
      </c>
      <c r="G254" s="8">
        <v>42183.084027777775</v>
      </c>
      <c r="H254" s="1" t="s">
        <v>42</v>
      </c>
      <c r="I254" s="1">
        <v>2</v>
      </c>
      <c r="J254" s="1">
        <v>3</v>
      </c>
      <c r="K254" s="1">
        <v>0</v>
      </c>
      <c r="L254" s="1" t="s">
        <v>40</v>
      </c>
      <c r="M254" s="1">
        <v>0</v>
      </c>
      <c r="N254" s="1">
        <v>2</v>
      </c>
      <c r="O254" s="1">
        <v>0</v>
      </c>
      <c r="P254" s="11" t="str">
        <f t="shared" si="3"/>
        <v>胜</v>
      </c>
      <c r="Q254" s="11" t="str">
        <f t="shared" si="3"/>
        <v>胜</v>
      </c>
    </row>
    <row r="255" spans="4:17" customFormat="1" hidden="1" x14ac:dyDescent="0.15">
      <c r="D255" t="s">
        <v>6</v>
      </c>
      <c r="E255" s="1">
        <v>93434</v>
      </c>
      <c r="F255" s="1">
        <v>93434</v>
      </c>
      <c r="G255" s="8">
        <v>42183.895138888889</v>
      </c>
      <c r="H255" s="1" t="s">
        <v>45</v>
      </c>
      <c r="I255" s="1">
        <v>1</v>
      </c>
      <c r="J255" s="1">
        <v>3</v>
      </c>
      <c r="K255" s="1">
        <v>0</v>
      </c>
      <c r="L255" s="1" t="s">
        <v>41</v>
      </c>
      <c r="M255" s="1">
        <v>1</v>
      </c>
      <c r="N255" s="1">
        <v>1</v>
      </c>
      <c r="O255" s="1">
        <v>0</v>
      </c>
      <c r="P255" s="11" t="str">
        <f t="shared" si="3"/>
        <v>平</v>
      </c>
      <c r="Q255" s="11" t="str">
        <f t="shared" si="3"/>
        <v>胜</v>
      </c>
    </row>
    <row r="256" spans="4:17" customFormat="1" hidden="1" x14ac:dyDescent="0.15">
      <c r="D256" t="s">
        <v>6</v>
      </c>
      <c r="E256" s="1">
        <v>93454</v>
      </c>
      <c r="F256" s="1">
        <v>93454</v>
      </c>
      <c r="G256" s="8">
        <v>42183.999305555553</v>
      </c>
      <c r="H256" s="1" t="s">
        <v>51</v>
      </c>
      <c r="I256" s="1">
        <v>0</v>
      </c>
      <c r="J256" s="1">
        <v>2</v>
      </c>
      <c r="K256" s="1">
        <v>0</v>
      </c>
      <c r="L256" s="1" t="s">
        <v>52</v>
      </c>
      <c r="M256" s="1">
        <v>2</v>
      </c>
      <c r="N256" s="1">
        <v>2</v>
      </c>
      <c r="O256" s="1">
        <v>0</v>
      </c>
      <c r="P256" s="11" t="str">
        <f t="shared" si="3"/>
        <v>负</v>
      </c>
      <c r="Q256" s="11" t="str">
        <f t="shared" si="3"/>
        <v>平</v>
      </c>
    </row>
    <row r="257" spans="4:17" customFormat="1" hidden="1" x14ac:dyDescent="0.15">
      <c r="D257" t="s">
        <v>6</v>
      </c>
      <c r="E257" s="1">
        <v>93455</v>
      </c>
      <c r="F257" s="1">
        <v>93455</v>
      </c>
      <c r="G257" s="8">
        <v>42183.999305555553</v>
      </c>
      <c r="H257" s="1" t="s">
        <v>53</v>
      </c>
      <c r="I257" s="1">
        <v>0</v>
      </c>
      <c r="J257" s="1">
        <v>2</v>
      </c>
      <c r="K257" s="1">
        <v>0</v>
      </c>
      <c r="L257" s="1" t="s">
        <v>48</v>
      </c>
      <c r="M257" s="1">
        <v>0</v>
      </c>
      <c r="N257" s="1">
        <v>0</v>
      </c>
      <c r="O257" s="1">
        <v>0</v>
      </c>
      <c r="P257" s="11" t="str">
        <f t="shared" si="3"/>
        <v>平</v>
      </c>
      <c r="Q257" s="11" t="str">
        <f t="shared" si="3"/>
        <v>胜</v>
      </c>
    </row>
    <row r="258" spans="4:17" customFormat="1" hidden="1" x14ac:dyDescent="0.15">
      <c r="D258" t="s">
        <v>6</v>
      </c>
      <c r="E258" s="1">
        <v>93460</v>
      </c>
      <c r="F258" s="1">
        <v>93460</v>
      </c>
      <c r="G258" s="8">
        <v>42184.083333333336</v>
      </c>
      <c r="H258" s="1" t="s">
        <v>49</v>
      </c>
      <c r="I258" s="1">
        <v>0</v>
      </c>
      <c r="J258" s="1">
        <v>1</v>
      </c>
      <c r="K258" s="1">
        <v>0</v>
      </c>
      <c r="L258" s="1" t="s">
        <v>32</v>
      </c>
      <c r="M258" s="1">
        <v>0</v>
      </c>
      <c r="N258" s="1">
        <v>2</v>
      </c>
      <c r="O258" s="1">
        <v>0</v>
      </c>
      <c r="P258" s="11" t="str">
        <f t="shared" si="3"/>
        <v>平</v>
      </c>
      <c r="Q258" s="11" t="str">
        <f t="shared" si="3"/>
        <v>负</v>
      </c>
    </row>
    <row r="259" spans="4:17" customFormat="1" hidden="1" x14ac:dyDescent="0.15">
      <c r="D259" t="s">
        <v>6</v>
      </c>
      <c r="E259" s="1">
        <v>93475</v>
      </c>
      <c r="F259" s="1">
        <v>93475</v>
      </c>
      <c r="G259" s="8">
        <v>42184</v>
      </c>
      <c r="H259" s="1" t="s">
        <v>44</v>
      </c>
      <c r="I259" s="1">
        <v>0</v>
      </c>
      <c r="J259" s="1">
        <v>1</v>
      </c>
      <c r="K259" s="1">
        <v>0</v>
      </c>
      <c r="L259" s="1" t="s">
        <v>54</v>
      </c>
      <c r="M259" s="1">
        <v>1</v>
      </c>
      <c r="N259" s="1">
        <v>1</v>
      </c>
      <c r="O259" s="1">
        <v>0</v>
      </c>
      <c r="P259" s="11" t="str">
        <f t="shared" si="3"/>
        <v>负</v>
      </c>
      <c r="Q259" s="11" t="str">
        <f t="shared" si="3"/>
        <v>平</v>
      </c>
    </row>
    <row r="260" spans="4:17" customFormat="1" hidden="1" x14ac:dyDescent="0.15">
      <c r="D260" t="s">
        <v>6</v>
      </c>
      <c r="E260" s="1">
        <v>94527</v>
      </c>
      <c r="F260" s="1">
        <v>94527</v>
      </c>
      <c r="G260" s="8">
        <v>42190.895833333336</v>
      </c>
      <c r="H260" s="1" t="s">
        <v>40</v>
      </c>
      <c r="I260" s="1">
        <v>2</v>
      </c>
      <c r="J260" s="1">
        <v>4</v>
      </c>
      <c r="K260" s="1">
        <v>0</v>
      </c>
      <c r="L260" s="1" t="s">
        <v>45</v>
      </c>
      <c r="M260" s="1">
        <v>1</v>
      </c>
      <c r="N260" s="1">
        <v>1</v>
      </c>
      <c r="O260" s="1">
        <v>0</v>
      </c>
      <c r="P260" s="11" t="str">
        <f t="shared" si="3"/>
        <v>胜</v>
      </c>
      <c r="Q260" s="11" t="str">
        <f t="shared" si="3"/>
        <v>胜</v>
      </c>
    </row>
    <row r="261" spans="4:17" customFormat="1" hidden="1" x14ac:dyDescent="0.15">
      <c r="D261" t="s">
        <v>6</v>
      </c>
      <c r="E261" s="1">
        <v>94534</v>
      </c>
      <c r="F261" s="1">
        <v>94534</v>
      </c>
      <c r="G261" s="8">
        <v>42190.999305555553</v>
      </c>
      <c r="H261" s="1" t="s">
        <v>52</v>
      </c>
      <c r="I261" s="1">
        <v>0</v>
      </c>
      <c r="J261" s="1">
        <v>1</v>
      </c>
      <c r="K261" s="1">
        <v>0</v>
      </c>
      <c r="L261" s="1" t="s">
        <v>53</v>
      </c>
      <c r="M261" s="1">
        <v>0</v>
      </c>
      <c r="N261" s="1">
        <v>1</v>
      </c>
      <c r="O261" s="1">
        <v>0</v>
      </c>
      <c r="P261" s="11" t="str">
        <f t="shared" si="3"/>
        <v>平</v>
      </c>
      <c r="Q261" s="11" t="str">
        <f t="shared" si="3"/>
        <v>平</v>
      </c>
    </row>
    <row r="262" spans="4:17" customFormat="1" hidden="1" x14ac:dyDescent="0.15">
      <c r="D262" t="s">
        <v>6</v>
      </c>
      <c r="E262" s="1">
        <v>94535</v>
      </c>
      <c r="F262" s="1">
        <v>94535</v>
      </c>
      <c r="G262" s="8">
        <v>42190.999305555553</v>
      </c>
      <c r="H262" s="1" t="s">
        <v>43</v>
      </c>
      <c r="I262" s="1">
        <v>0</v>
      </c>
      <c r="J262" s="1">
        <v>4</v>
      </c>
      <c r="K262" s="1">
        <v>0</v>
      </c>
      <c r="L262" s="1" t="s">
        <v>51</v>
      </c>
      <c r="M262" s="1">
        <v>2</v>
      </c>
      <c r="N262" s="1">
        <v>2</v>
      </c>
      <c r="O262" s="1">
        <v>0</v>
      </c>
      <c r="P262" s="11" t="str">
        <f t="shared" si="3"/>
        <v>负</v>
      </c>
      <c r="Q262" s="11" t="str">
        <f t="shared" si="3"/>
        <v>胜</v>
      </c>
    </row>
    <row r="263" spans="4:17" customFormat="1" hidden="1" x14ac:dyDescent="0.15">
      <c r="D263" t="s">
        <v>6</v>
      </c>
      <c r="E263" s="1">
        <v>94536</v>
      </c>
      <c r="F263" s="1">
        <v>94536</v>
      </c>
      <c r="G263" s="8">
        <v>42191</v>
      </c>
      <c r="H263" s="1" t="s">
        <v>54</v>
      </c>
      <c r="I263" s="1">
        <v>0</v>
      </c>
      <c r="J263" s="1">
        <v>1</v>
      </c>
      <c r="K263" s="1">
        <v>0</v>
      </c>
      <c r="L263" s="1" t="s">
        <v>49</v>
      </c>
      <c r="M263" s="1">
        <v>1</v>
      </c>
      <c r="N263" s="1">
        <v>2</v>
      </c>
      <c r="O263" s="1">
        <v>0</v>
      </c>
      <c r="P263" s="11" t="str">
        <f t="shared" si="3"/>
        <v>负</v>
      </c>
      <c r="Q263" s="11" t="str">
        <f t="shared" si="3"/>
        <v>负</v>
      </c>
    </row>
    <row r="264" spans="4:17" x14ac:dyDescent="0.15">
      <c r="D264" s="2" t="s">
        <v>6</v>
      </c>
      <c r="E264" s="6">
        <v>94537</v>
      </c>
      <c r="F264" s="6">
        <v>94537</v>
      </c>
      <c r="G264" s="24">
        <v>42191.083333333336</v>
      </c>
      <c r="H264" s="6" t="s">
        <v>32</v>
      </c>
      <c r="I264" s="6">
        <v>1</v>
      </c>
      <c r="J264" s="6">
        <v>1</v>
      </c>
      <c r="K264" s="6">
        <v>0</v>
      </c>
      <c r="L264" s="6" t="s">
        <v>37</v>
      </c>
      <c r="M264" s="6">
        <v>0</v>
      </c>
      <c r="N264" s="6">
        <v>0</v>
      </c>
      <c r="O264" s="6">
        <v>0</v>
      </c>
      <c r="P264" s="11" t="str">
        <f t="shared" si="3"/>
        <v>胜</v>
      </c>
      <c r="Q264" s="11" t="str">
        <f t="shared" si="3"/>
        <v>胜</v>
      </c>
    </row>
    <row r="265" spans="4:17" customFormat="1" hidden="1" x14ac:dyDescent="0.15">
      <c r="D265" t="s">
        <v>6</v>
      </c>
      <c r="E265" s="1">
        <v>94564</v>
      </c>
      <c r="F265" s="1">
        <v>94564</v>
      </c>
      <c r="G265" s="8">
        <v>42189.041666666664</v>
      </c>
      <c r="H265" s="1" t="s">
        <v>41</v>
      </c>
      <c r="I265" s="1">
        <v>0</v>
      </c>
      <c r="J265" s="1">
        <v>1</v>
      </c>
      <c r="K265" s="1">
        <v>0</v>
      </c>
      <c r="L265" s="1" t="s">
        <v>38</v>
      </c>
      <c r="M265" s="1">
        <v>2</v>
      </c>
      <c r="N265" s="1">
        <v>4</v>
      </c>
      <c r="O265" s="1">
        <v>0</v>
      </c>
      <c r="P265" s="11" t="str">
        <f t="shared" si="3"/>
        <v>负</v>
      </c>
      <c r="Q265" s="11" t="str">
        <f t="shared" si="3"/>
        <v>负</v>
      </c>
    </row>
    <row r="266" spans="4:17" customFormat="1" hidden="1" x14ac:dyDescent="0.15">
      <c r="D266" t="s">
        <v>6</v>
      </c>
      <c r="E266" s="1">
        <v>94566</v>
      </c>
      <c r="F266" s="1">
        <v>94566</v>
      </c>
      <c r="G266" s="8">
        <v>42189.999305555553</v>
      </c>
      <c r="H266" s="1" t="s">
        <v>48</v>
      </c>
      <c r="I266" s="1">
        <v>2</v>
      </c>
      <c r="J266" s="1">
        <v>3</v>
      </c>
      <c r="K266" s="1">
        <v>0</v>
      </c>
      <c r="L266" s="1" t="s">
        <v>44</v>
      </c>
      <c r="M266" s="1">
        <v>1</v>
      </c>
      <c r="N266" s="1">
        <v>3</v>
      </c>
      <c r="O266" s="1">
        <v>0</v>
      </c>
      <c r="P266" s="11" t="str">
        <f t="shared" si="3"/>
        <v>胜</v>
      </c>
      <c r="Q266" s="11" t="str">
        <f t="shared" si="3"/>
        <v>平</v>
      </c>
    </row>
    <row r="267" spans="4:17" customFormat="1" hidden="1" x14ac:dyDescent="0.15">
      <c r="D267" t="s">
        <v>6</v>
      </c>
      <c r="E267" s="1">
        <v>94569</v>
      </c>
      <c r="F267" s="1">
        <v>94569</v>
      </c>
      <c r="G267" s="8">
        <v>42189.895833333336</v>
      </c>
      <c r="H267" s="1" t="s">
        <v>36</v>
      </c>
      <c r="I267" s="1">
        <v>2</v>
      </c>
      <c r="J267" s="1">
        <v>4</v>
      </c>
      <c r="K267" s="1">
        <v>0</v>
      </c>
      <c r="L267" s="1" t="s">
        <v>42</v>
      </c>
      <c r="M267" s="1">
        <v>0</v>
      </c>
      <c r="N267" s="1">
        <v>1</v>
      </c>
      <c r="O267" s="1">
        <v>0</v>
      </c>
      <c r="P267" s="11" t="str">
        <f t="shared" si="3"/>
        <v>胜</v>
      </c>
      <c r="Q267" s="11" t="str">
        <f t="shared" si="3"/>
        <v>胜</v>
      </c>
    </row>
    <row r="268" spans="4:17" customFormat="1" hidden="1" x14ac:dyDescent="0.15">
      <c r="D268" t="s">
        <v>6</v>
      </c>
      <c r="E268" s="1">
        <v>95764</v>
      </c>
      <c r="F268" s="1">
        <v>95764</v>
      </c>
      <c r="G268" s="8">
        <v>42197.999305555553</v>
      </c>
      <c r="H268" s="1" t="s">
        <v>51</v>
      </c>
      <c r="I268" s="1">
        <v>0</v>
      </c>
      <c r="J268" s="1">
        <v>1</v>
      </c>
      <c r="K268" s="1">
        <v>0</v>
      </c>
      <c r="L268" s="1" t="s">
        <v>32</v>
      </c>
      <c r="M268" s="1">
        <v>1</v>
      </c>
      <c r="N268" s="1">
        <v>2</v>
      </c>
      <c r="O268" s="1">
        <v>0</v>
      </c>
      <c r="P268" s="11" t="str">
        <f t="shared" si="3"/>
        <v>负</v>
      </c>
      <c r="Q268" s="11" t="str">
        <f t="shared" si="3"/>
        <v>负</v>
      </c>
    </row>
    <row r="269" spans="4:17" customFormat="1" hidden="1" x14ac:dyDescent="0.15">
      <c r="D269" t="s">
        <v>6</v>
      </c>
      <c r="E269" s="1">
        <v>95765</v>
      </c>
      <c r="F269" s="1">
        <v>95765</v>
      </c>
      <c r="G269" s="8">
        <v>42198</v>
      </c>
      <c r="H269" s="1" t="s">
        <v>37</v>
      </c>
      <c r="I269" s="1">
        <v>1</v>
      </c>
      <c r="J269" s="1">
        <v>3</v>
      </c>
      <c r="K269" s="1">
        <v>0</v>
      </c>
      <c r="L269" s="1" t="s">
        <v>54</v>
      </c>
      <c r="M269" s="1">
        <v>0</v>
      </c>
      <c r="N269" s="1">
        <v>0</v>
      </c>
      <c r="O269" s="1">
        <v>0</v>
      </c>
      <c r="P269" s="11" t="str">
        <f t="shared" ref="P269:Q332" si="4">IF(I269=M269,"平",IF(I269&gt;M269,"胜","负"))</f>
        <v>胜</v>
      </c>
      <c r="Q269" s="11" t="str">
        <f t="shared" si="4"/>
        <v>胜</v>
      </c>
    </row>
    <row r="270" spans="4:17" customFormat="1" hidden="1" x14ac:dyDescent="0.15">
      <c r="D270" t="s">
        <v>6</v>
      </c>
      <c r="E270" s="1">
        <v>95766</v>
      </c>
      <c r="F270" s="1">
        <v>95766</v>
      </c>
      <c r="G270" s="8">
        <v>42198</v>
      </c>
      <c r="H270" s="1" t="s">
        <v>53</v>
      </c>
      <c r="I270" s="1">
        <v>1</v>
      </c>
      <c r="J270" s="1">
        <v>2</v>
      </c>
      <c r="K270" s="1">
        <v>0</v>
      </c>
      <c r="L270" s="1" t="s">
        <v>36</v>
      </c>
      <c r="M270" s="1">
        <v>1</v>
      </c>
      <c r="N270" s="1">
        <v>1</v>
      </c>
      <c r="O270" s="1">
        <v>0</v>
      </c>
      <c r="P270" s="11" t="str">
        <f t="shared" si="4"/>
        <v>平</v>
      </c>
      <c r="Q270" s="11" t="str">
        <f t="shared" si="4"/>
        <v>胜</v>
      </c>
    </row>
    <row r="271" spans="4:17" customFormat="1" hidden="1" x14ac:dyDescent="0.15">
      <c r="D271" t="s">
        <v>6</v>
      </c>
      <c r="E271" s="1">
        <v>95768</v>
      </c>
      <c r="F271" s="1">
        <v>95768</v>
      </c>
      <c r="G271" s="8">
        <v>42198.084027777775</v>
      </c>
      <c r="H271" s="1" t="s">
        <v>44</v>
      </c>
      <c r="I271" s="1">
        <v>0</v>
      </c>
      <c r="J271" s="1">
        <v>1</v>
      </c>
      <c r="K271" s="1">
        <v>0</v>
      </c>
      <c r="L271" s="1" t="s">
        <v>40</v>
      </c>
      <c r="M271" s="1">
        <v>0</v>
      </c>
      <c r="N271" s="1">
        <v>2</v>
      </c>
      <c r="O271" s="1">
        <v>0</v>
      </c>
      <c r="P271" s="11" t="str">
        <f t="shared" si="4"/>
        <v>平</v>
      </c>
      <c r="Q271" s="11" t="str">
        <f t="shared" si="4"/>
        <v>负</v>
      </c>
    </row>
    <row r="272" spans="4:17" customFormat="1" hidden="1" x14ac:dyDescent="0.15">
      <c r="D272" t="s">
        <v>6</v>
      </c>
      <c r="E272" s="1">
        <v>95841</v>
      </c>
      <c r="F272" s="1">
        <v>95841</v>
      </c>
      <c r="G272" s="8">
        <v>42196.041666666664</v>
      </c>
      <c r="H272" s="1" t="s">
        <v>38</v>
      </c>
      <c r="I272" s="1">
        <v>0</v>
      </c>
      <c r="J272" s="1">
        <v>0</v>
      </c>
      <c r="K272" s="1">
        <v>0</v>
      </c>
      <c r="L272" s="1" t="s">
        <v>48</v>
      </c>
      <c r="M272" s="1">
        <v>1</v>
      </c>
      <c r="N272" s="1">
        <v>1</v>
      </c>
      <c r="O272" s="1">
        <v>0</v>
      </c>
      <c r="P272" s="11" t="str">
        <f t="shared" si="4"/>
        <v>负</v>
      </c>
      <c r="Q272" s="11" t="str">
        <f t="shared" si="4"/>
        <v>负</v>
      </c>
    </row>
    <row r="273" spans="4:17" customFormat="1" hidden="1" x14ac:dyDescent="0.15">
      <c r="D273" t="s">
        <v>6</v>
      </c>
      <c r="E273" s="1">
        <v>96016</v>
      </c>
      <c r="F273" s="1">
        <v>96016</v>
      </c>
      <c r="G273" s="8">
        <v>42197.896527777775</v>
      </c>
      <c r="H273" s="1" t="s">
        <v>42</v>
      </c>
      <c r="I273" s="1">
        <v>0</v>
      </c>
      <c r="J273" s="1">
        <v>0</v>
      </c>
      <c r="K273" s="1">
        <v>0</v>
      </c>
      <c r="L273" s="1" t="s">
        <v>41</v>
      </c>
      <c r="M273" s="1">
        <v>0</v>
      </c>
      <c r="N273" s="1">
        <v>0</v>
      </c>
      <c r="O273" s="1">
        <v>0</v>
      </c>
      <c r="P273" s="11" t="str">
        <f t="shared" si="4"/>
        <v>平</v>
      </c>
      <c r="Q273" s="11" t="str">
        <f t="shared" si="4"/>
        <v>平</v>
      </c>
    </row>
    <row r="274" spans="4:17" customFormat="1" hidden="1" x14ac:dyDescent="0.15">
      <c r="D274" t="s">
        <v>6</v>
      </c>
      <c r="E274" s="1">
        <v>96287</v>
      </c>
      <c r="F274" s="1">
        <v>96287</v>
      </c>
      <c r="G274" s="8">
        <v>42197</v>
      </c>
      <c r="H274" s="1" t="s">
        <v>49</v>
      </c>
      <c r="I274" s="1">
        <v>2</v>
      </c>
      <c r="J274" s="1">
        <v>2</v>
      </c>
      <c r="K274" s="1">
        <v>0</v>
      </c>
      <c r="L274" s="1" t="s">
        <v>52</v>
      </c>
      <c r="M274" s="1">
        <v>0</v>
      </c>
      <c r="N274" s="1">
        <v>0</v>
      </c>
      <c r="O274" s="1">
        <v>0</v>
      </c>
      <c r="P274" s="11" t="str">
        <f t="shared" si="4"/>
        <v>胜</v>
      </c>
      <c r="Q274" s="11" t="str">
        <f t="shared" si="4"/>
        <v>胜</v>
      </c>
    </row>
    <row r="275" spans="4:17" customFormat="1" hidden="1" x14ac:dyDescent="0.15">
      <c r="D275" t="s">
        <v>6</v>
      </c>
      <c r="E275" s="1">
        <v>96396</v>
      </c>
      <c r="F275" s="1">
        <v>96396</v>
      </c>
      <c r="G275" s="8">
        <v>42196.895833333336</v>
      </c>
      <c r="H275" s="1" t="s">
        <v>45</v>
      </c>
      <c r="I275" s="1">
        <v>3</v>
      </c>
      <c r="J275" s="1">
        <v>4</v>
      </c>
      <c r="K275" s="1">
        <v>0</v>
      </c>
      <c r="L275" s="1" t="s">
        <v>43</v>
      </c>
      <c r="M275" s="1">
        <v>0</v>
      </c>
      <c r="N275" s="1">
        <v>1</v>
      </c>
      <c r="O275" s="1">
        <v>0</v>
      </c>
      <c r="P275" s="11" t="str">
        <f t="shared" si="4"/>
        <v>胜</v>
      </c>
      <c r="Q275" s="11" t="str">
        <f t="shared" si="4"/>
        <v>胜</v>
      </c>
    </row>
    <row r="276" spans="4:17" customFormat="1" hidden="1" x14ac:dyDescent="0.15">
      <c r="D276" t="s">
        <v>6</v>
      </c>
      <c r="E276" s="1">
        <v>97590</v>
      </c>
      <c r="F276" s="1">
        <v>97590</v>
      </c>
      <c r="G276" s="8">
        <v>42204</v>
      </c>
      <c r="H276" s="1" t="s">
        <v>38</v>
      </c>
      <c r="I276" s="1">
        <v>1</v>
      </c>
      <c r="J276" s="1">
        <v>1</v>
      </c>
      <c r="K276" s="1">
        <v>0</v>
      </c>
      <c r="L276" s="1" t="s">
        <v>32</v>
      </c>
      <c r="M276" s="1">
        <v>2</v>
      </c>
      <c r="N276" s="1">
        <v>2</v>
      </c>
      <c r="O276" s="1">
        <v>0</v>
      </c>
      <c r="P276" s="11" t="str">
        <f t="shared" si="4"/>
        <v>负</v>
      </c>
      <c r="Q276" s="11" t="str">
        <f t="shared" si="4"/>
        <v>负</v>
      </c>
    </row>
    <row r="277" spans="4:17" customFormat="1" hidden="1" x14ac:dyDescent="0.15">
      <c r="D277" t="s">
        <v>6</v>
      </c>
      <c r="E277" s="1">
        <v>98724</v>
      </c>
      <c r="F277" s="1">
        <v>98724</v>
      </c>
      <c r="G277" s="8">
        <v>42210.040972222225</v>
      </c>
      <c r="H277" s="1" t="s">
        <v>36</v>
      </c>
      <c r="I277" s="1">
        <v>0</v>
      </c>
      <c r="J277" s="1">
        <v>0</v>
      </c>
      <c r="K277" s="1">
        <v>0</v>
      </c>
      <c r="L277" s="1" t="s">
        <v>45</v>
      </c>
      <c r="M277" s="1">
        <v>3</v>
      </c>
      <c r="N277" s="1">
        <v>3</v>
      </c>
      <c r="O277" s="1">
        <v>0</v>
      </c>
      <c r="P277" s="11" t="str">
        <f t="shared" si="4"/>
        <v>负</v>
      </c>
      <c r="Q277" s="11" t="str">
        <f t="shared" si="4"/>
        <v>负</v>
      </c>
    </row>
    <row r="278" spans="4:17" x14ac:dyDescent="0.15">
      <c r="D278" s="2" t="s">
        <v>6</v>
      </c>
      <c r="E278" s="6">
        <v>99064</v>
      </c>
      <c r="F278" s="6">
        <v>99064</v>
      </c>
      <c r="G278" s="24">
        <v>42211.895833333336</v>
      </c>
      <c r="H278" s="6" t="s">
        <v>32</v>
      </c>
      <c r="I278" s="6">
        <v>0</v>
      </c>
      <c r="J278" s="6">
        <v>1</v>
      </c>
      <c r="K278" s="6">
        <v>0</v>
      </c>
      <c r="L278" s="6" t="s">
        <v>43</v>
      </c>
      <c r="M278" s="6">
        <v>0</v>
      </c>
      <c r="N278" s="6">
        <v>0</v>
      </c>
      <c r="O278" s="6">
        <v>0</v>
      </c>
      <c r="P278" s="11" t="str">
        <f t="shared" si="4"/>
        <v>平</v>
      </c>
      <c r="Q278" s="11" t="str">
        <f t="shared" si="4"/>
        <v>胜</v>
      </c>
    </row>
    <row r="279" spans="4:17" customFormat="1" hidden="1" x14ac:dyDescent="0.15">
      <c r="D279" t="s">
        <v>6</v>
      </c>
      <c r="E279" s="1">
        <v>99075</v>
      </c>
      <c r="F279" s="1">
        <v>99075</v>
      </c>
      <c r="G279" s="8">
        <v>42212</v>
      </c>
      <c r="H279" s="1" t="s">
        <v>41</v>
      </c>
      <c r="I279" s="1">
        <v>1</v>
      </c>
      <c r="J279" s="1">
        <v>2</v>
      </c>
      <c r="K279" s="1">
        <v>0</v>
      </c>
      <c r="L279" s="1" t="s">
        <v>51</v>
      </c>
      <c r="M279" s="1">
        <v>0</v>
      </c>
      <c r="N279" s="1">
        <v>2</v>
      </c>
      <c r="O279" s="1">
        <v>0</v>
      </c>
      <c r="P279" s="11" t="str">
        <f t="shared" si="4"/>
        <v>胜</v>
      </c>
      <c r="Q279" s="11" t="str">
        <f t="shared" si="4"/>
        <v>平</v>
      </c>
    </row>
    <row r="280" spans="4:17" customFormat="1" hidden="1" x14ac:dyDescent="0.15">
      <c r="D280" t="s">
        <v>6</v>
      </c>
      <c r="E280" s="1">
        <v>99076</v>
      </c>
      <c r="F280" s="1">
        <v>99076</v>
      </c>
      <c r="G280" s="8">
        <v>42211.999305555553</v>
      </c>
      <c r="H280" s="1" t="s">
        <v>54</v>
      </c>
      <c r="I280" s="1">
        <v>2</v>
      </c>
      <c r="J280" s="1">
        <v>3</v>
      </c>
      <c r="K280" s="1">
        <v>0</v>
      </c>
      <c r="L280" s="1" t="s">
        <v>53</v>
      </c>
      <c r="M280" s="1">
        <v>1</v>
      </c>
      <c r="N280" s="1">
        <v>2</v>
      </c>
      <c r="O280" s="1">
        <v>0</v>
      </c>
      <c r="P280" s="11" t="str">
        <f t="shared" si="4"/>
        <v>胜</v>
      </c>
      <c r="Q280" s="11" t="str">
        <f t="shared" si="4"/>
        <v>胜</v>
      </c>
    </row>
    <row r="281" spans="4:17" customFormat="1" hidden="1" x14ac:dyDescent="0.15">
      <c r="D281" t="s">
        <v>6</v>
      </c>
      <c r="E281" s="1">
        <v>99083</v>
      </c>
      <c r="F281" s="1">
        <v>99083</v>
      </c>
      <c r="G281" s="8">
        <v>42212.083333333336</v>
      </c>
      <c r="H281" s="1" t="s">
        <v>52</v>
      </c>
      <c r="I281" s="1">
        <v>0</v>
      </c>
      <c r="J281" s="1">
        <v>1</v>
      </c>
      <c r="K281" s="1">
        <v>0</v>
      </c>
      <c r="L281" s="1" t="s">
        <v>37</v>
      </c>
      <c r="M281" s="1">
        <v>2</v>
      </c>
      <c r="N281" s="1">
        <v>2</v>
      </c>
      <c r="O281" s="1">
        <v>0</v>
      </c>
      <c r="P281" s="11" t="str">
        <f t="shared" si="4"/>
        <v>负</v>
      </c>
      <c r="Q281" s="11" t="str">
        <f t="shared" si="4"/>
        <v>负</v>
      </c>
    </row>
    <row r="282" spans="4:17" customFormat="1" hidden="1" x14ac:dyDescent="0.15">
      <c r="D282" t="s">
        <v>6</v>
      </c>
      <c r="E282" s="1">
        <v>99109</v>
      </c>
      <c r="F282" s="1">
        <v>99109</v>
      </c>
      <c r="G282" s="8">
        <v>42213.043055555558</v>
      </c>
      <c r="H282" s="1" t="s">
        <v>49</v>
      </c>
      <c r="I282" s="1">
        <v>0</v>
      </c>
      <c r="J282" s="1">
        <v>2</v>
      </c>
      <c r="K282" s="1">
        <v>0</v>
      </c>
      <c r="L282" s="1" t="s">
        <v>44</v>
      </c>
      <c r="M282" s="1">
        <v>0</v>
      </c>
      <c r="N282" s="1">
        <v>0</v>
      </c>
      <c r="O282" s="1">
        <v>0</v>
      </c>
      <c r="P282" s="11" t="str">
        <f t="shared" si="4"/>
        <v>平</v>
      </c>
      <c r="Q282" s="11" t="str">
        <f t="shared" si="4"/>
        <v>胜</v>
      </c>
    </row>
    <row r="283" spans="4:17" customFormat="1" hidden="1" x14ac:dyDescent="0.15">
      <c r="D283" t="s">
        <v>6</v>
      </c>
      <c r="E283" s="1">
        <v>100617</v>
      </c>
      <c r="F283" s="1">
        <v>100617</v>
      </c>
      <c r="G283" s="8">
        <v>42217.041666666664</v>
      </c>
      <c r="H283" s="1" t="s">
        <v>45</v>
      </c>
      <c r="I283" s="1">
        <v>0</v>
      </c>
      <c r="J283" s="1">
        <v>0</v>
      </c>
      <c r="K283" s="1">
        <v>0</v>
      </c>
      <c r="L283" s="1" t="s">
        <v>48</v>
      </c>
      <c r="M283" s="1">
        <v>0</v>
      </c>
      <c r="N283" s="1">
        <v>1</v>
      </c>
      <c r="O283" s="1">
        <v>0</v>
      </c>
      <c r="P283" s="11" t="str">
        <f t="shared" si="4"/>
        <v>平</v>
      </c>
      <c r="Q283" s="11" t="str">
        <f t="shared" si="4"/>
        <v>负</v>
      </c>
    </row>
    <row r="284" spans="4:17" customFormat="1" hidden="1" x14ac:dyDescent="0.15">
      <c r="D284" t="s">
        <v>6</v>
      </c>
      <c r="E284" s="1">
        <v>100635</v>
      </c>
      <c r="F284" s="1">
        <v>100635</v>
      </c>
      <c r="G284" s="8">
        <v>42218</v>
      </c>
      <c r="H284" s="1" t="s">
        <v>42</v>
      </c>
      <c r="I284" s="1">
        <v>1</v>
      </c>
      <c r="J284" s="1">
        <v>2</v>
      </c>
      <c r="K284" s="1">
        <v>0</v>
      </c>
      <c r="L284" s="1" t="s">
        <v>49</v>
      </c>
      <c r="M284" s="1">
        <v>0</v>
      </c>
      <c r="N284" s="1">
        <v>0</v>
      </c>
      <c r="O284" s="1">
        <v>0</v>
      </c>
      <c r="P284" s="11" t="str">
        <f t="shared" si="4"/>
        <v>胜</v>
      </c>
      <c r="Q284" s="11" t="str">
        <f t="shared" si="4"/>
        <v>胜</v>
      </c>
    </row>
    <row r="285" spans="4:17" customFormat="1" hidden="1" x14ac:dyDescent="0.15">
      <c r="D285" t="s">
        <v>6</v>
      </c>
      <c r="E285" s="1">
        <v>100678</v>
      </c>
      <c r="F285" s="1">
        <v>100678</v>
      </c>
      <c r="G285" s="8">
        <v>42219</v>
      </c>
      <c r="H285" s="1" t="s">
        <v>53</v>
      </c>
      <c r="I285" s="1">
        <v>0</v>
      </c>
      <c r="J285" s="1">
        <v>0</v>
      </c>
      <c r="K285" s="1">
        <v>0</v>
      </c>
      <c r="L285" s="1" t="s">
        <v>40</v>
      </c>
      <c r="M285" s="1">
        <v>2</v>
      </c>
      <c r="N285" s="1">
        <v>6</v>
      </c>
      <c r="O285" s="1">
        <v>0</v>
      </c>
      <c r="P285" s="11" t="str">
        <f t="shared" si="4"/>
        <v>负</v>
      </c>
      <c r="Q285" s="11" t="str">
        <f t="shared" si="4"/>
        <v>负</v>
      </c>
    </row>
    <row r="286" spans="4:17" customFormat="1" hidden="1" x14ac:dyDescent="0.15">
      <c r="D286" t="s">
        <v>6</v>
      </c>
      <c r="E286" s="1">
        <v>100679</v>
      </c>
      <c r="F286" s="1">
        <v>100679</v>
      </c>
      <c r="G286" s="8">
        <v>42218.999305555553</v>
      </c>
      <c r="H286" s="1" t="s">
        <v>43</v>
      </c>
      <c r="I286" s="1">
        <v>0</v>
      </c>
      <c r="J286" s="1">
        <v>2</v>
      </c>
      <c r="K286" s="1">
        <v>0</v>
      </c>
      <c r="L286" s="1" t="s">
        <v>36</v>
      </c>
      <c r="M286" s="1">
        <v>0</v>
      </c>
      <c r="N286" s="1">
        <v>0</v>
      </c>
      <c r="O286" s="1">
        <v>0</v>
      </c>
      <c r="P286" s="11" t="str">
        <f t="shared" si="4"/>
        <v>平</v>
      </c>
      <c r="Q286" s="11" t="str">
        <f t="shared" si="4"/>
        <v>胜</v>
      </c>
    </row>
    <row r="287" spans="4:17" customFormat="1" hidden="1" x14ac:dyDescent="0.15">
      <c r="D287" t="s">
        <v>6</v>
      </c>
      <c r="E287" s="1">
        <v>100680</v>
      </c>
      <c r="F287" s="1">
        <v>100680</v>
      </c>
      <c r="G287" s="8">
        <v>42219</v>
      </c>
      <c r="H287" s="1" t="s">
        <v>44</v>
      </c>
      <c r="I287" s="1">
        <v>3</v>
      </c>
      <c r="J287" s="1">
        <v>3</v>
      </c>
      <c r="K287" s="1">
        <v>0</v>
      </c>
      <c r="L287" s="1" t="s">
        <v>52</v>
      </c>
      <c r="M287" s="1">
        <v>1</v>
      </c>
      <c r="N287" s="1">
        <v>2</v>
      </c>
      <c r="O287" s="1">
        <v>0</v>
      </c>
      <c r="P287" s="11" t="str">
        <f t="shared" si="4"/>
        <v>胜</v>
      </c>
      <c r="Q287" s="11" t="str">
        <f t="shared" si="4"/>
        <v>胜</v>
      </c>
    </row>
    <row r="288" spans="4:17" customFormat="1" hidden="1" x14ac:dyDescent="0.15">
      <c r="D288" t="s">
        <v>6</v>
      </c>
      <c r="E288" s="1">
        <v>100687</v>
      </c>
      <c r="F288" s="1">
        <v>100687</v>
      </c>
      <c r="G288" s="8">
        <v>42219.083333333336</v>
      </c>
      <c r="H288" s="1" t="s">
        <v>37</v>
      </c>
      <c r="I288" s="1">
        <v>0</v>
      </c>
      <c r="J288" s="1">
        <v>3</v>
      </c>
      <c r="K288" s="1">
        <v>0</v>
      </c>
      <c r="L288" s="1" t="s">
        <v>41</v>
      </c>
      <c r="M288" s="1">
        <v>1</v>
      </c>
      <c r="N288" s="1">
        <v>2</v>
      </c>
      <c r="O288" s="1">
        <v>0</v>
      </c>
      <c r="P288" s="11" t="str">
        <f t="shared" si="4"/>
        <v>负</v>
      </c>
      <c r="Q288" s="11" t="str">
        <f t="shared" si="4"/>
        <v>胜</v>
      </c>
    </row>
    <row r="289" spans="4:17" customFormat="1" hidden="1" x14ac:dyDescent="0.15">
      <c r="D289" t="s">
        <v>6</v>
      </c>
      <c r="E289" s="1">
        <v>100714</v>
      </c>
      <c r="F289" s="1">
        <v>100714</v>
      </c>
      <c r="G289" s="8">
        <v>42218.895833333336</v>
      </c>
      <c r="H289" s="1" t="s">
        <v>51</v>
      </c>
      <c r="I289" s="1">
        <v>1</v>
      </c>
      <c r="J289" s="1">
        <v>3</v>
      </c>
      <c r="K289" s="1">
        <v>0</v>
      </c>
      <c r="L289" s="1" t="s">
        <v>54</v>
      </c>
      <c r="M289" s="1">
        <v>3</v>
      </c>
      <c r="N289" s="1">
        <v>6</v>
      </c>
      <c r="O289" s="1">
        <v>0</v>
      </c>
      <c r="P289" s="11" t="str">
        <f t="shared" si="4"/>
        <v>负</v>
      </c>
      <c r="Q289" s="11" t="str">
        <f t="shared" si="4"/>
        <v>负</v>
      </c>
    </row>
    <row r="290" spans="4:17" customFormat="1" hidden="1" x14ac:dyDescent="0.15">
      <c r="D290" t="s">
        <v>6</v>
      </c>
      <c r="E290" s="1">
        <v>102737</v>
      </c>
      <c r="F290" s="1">
        <v>102737</v>
      </c>
      <c r="G290" s="8">
        <v>42225</v>
      </c>
      <c r="H290" s="1" t="s">
        <v>41</v>
      </c>
      <c r="I290" s="1">
        <v>0</v>
      </c>
      <c r="J290" s="1">
        <v>0</v>
      </c>
      <c r="K290" s="1">
        <v>0</v>
      </c>
      <c r="L290" s="1" t="s">
        <v>45</v>
      </c>
      <c r="M290" s="1">
        <v>1</v>
      </c>
      <c r="N290" s="1">
        <v>2</v>
      </c>
      <c r="O290" s="1">
        <v>0</v>
      </c>
      <c r="P290" s="11" t="str">
        <f t="shared" si="4"/>
        <v>负</v>
      </c>
      <c r="Q290" s="11" t="str">
        <f t="shared" si="4"/>
        <v>负</v>
      </c>
    </row>
    <row r="291" spans="4:17" x14ac:dyDescent="0.15">
      <c r="D291" s="2" t="s">
        <v>6</v>
      </c>
      <c r="E291" s="6">
        <v>102768</v>
      </c>
      <c r="F291" s="6">
        <v>102768</v>
      </c>
      <c r="G291" s="24">
        <v>42226</v>
      </c>
      <c r="H291" s="6" t="s">
        <v>32</v>
      </c>
      <c r="I291" s="6">
        <v>2</v>
      </c>
      <c r="J291" s="6">
        <v>5</v>
      </c>
      <c r="K291" s="6">
        <v>0</v>
      </c>
      <c r="L291" s="6" t="s">
        <v>36</v>
      </c>
      <c r="M291" s="6">
        <v>1</v>
      </c>
      <c r="N291" s="6">
        <v>1</v>
      </c>
      <c r="O291" s="6">
        <v>0</v>
      </c>
      <c r="P291" s="11" t="str">
        <f t="shared" si="4"/>
        <v>胜</v>
      </c>
      <c r="Q291" s="11" t="str">
        <f t="shared" si="4"/>
        <v>胜</v>
      </c>
    </row>
    <row r="292" spans="4:17" customFormat="1" hidden="1" x14ac:dyDescent="0.15">
      <c r="D292" t="s">
        <v>6</v>
      </c>
      <c r="E292" s="1">
        <v>102777</v>
      </c>
      <c r="F292" s="1">
        <v>102777</v>
      </c>
      <c r="G292" s="8">
        <v>42225.999305555553</v>
      </c>
      <c r="H292" s="1" t="s">
        <v>48</v>
      </c>
      <c r="I292" s="1">
        <v>2</v>
      </c>
      <c r="J292" s="1">
        <v>3</v>
      </c>
      <c r="K292" s="1">
        <v>0</v>
      </c>
      <c r="L292" s="1" t="s">
        <v>43</v>
      </c>
      <c r="M292" s="1">
        <v>0</v>
      </c>
      <c r="N292" s="1">
        <v>1</v>
      </c>
      <c r="O292" s="1">
        <v>0</v>
      </c>
      <c r="P292" s="11" t="str">
        <f t="shared" si="4"/>
        <v>胜</v>
      </c>
      <c r="Q292" s="11" t="str">
        <f t="shared" si="4"/>
        <v>胜</v>
      </c>
    </row>
    <row r="293" spans="4:17" customFormat="1" hidden="1" x14ac:dyDescent="0.15">
      <c r="D293" t="s">
        <v>6</v>
      </c>
      <c r="E293" s="1">
        <v>102791</v>
      </c>
      <c r="F293" s="1">
        <v>102791</v>
      </c>
      <c r="G293" s="8">
        <v>42226.000694444447</v>
      </c>
      <c r="H293" s="1" t="s">
        <v>40</v>
      </c>
      <c r="I293" s="1">
        <v>0</v>
      </c>
      <c r="J293" s="1">
        <v>0</v>
      </c>
      <c r="K293" s="1">
        <v>0</v>
      </c>
      <c r="L293" s="1" t="s">
        <v>42</v>
      </c>
      <c r="M293" s="1">
        <v>0</v>
      </c>
      <c r="N293" s="1">
        <v>2</v>
      </c>
      <c r="O293" s="1">
        <v>0</v>
      </c>
      <c r="P293" s="11" t="str">
        <f t="shared" si="4"/>
        <v>平</v>
      </c>
      <c r="Q293" s="11" t="str">
        <f t="shared" si="4"/>
        <v>负</v>
      </c>
    </row>
    <row r="294" spans="4:17" customFormat="1" hidden="1" x14ac:dyDescent="0.15">
      <c r="D294" t="s">
        <v>6</v>
      </c>
      <c r="E294" s="1">
        <v>102792</v>
      </c>
      <c r="F294" s="1">
        <v>102792</v>
      </c>
      <c r="G294" s="8">
        <v>42226.083333333336</v>
      </c>
      <c r="H294" s="1" t="s">
        <v>54</v>
      </c>
      <c r="I294" s="1">
        <v>0</v>
      </c>
      <c r="J294" s="1">
        <v>2</v>
      </c>
      <c r="K294" s="1">
        <v>0</v>
      </c>
      <c r="L294" s="1" t="s">
        <v>38</v>
      </c>
      <c r="M294" s="1">
        <v>2</v>
      </c>
      <c r="N294" s="1">
        <v>2</v>
      </c>
      <c r="O294" s="1">
        <v>0</v>
      </c>
      <c r="P294" s="11" t="str">
        <f t="shared" si="4"/>
        <v>负</v>
      </c>
      <c r="Q294" s="11" t="str">
        <f t="shared" si="4"/>
        <v>平</v>
      </c>
    </row>
    <row r="295" spans="4:17" customFormat="1" hidden="1" x14ac:dyDescent="0.15">
      <c r="D295" t="s">
        <v>6</v>
      </c>
      <c r="E295" s="1">
        <v>102793</v>
      </c>
      <c r="F295" s="1">
        <v>102793</v>
      </c>
      <c r="G295" s="8">
        <v>42226</v>
      </c>
      <c r="H295" s="1" t="s">
        <v>44</v>
      </c>
      <c r="I295" s="1">
        <v>0</v>
      </c>
      <c r="J295" s="1">
        <v>0</v>
      </c>
      <c r="K295" s="1">
        <v>0</v>
      </c>
      <c r="L295" s="1" t="s">
        <v>37</v>
      </c>
      <c r="M295" s="1">
        <v>2</v>
      </c>
      <c r="N295" s="1">
        <v>5</v>
      </c>
      <c r="O295" s="1">
        <v>0</v>
      </c>
      <c r="P295" s="11" t="str">
        <f t="shared" si="4"/>
        <v>负</v>
      </c>
      <c r="Q295" s="11" t="str">
        <f t="shared" si="4"/>
        <v>负</v>
      </c>
    </row>
    <row r="296" spans="4:17" customFormat="1" hidden="1" x14ac:dyDescent="0.15">
      <c r="D296" t="s">
        <v>6</v>
      </c>
      <c r="E296" s="1">
        <v>102886</v>
      </c>
      <c r="F296" s="1">
        <v>102886</v>
      </c>
      <c r="G296" s="8">
        <v>42224.040972222225</v>
      </c>
      <c r="H296" s="1" t="s">
        <v>52</v>
      </c>
      <c r="I296" s="1">
        <v>1</v>
      </c>
      <c r="J296" s="1">
        <v>2</v>
      </c>
      <c r="K296" s="1">
        <v>0</v>
      </c>
      <c r="L296" s="1" t="s">
        <v>51</v>
      </c>
      <c r="M296" s="1">
        <v>1</v>
      </c>
      <c r="N296" s="1">
        <v>1</v>
      </c>
      <c r="O296" s="1">
        <v>0</v>
      </c>
      <c r="P296" s="11" t="str">
        <f t="shared" si="4"/>
        <v>平</v>
      </c>
      <c r="Q296" s="11" t="str">
        <f t="shared" si="4"/>
        <v>胜</v>
      </c>
    </row>
    <row r="297" spans="4:17" customFormat="1" hidden="1" x14ac:dyDescent="0.15">
      <c r="D297" t="s">
        <v>6</v>
      </c>
      <c r="E297" s="1">
        <v>102907</v>
      </c>
      <c r="F297" s="1">
        <v>102907</v>
      </c>
      <c r="G297" s="8">
        <v>42224.041666666664</v>
      </c>
      <c r="H297" s="1" t="s">
        <v>49</v>
      </c>
      <c r="I297" s="1">
        <v>1</v>
      </c>
      <c r="J297" s="1">
        <v>1</v>
      </c>
      <c r="K297" s="1">
        <v>0</v>
      </c>
      <c r="L297" s="1" t="s">
        <v>53</v>
      </c>
      <c r="M297" s="1">
        <v>0</v>
      </c>
      <c r="N297" s="1">
        <v>0</v>
      </c>
      <c r="O297" s="1">
        <v>0</v>
      </c>
      <c r="P297" s="11" t="str">
        <f t="shared" si="4"/>
        <v>胜</v>
      </c>
      <c r="Q297" s="11" t="str">
        <f t="shared" si="4"/>
        <v>胜</v>
      </c>
    </row>
    <row r="298" spans="4:17" customFormat="1" hidden="1" x14ac:dyDescent="0.15">
      <c r="D298" t="s">
        <v>6</v>
      </c>
      <c r="E298" s="1">
        <v>122353</v>
      </c>
      <c r="F298" s="1">
        <v>122353</v>
      </c>
      <c r="G298" s="8">
        <v>42233</v>
      </c>
      <c r="H298" s="1" t="s">
        <v>53</v>
      </c>
      <c r="I298" s="1">
        <v>0</v>
      </c>
      <c r="J298" s="1">
        <v>1</v>
      </c>
      <c r="K298" s="1">
        <v>0</v>
      </c>
      <c r="L298" s="1" t="s">
        <v>52</v>
      </c>
      <c r="M298" s="1">
        <v>1</v>
      </c>
      <c r="N298" s="1">
        <v>1</v>
      </c>
      <c r="O298" s="1">
        <v>0</v>
      </c>
      <c r="P298" s="11" t="str">
        <f t="shared" si="4"/>
        <v>负</v>
      </c>
      <c r="Q298" s="11" t="str">
        <f t="shared" si="4"/>
        <v>平</v>
      </c>
    </row>
    <row r="299" spans="4:17" customFormat="1" hidden="1" x14ac:dyDescent="0.15">
      <c r="D299" t="s">
        <v>6</v>
      </c>
      <c r="E299" s="1">
        <v>122366</v>
      </c>
      <c r="F299" s="1">
        <v>122366</v>
      </c>
      <c r="G299" s="8">
        <v>42231.895833333336</v>
      </c>
      <c r="H299" s="1" t="s">
        <v>38</v>
      </c>
      <c r="I299" s="1">
        <v>0</v>
      </c>
      <c r="J299" s="1">
        <v>0</v>
      </c>
      <c r="K299" s="1">
        <v>0</v>
      </c>
      <c r="L299" s="1" t="s">
        <v>41</v>
      </c>
      <c r="M299" s="1">
        <v>0</v>
      </c>
      <c r="N299" s="1">
        <v>0</v>
      </c>
      <c r="O299" s="1">
        <v>0</v>
      </c>
      <c r="P299" s="11" t="str">
        <f t="shared" si="4"/>
        <v>平</v>
      </c>
      <c r="Q299" s="11" t="str">
        <f t="shared" si="4"/>
        <v>平</v>
      </c>
    </row>
    <row r="300" spans="4:17" customFormat="1" hidden="1" x14ac:dyDescent="0.15">
      <c r="D300" t="s">
        <v>6</v>
      </c>
      <c r="E300" s="1">
        <v>122375</v>
      </c>
      <c r="F300" s="1">
        <v>122375</v>
      </c>
      <c r="G300" s="8">
        <v>42232.895138888889</v>
      </c>
      <c r="H300" s="1" t="s">
        <v>36</v>
      </c>
      <c r="I300" s="1">
        <v>0</v>
      </c>
      <c r="J300" s="1">
        <v>0</v>
      </c>
      <c r="K300" s="1">
        <v>0</v>
      </c>
      <c r="L300" s="1" t="s">
        <v>54</v>
      </c>
      <c r="M300" s="1">
        <v>3</v>
      </c>
      <c r="N300" s="1">
        <v>4</v>
      </c>
      <c r="O300" s="1">
        <v>0</v>
      </c>
      <c r="P300" s="11" t="str">
        <f t="shared" si="4"/>
        <v>负</v>
      </c>
      <c r="Q300" s="11" t="str">
        <f t="shared" si="4"/>
        <v>负</v>
      </c>
    </row>
    <row r="301" spans="4:17" customFormat="1" hidden="1" x14ac:dyDescent="0.15">
      <c r="D301" t="s">
        <v>6</v>
      </c>
      <c r="E301" s="1">
        <v>122376</v>
      </c>
      <c r="F301" s="1">
        <v>122376</v>
      </c>
      <c r="G301" s="8">
        <v>42233</v>
      </c>
      <c r="H301" s="1" t="s">
        <v>51</v>
      </c>
      <c r="I301" s="1">
        <v>0</v>
      </c>
      <c r="J301" s="1">
        <v>2</v>
      </c>
      <c r="K301" s="1">
        <v>0</v>
      </c>
      <c r="L301" s="1" t="s">
        <v>48</v>
      </c>
      <c r="M301" s="1">
        <v>1</v>
      </c>
      <c r="N301" s="1">
        <v>1</v>
      </c>
      <c r="O301" s="1">
        <v>0</v>
      </c>
      <c r="P301" s="11" t="str">
        <f t="shared" si="4"/>
        <v>负</v>
      </c>
      <c r="Q301" s="11" t="str">
        <f t="shared" si="4"/>
        <v>胜</v>
      </c>
    </row>
    <row r="302" spans="4:17" customFormat="1" hidden="1" x14ac:dyDescent="0.15">
      <c r="D302" t="s">
        <v>6</v>
      </c>
      <c r="E302" s="1">
        <v>122388</v>
      </c>
      <c r="F302" s="1">
        <v>122388</v>
      </c>
      <c r="G302" s="8">
        <v>42232</v>
      </c>
      <c r="H302" s="1" t="s">
        <v>45</v>
      </c>
      <c r="I302" s="1">
        <v>0</v>
      </c>
      <c r="J302" s="1">
        <v>2</v>
      </c>
      <c r="K302" s="1">
        <v>0</v>
      </c>
      <c r="L302" s="1" t="s">
        <v>32</v>
      </c>
      <c r="M302" s="1">
        <v>0</v>
      </c>
      <c r="N302" s="1">
        <v>1</v>
      </c>
      <c r="O302" s="1">
        <v>0</v>
      </c>
      <c r="P302" s="11" t="str">
        <f t="shared" si="4"/>
        <v>平</v>
      </c>
      <c r="Q302" s="11" t="str">
        <f t="shared" si="4"/>
        <v>胜</v>
      </c>
    </row>
    <row r="303" spans="4:17" customFormat="1" hidden="1" x14ac:dyDescent="0.15">
      <c r="D303" t="s">
        <v>6</v>
      </c>
      <c r="E303" s="1">
        <v>122392</v>
      </c>
      <c r="F303" s="1">
        <v>122392</v>
      </c>
      <c r="G303" s="8">
        <v>42231.041666666664</v>
      </c>
      <c r="H303" s="1" t="s">
        <v>43</v>
      </c>
      <c r="I303" s="1">
        <v>1</v>
      </c>
      <c r="J303" s="1">
        <v>2</v>
      </c>
      <c r="K303" s="1">
        <v>0</v>
      </c>
      <c r="L303" s="1" t="s">
        <v>40</v>
      </c>
      <c r="M303" s="1">
        <v>0</v>
      </c>
      <c r="N303" s="1">
        <v>1</v>
      </c>
      <c r="O303" s="1">
        <v>0</v>
      </c>
      <c r="P303" s="11" t="str">
        <f t="shared" si="4"/>
        <v>胜</v>
      </c>
      <c r="Q303" s="11" t="str">
        <f t="shared" si="4"/>
        <v>胜</v>
      </c>
    </row>
    <row r="304" spans="4:17" customFormat="1" hidden="1" x14ac:dyDescent="0.15">
      <c r="D304" t="s">
        <v>6</v>
      </c>
      <c r="E304" s="1">
        <v>122426</v>
      </c>
      <c r="F304" s="1">
        <v>122426</v>
      </c>
      <c r="G304" s="8">
        <v>42233</v>
      </c>
      <c r="H304" s="1" t="s">
        <v>37</v>
      </c>
      <c r="I304" s="1">
        <v>0</v>
      </c>
      <c r="J304" s="1">
        <v>2</v>
      </c>
      <c r="K304" s="1">
        <v>0</v>
      </c>
      <c r="L304" s="1" t="s">
        <v>49</v>
      </c>
      <c r="M304" s="1">
        <v>0</v>
      </c>
      <c r="N304" s="1">
        <v>0</v>
      </c>
      <c r="O304" s="1">
        <v>0</v>
      </c>
      <c r="P304" s="11" t="str">
        <f t="shared" si="4"/>
        <v>平</v>
      </c>
      <c r="Q304" s="11" t="str">
        <f t="shared" si="4"/>
        <v>胜</v>
      </c>
    </row>
    <row r="305" spans="4:17" customFormat="1" hidden="1" x14ac:dyDescent="0.15">
      <c r="D305" t="s">
        <v>6</v>
      </c>
      <c r="E305" s="1">
        <v>122432</v>
      </c>
      <c r="F305" s="1">
        <v>122432</v>
      </c>
      <c r="G305" s="8">
        <v>42233.083333333336</v>
      </c>
      <c r="H305" s="1" t="s">
        <v>42</v>
      </c>
      <c r="I305" s="1">
        <v>0</v>
      </c>
      <c r="J305" s="1">
        <v>3</v>
      </c>
      <c r="K305" s="1">
        <v>0</v>
      </c>
      <c r="L305" s="1" t="s">
        <v>44</v>
      </c>
      <c r="M305" s="1">
        <v>2</v>
      </c>
      <c r="N305" s="1">
        <v>2</v>
      </c>
      <c r="O305" s="1">
        <v>0</v>
      </c>
      <c r="P305" s="11" t="str">
        <f t="shared" si="4"/>
        <v>负</v>
      </c>
      <c r="Q305" s="11" t="str">
        <f t="shared" si="4"/>
        <v>胜</v>
      </c>
    </row>
    <row r="306" spans="4:17" customFormat="1" hidden="1" x14ac:dyDescent="0.15">
      <c r="D306" t="s">
        <v>6</v>
      </c>
      <c r="E306" s="1">
        <v>124554</v>
      </c>
      <c r="F306" s="1">
        <v>124554</v>
      </c>
      <c r="G306" s="8">
        <v>42239.895138888889</v>
      </c>
      <c r="H306" s="1" t="s">
        <v>54</v>
      </c>
      <c r="I306" s="1">
        <v>1</v>
      </c>
      <c r="J306" s="1">
        <v>1</v>
      </c>
      <c r="K306" s="1">
        <v>0</v>
      </c>
      <c r="L306" s="1" t="s">
        <v>45</v>
      </c>
      <c r="M306" s="1">
        <v>0</v>
      </c>
      <c r="N306" s="1">
        <v>0</v>
      </c>
      <c r="O306" s="1">
        <v>0</v>
      </c>
      <c r="P306" s="11" t="str">
        <f t="shared" si="4"/>
        <v>胜</v>
      </c>
      <c r="Q306" s="11" t="str">
        <f t="shared" si="4"/>
        <v>胜</v>
      </c>
    </row>
    <row r="307" spans="4:17" customFormat="1" hidden="1" x14ac:dyDescent="0.15">
      <c r="D307" t="s">
        <v>6</v>
      </c>
      <c r="E307" s="1">
        <v>124599</v>
      </c>
      <c r="F307" s="1">
        <v>124599</v>
      </c>
      <c r="G307" s="8">
        <v>42240</v>
      </c>
      <c r="H307" s="1" t="s">
        <v>40</v>
      </c>
      <c r="I307" s="1">
        <v>1</v>
      </c>
      <c r="J307" s="1">
        <v>2</v>
      </c>
      <c r="K307" s="1">
        <v>0</v>
      </c>
      <c r="L307" s="1" t="s">
        <v>36</v>
      </c>
      <c r="M307" s="1">
        <v>1</v>
      </c>
      <c r="N307" s="1">
        <v>1</v>
      </c>
      <c r="O307" s="1">
        <v>0</v>
      </c>
      <c r="P307" s="11" t="str">
        <f t="shared" si="4"/>
        <v>平</v>
      </c>
      <c r="Q307" s="11" t="str">
        <f t="shared" si="4"/>
        <v>胜</v>
      </c>
    </row>
    <row r="308" spans="4:17" customFormat="1" hidden="1" x14ac:dyDescent="0.15">
      <c r="D308" t="s">
        <v>6</v>
      </c>
      <c r="E308" s="1">
        <v>124605</v>
      </c>
      <c r="F308" s="1">
        <v>124605</v>
      </c>
      <c r="G308" s="8">
        <v>42239.999305555553</v>
      </c>
      <c r="H308" s="1" t="s">
        <v>48</v>
      </c>
      <c r="I308" s="1">
        <v>1</v>
      </c>
      <c r="J308" s="1">
        <v>2</v>
      </c>
      <c r="K308" s="1">
        <v>0</v>
      </c>
      <c r="L308" s="1" t="s">
        <v>32</v>
      </c>
      <c r="M308" s="1">
        <v>2</v>
      </c>
      <c r="N308" s="1">
        <v>4</v>
      </c>
      <c r="O308" s="1">
        <v>0</v>
      </c>
      <c r="P308" s="11" t="str">
        <f t="shared" si="4"/>
        <v>负</v>
      </c>
      <c r="Q308" s="11" t="str">
        <f t="shared" si="4"/>
        <v>负</v>
      </c>
    </row>
    <row r="309" spans="4:17" customFormat="1" hidden="1" x14ac:dyDescent="0.15">
      <c r="D309" t="s">
        <v>6</v>
      </c>
      <c r="E309" s="1">
        <v>124606</v>
      </c>
      <c r="F309" s="1">
        <v>124606</v>
      </c>
      <c r="G309" s="8">
        <v>42240</v>
      </c>
      <c r="H309" s="1" t="s">
        <v>41</v>
      </c>
      <c r="I309" s="1">
        <v>2</v>
      </c>
      <c r="J309" s="1">
        <v>3</v>
      </c>
      <c r="K309" s="1">
        <v>0</v>
      </c>
      <c r="L309" s="1" t="s">
        <v>43</v>
      </c>
      <c r="M309" s="1">
        <v>0</v>
      </c>
      <c r="N309" s="1">
        <v>1</v>
      </c>
      <c r="O309" s="1">
        <v>0</v>
      </c>
      <c r="P309" s="11" t="str">
        <f t="shared" si="4"/>
        <v>胜</v>
      </c>
      <c r="Q309" s="11" t="str">
        <f t="shared" si="4"/>
        <v>胜</v>
      </c>
    </row>
    <row r="310" spans="4:17" customFormat="1" hidden="1" x14ac:dyDescent="0.15">
      <c r="D310" t="s">
        <v>6</v>
      </c>
      <c r="E310" s="1">
        <v>124617</v>
      </c>
      <c r="F310" s="1">
        <v>124617</v>
      </c>
      <c r="G310" s="8">
        <v>42240.083333333336</v>
      </c>
      <c r="H310" s="1" t="s">
        <v>37</v>
      </c>
      <c r="I310" s="1">
        <v>0</v>
      </c>
      <c r="J310" s="1">
        <v>1</v>
      </c>
      <c r="K310" s="1">
        <v>0</v>
      </c>
      <c r="L310" s="1" t="s">
        <v>51</v>
      </c>
      <c r="M310" s="1">
        <v>0</v>
      </c>
      <c r="N310" s="1">
        <v>0</v>
      </c>
      <c r="O310" s="1">
        <v>0</v>
      </c>
      <c r="P310" s="11" t="str">
        <f t="shared" si="4"/>
        <v>平</v>
      </c>
      <c r="Q310" s="11" t="str">
        <f t="shared" si="4"/>
        <v>胜</v>
      </c>
    </row>
    <row r="311" spans="4:17" customFormat="1" hidden="1" x14ac:dyDescent="0.15">
      <c r="D311" t="s">
        <v>6</v>
      </c>
      <c r="E311" s="1">
        <v>124635</v>
      </c>
      <c r="F311" s="1">
        <v>124635</v>
      </c>
      <c r="G311" s="8">
        <v>42238.041666666664</v>
      </c>
      <c r="H311" s="1" t="s">
        <v>44</v>
      </c>
      <c r="I311" s="1">
        <v>0</v>
      </c>
      <c r="J311" s="1">
        <v>1</v>
      </c>
      <c r="K311" s="1">
        <v>0</v>
      </c>
      <c r="L311" s="1" t="s">
        <v>53</v>
      </c>
      <c r="M311" s="1">
        <v>0</v>
      </c>
      <c r="N311" s="1">
        <v>0</v>
      </c>
      <c r="O311" s="1">
        <v>0</v>
      </c>
      <c r="P311" s="11" t="str">
        <f t="shared" si="4"/>
        <v>平</v>
      </c>
      <c r="Q311" s="11" t="str">
        <f t="shared" si="4"/>
        <v>胜</v>
      </c>
    </row>
    <row r="312" spans="4:17" customFormat="1" hidden="1" x14ac:dyDescent="0.15">
      <c r="D312" t="s">
        <v>6</v>
      </c>
      <c r="E312" s="1">
        <v>124801</v>
      </c>
      <c r="F312" s="1">
        <v>124801</v>
      </c>
      <c r="G312" s="8">
        <v>42239.000694444447</v>
      </c>
      <c r="H312" s="1" t="s">
        <v>52</v>
      </c>
      <c r="I312" s="1">
        <v>1</v>
      </c>
      <c r="J312" s="1">
        <v>2</v>
      </c>
      <c r="K312" s="1">
        <v>0</v>
      </c>
      <c r="L312" s="1" t="s">
        <v>42</v>
      </c>
      <c r="M312" s="1">
        <v>2</v>
      </c>
      <c r="N312" s="1">
        <v>4</v>
      </c>
      <c r="O312" s="1">
        <v>0</v>
      </c>
      <c r="P312" s="11" t="str">
        <f t="shared" si="4"/>
        <v>负</v>
      </c>
      <c r="Q312" s="11" t="str">
        <f t="shared" si="4"/>
        <v>负</v>
      </c>
    </row>
    <row r="313" spans="4:17" customFormat="1" hidden="1" x14ac:dyDescent="0.15">
      <c r="D313" t="s">
        <v>6</v>
      </c>
      <c r="E313" s="1">
        <v>125049</v>
      </c>
      <c r="F313" s="1">
        <v>125049</v>
      </c>
      <c r="G313" s="8">
        <v>42239.895138888889</v>
      </c>
      <c r="H313" s="1" t="s">
        <v>49</v>
      </c>
      <c r="I313" s="1">
        <v>0</v>
      </c>
      <c r="J313" s="1">
        <v>0</v>
      </c>
      <c r="K313" s="1">
        <v>0</v>
      </c>
      <c r="L313" s="1" t="s">
        <v>38</v>
      </c>
      <c r="M313" s="1">
        <v>1</v>
      </c>
      <c r="N313" s="1">
        <v>1</v>
      </c>
      <c r="O313" s="1">
        <v>0</v>
      </c>
      <c r="P313" s="11" t="str">
        <f t="shared" si="4"/>
        <v>负</v>
      </c>
      <c r="Q313" s="11" t="str">
        <f t="shared" si="4"/>
        <v>负</v>
      </c>
    </row>
    <row r="314" spans="4:17" customFormat="1" hidden="1" x14ac:dyDescent="0.15">
      <c r="D314" t="s">
        <v>6</v>
      </c>
      <c r="E314" s="1">
        <v>126607</v>
      </c>
      <c r="F314" s="1">
        <v>126607</v>
      </c>
      <c r="G314" s="8">
        <v>42245.998611111114</v>
      </c>
      <c r="H314" s="1" t="s">
        <v>45</v>
      </c>
      <c r="I314" s="1">
        <v>1</v>
      </c>
      <c r="J314" s="1">
        <v>2</v>
      </c>
      <c r="K314" s="1">
        <v>0</v>
      </c>
      <c r="L314" s="1" t="s">
        <v>52</v>
      </c>
      <c r="M314" s="1">
        <v>0</v>
      </c>
      <c r="N314" s="1">
        <v>0</v>
      </c>
      <c r="O314" s="1">
        <v>0</v>
      </c>
      <c r="P314" s="11" t="str">
        <f t="shared" si="4"/>
        <v>胜</v>
      </c>
      <c r="Q314" s="11" t="str">
        <f t="shared" si="4"/>
        <v>胜</v>
      </c>
    </row>
    <row r="315" spans="4:17" customFormat="1" hidden="1" x14ac:dyDescent="0.15">
      <c r="D315" t="s">
        <v>6</v>
      </c>
      <c r="E315" s="1">
        <v>126626</v>
      </c>
      <c r="F315" s="1">
        <v>126626</v>
      </c>
      <c r="G315" s="8">
        <v>42245.041666666664</v>
      </c>
      <c r="H315" s="1" t="s">
        <v>43</v>
      </c>
      <c r="I315" s="1">
        <v>2</v>
      </c>
      <c r="J315" s="1">
        <v>2</v>
      </c>
      <c r="K315" s="1">
        <v>0</v>
      </c>
      <c r="L315" s="1" t="s">
        <v>49</v>
      </c>
      <c r="M315" s="1">
        <v>0</v>
      </c>
      <c r="N315" s="1">
        <v>0</v>
      </c>
      <c r="O315" s="1">
        <v>0</v>
      </c>
      <c r="P315" s="11" t="str">
        <f t="shared" si="4"/>
        <v>胜</v>
      </c>
      <c r="Q315" s="11" t="str">
        <f t="shared" si="4"/>
        <v>胜</v>
      </c>
    </row>
    <row r="316" spans="4:17" customFormat="1" hidden="1" x14ac:dyDescent="0.15">
      <c r="D316" t="s">
        <v>6</v>
      </c>
      <c r="E316" s="1">
        <v>126634</v>
      </c>
      <c r="F316" s="1">
        <v>126634</v>
      </c>
      <c r="G316" s="8">
        <v>42246.895833333336</v>
      </c>
      <c r="H316" s="1" t="s">
        <v>42</v>
      </c>
      <c r="I316" s="1">
        <v>0</v>
      </c>
      <c r="J316" s="1">
        <v>1</v>
      </c>
      <c r="K316" s="1">
        <v>0</v>
      </c>
      <c r="L316" s="1" t="s">
        <v>54</v>
      </c>
      <c r="M316" s="1">
        <v>2</v>
      </c>
      <c r="N316" s="1">
        <v>2</v>
      </c>
      <c r="O316" s="1">
        <v>0</v>
      </c>
      <c r="P316" s="11" t="str">
        <f t="shared" si="4"/>
        <v>负</v>
      </c>
      <c r="Q316" s="11" t="str">
        <f t="shared" si="4"/>
        <v>负</v>
      </c>
    </row>
    <row r="317" spans="4:17" customFormat="1" hidden="1" x14ac:dyDescent="0.15">
      <c r="D317" t="s">
        <v>6</v>
      </c>
      <c r="E317" s="1">
        <v>126635</v>
      </c>
      <c r="F317" s="1">
        <v>126635</v>
      </c>
      <c r="G317" s="8">
        <v>42246.895833333336</v>
      </c>
      <c r="H317" s="1" t="s">
        <v>38</v>
      </c>
      <c r="I317" s="1">
        <v>0</v>
      </c>
      <c r="J317" s="1">
        <v>2</v>
      </c>
      <c r="K317" s="1">
        <v>0</v>
      </c>
      <c r="L317" s="1" t="s">
        <v>44</v>
      </c>
      <c r="M317" s="1">
        <v>1</v>
      </c>
      <c r="N317" s="1">
        <v>2</v>
      </c>
      <c r="O317" s="1">
        <v>0</v>
      </c>
      <c r="P317" s="11" t="str">
        <f t="shared" si="4"/>
        <v>负</v>
      </c>
      <c r="Q317" s="11" t="str">
        <f t="shared" si="4"/>
        <v>平</v>
      </c>
    </row>
    <row r="318" spans="4:17" customFormat="1" hidden="1" x14ac:dyDescent="0.15">
      <c r="D318" t="s">
        <v>6</v>
      </c>
      <c r="E318" s="1">
        <v>126678</v>
      </c>
      <c r="F318" s="1">
        <v>126678</v>
      </c>
      <c r="G318" s="8">
        <v>42246.999305555553</v>
      </c>
      <c r="H318" s="1" t="s">
        <v>36</v>
      </c>
      <c r="I318" s="1">
        <v>0</v>
      </c>
      <c r="J318" s="1">
        <v>1</v>
      </c>
      <c r="K318" s="1">
        <v>0</v>
      </c>
      <c r="L318" s="1" t="s">
        <v>48</v>
      </c>
      <c r="M318" s="1">
        <v>1</v>
      </c>
      <c r="N318" s="1">
        <v>3</v>
      </c>
      <c r="O318" s="1">
        <v>0</v>
      </c>
      <c r="P318" s="11" t="str">
        <f t="shared" si="4"/>
        <v>负</v>
      </c>
      <c r="Q318" s="11" t="str">
        <f t="shared" si="4"/>
        <v>负</v>
      </c>
    </row>
    <row r="319" spans="4:17" customFormat="1" hidden="1" x14ac:dyDescent="0.15">
      <c r="D319" t="s">
        <v>6</v>
      </c>
      <c r="E319" s="1">
        <v>126679</v>
      </c>
      <c r="F319" s="1">
        <v>126679</v>
      </c>
      <c r="G319" s="8">
        <v>42247</v>
      </c>
      <c r="H319" s="1" t="s">
        <v>51</v>
      </c>
      <c r="I319" s="1">
        <v>0</v>
      </c>
      <c r="J319" s="1">
        <v>2</v>
      </c>
      <c r="K319" s="1">
        <v>0</v>
      </c>
      <c r="L319" s="1" t="s">
        <v>40</v>
      </c>
      <c r="M319" s="1">
        <v>2</v>
      </c>
      <c r="N319" s="1">
        <v>4</v>
      </c>
      <c r="O319" s="1">
        <v>0</v>
      </c>
      <c r="P319" s="11" t="str">
        <f t="shared" si="4"/>
        <v>负</v>
      </c>
      <c r="Q319" s="11" t="str">
        <f t="shared" si="4"/>
        <v>负</v>
      </c>
    </row>
    <row r="320" spans="4:17" customFormat="1" hidden="1" x14ac:dyDescent="0.15">
      <c r="D320" t="s">
        <v>6</v>
      </c>
      <c r="E320" s="1">
        <v>126683</v>
      </c>
      <c r="F320" s="1">
        <v>126683</v>
      </c>
      <c r="G320" s="8">
        <v>42247.083333333336</v>
      </c>
      <c r="H320" s="1" t="s">
        <v>53</v>
      </c>
      <c r="I320" s="1">
        <v>1</v>
      </c>
      <c r="J320" s="1">
        <v>1</v>
      </c>
      <c r="K320" s="1">
        <v>0</v>
      </c>
      <c r="L320" s="1" t="s">
        <v>37</v>
      </c>
      <c r="M320" s="1">
        <v>1</v>
      </c>
      <c r="N320" s="1">
        <v>1</v>
      </c>
      <c r="O320" s="1">
        <v>0</v>
      </c>
      <c r="P320" s="11" t="str">
        <f t="shared" si="4"/>
        <v>平</v>
      </c>
      <c r="Q320" s="11" t="str">
        <f t="shared" si="4"/>
        <v>平</v>
      </c>
    </row>
    <row r="321" spans="4:17" x14ac:dyDescent="0.15">
      <c r="D321" s="2" t="s">
        <v>6</v>
      </c>
      <c r="E321" s="6">
        <v>126709</v>
      </c>
      <c r="F321" s="6">
        <v>126709</v>
      </c>
      <c r="G321" s="24">
        <v>42247</v>
      </c>
      <c r="H321" s="6" t="s">
        <v>32</v>
      </c>
      <c r="I321" s="6">
        <v>1</v>
      </c>
      <c r="J321" s="6">
        <v>3</v>
      </c>
      <c r="K321" s="6">
        <v>0</v>
      </c>
      <c r="L321" s="6" t="s">
        <v>41</v>
      </c>
      <c r="M321" s="6">
        <v>0</v>
      </c>
      <c r="N321" s="6">
        <v>1</v>
      </c>
      <c r="O321" s="6">
        <v>0</v>
      </c>
      <c r="P321" s="11" t="str">
        <f t="shared" si="4"/>
        <v>胜</v>
      </c>
      <c r="Q321" s="11" t="str">
        <f t="shared" si="4"/>
        <v>胜</v>
      </c>
    </row>
    <row r="322" spans="4:17" customFormat="1" hidden="1" x14ac:dyDescent="0.15">
      <c r="D322" t="s">
        <v>6</v>
      </c>
      <c r="E322" s="1">
        <v>130081</v>
      </c>
      <c r="F322" s="1">
        <v>130081</v>
      </c>
      <c r="G322" s="8">
        <v>42259.040972222225</v>
      </c>
      <c r="H322" s="1" t="s">
        <v>40</v>
      </c>
      <c r="I322" s="1">
        <v>4</v>
      </c>
      <c r="J322" s="1">
        <v>5</v>
      </c>
      <c r="K322" s="1">
        <v>0</v>
      </c>
      <c r="L322" s="1" t="s">
        <v>48</v>
      </c>
      <c r="M322" s="1">
        <v>0</v>
      </c>
      <c r="N322" s="1">
        <v>0</v>
      </c>
      <c r="O322" s="1">
        <v>0</v>
      </c>
      <c r="P322" s="11" t="str">
        <f t="shared" si="4"/>
        <v>胜</v>
      </c>
      <c r="Q322" s="11" t="str">
        <f t="shared" si="4"/>
        <v>胜</v>
      </c>
    </row>
    <row r="323" spans="4:17" customFormat="1" hidden="1" x14ac:dyDescent="0.15">
      <c r="D323" t="s">
        <v>6</v>
      </c>
      <c r="E323" s="1">
        <v>130875</v>
      </c>
      <c r="F323" s="1">
        <v>130875</v>
      </c>
      <c r="G323" s="8">
        <v>42261.001388888886</v>
      </c>
      <c r="H323" s="1" t="s">
        <v>44</v>
      </c>
      <c r="I323" s="1">
        <v>2</v>
      </c>
      <c r="J323" s="1">
        <v>3</v>
      </c>
      <c r="K323" s="1">
        <v>0</v>
      </c>
      <c r="L323" s="1" t="s">
        <v>43</v>
      </c>
      <c r="M323" s="1">
        <v>0</v>
      </c>
      <c r="N323" s="1">
        <v>1</v>
      </c>
      <c r="O323" s="1">
        <v>0</v>
      </c>
      <c r="P323" s="11" t="str">
        <f t="shared" si="4"/>
        <v>胜</v>
      </c>
      <c r="Q323" s="11" t="str">
        <f t="shared" si="4"/>
        <v>胜</v>
      </c>
    </row>
    <row r="324" spans="4:17" customFormat="1" hidden="1" x14ac:dyDescent="0.15">
      <c r="D324" t="s">
        <v>6</v>
      </c>
      <c r="E324" s="1">
        <v>130914</v>
      </c>
      <c r="F324" s="1">
        <v>130914</v>
      </c>
      <c r="G324" s="8">
        <v>42261</v>
      </c>
      <c r="H324" s="1" t="s">
        <v>54</v>
      </c>
      <c r="I324" s="1">
        <v>0</v>
      </c>
      <c r="J324" s="1">
        <v>2</v>
      </c>
      <c r="K324" s="1">
        <v>0</v>
      </c>
      <c r="L324" s="1" t="s">
        <v>32</v>
      </c>
      <c r="M324" s="1">
        <v>0</v>
      </c>
      <c r="N324" s="1">
        <v>1</v>
      </c>
      <c r="O324" s="1">
        <v>0</v>
      </c>
      <c r="P324" s="11" t="str">
        <f t="shared" si="4"/>
        <v>平</v>
      </c>
      <c r="Q324" s="11" t="str">
        <f t="shared" si="4"/>
        <v>胜</v>
      </c>
    </row>
    <row r="325" spans="4:17" customFormat="1" hidden="1" x14ac:dyDescent="0.15">
      <c r="D325" t="s">
        <v>6</v>
      </c>
      <c r="E325" s="1">
        <v>130933</v>
      </c>
      <c r="F325" s="1">
        <v>130933</v>
      </c>
      <c r="G325" s="8">
        <v>42260</v>
      </c>
      <c r="H325" s="1" t="s">
        <v>52</v>
      </c>
      <c r="I325" s="1">
        <v>1</v>
      </c>
      <c r="J325" s="1">
        <v>2</v>
      </c>
      <c r="K325" s="1">
        <v>0</v>
      </c>
      <c r="L325" s="1" t="s">
        <v>38</v>
      </c>
      <c r="M325" s="1">
        <v>2</v>
      </c>
      <c r="N325" s="1">
        <v>4</v>
      </c>
      <c r="O325" s="1">
        <v>0</v>
      </c>
      <c r="P325" s="11" t="str">
        <f t="shared" si="4"/>
        <v>负</v>
      </c>
      <c r="Q325" s="11" t="str">
        <f t="shared" si="4"/>
        <v>负</v>
      </c>
    </row>
    <row r="326" spans="4:17" customFormat="1" hidden="1" x14ac:dyDescent="0.15">
      <c r="D326" t="s">
        <v>6</v>
      </c>
      <c r="E326" s="1">
        <v>130956</v>
      </c>
      <c r="F326" s="1">
        <v>130956</v>
      </c>
      <c r="G326" s="8">
        <v>42261.083333333336</v>
      </c>
      <c r="H326" s="1" t="s">
        <v>49</v>
      </c>
      <c r="I326" s="1">
        <v>1</v>
      </c>
      <c r="J326" s="1">
        <v>2</v>
      </c>
      <c r="K326" s="1">
        <v>0</v>
      </c>
      <c r="L326" s="1" t="s">
        <v>45</v>
      </c>
      <c r="M326" s="1">
        <v>2</v>
      </c>
      <c r="N326" s="1">
        <v>4</v>
      </c>
      <c r="O326" s="1">
        <v>0</v>
      </c>
      <c r="P326" s="11" t="str">
        <f t="shared" si="4"/>
        <v>负</v>
      </c>
      <c r="Q326" s="11" t="str">
        <f t="shared" si="4"/>
        <v>负</v>
      </c>
    </row>
    <row r="327" spans="4:17" customFormat="1" hidden="1" x14ac:dyDescent="0.15">
      <c r="D327" t="s">
        <v>6</v>
      </c>
      <c r="E327" s="1">
        <v>130990</v>
      </c>
      <c r="F327" s="1">
        <v>130990</v>
      </c>
      <c r="G327" s="8">
        <v>42261</v>
      </c>
      <c r="H327" s="1" t="s">
        <v>37</v>
      </c>
      <c r="I327" s="1">
        <v>0</v>
      </c>
      <c r="J327" s="1">
        <v>1</v>
      </c>
      <c r="K327" s="1">
        <v>0</v>
      </c>
      <c r="L327" s="1" t="s">
        <v>42</v>
      </c>
      <c r="M327" s="1">
        <v>0</v>
      </c>
      <c r="N327" s="1">
        <v>0</v>
      </c>
      <c r="O327" s="1">
        <v>0</v>
      </c>
      <c r="P327" s="11" t="str">
        <f t="shared" si="4"/>
        <v>平</v>
      </c>
      <c r="Q327" s="11" t="str">
        <f t="shared" si="4"/>
        <v>胜</v>
      </c>
    </row>
    <row r="328" spans="4:17" customFormat="1" hidden="1" x14ac:dyDescent="0.15">
      <c r="D328" t="s">
        <v>6</v>
      </c>
      <c r="E328" s="1">
        <v>131002</v>
      </c>
      <c r="F328" s="1">
        <v>131002</v>
      </c>
      <c r="G328" s="8">
        <v>42261</v>
      </c>
      <c r="H328" s="1" t="s">
        <v>41</v>
      </c>
      <c r="I328" s="1">
        <v>2</v>
      </c>
      <c r="J328" s="1">
        <v>3</v>
      </c>
      <c r="K328" s="1">
        <v>0</v>
      </c>
      <c r="L328" s="1" t="s">
        <v>36</v>
      </c>
      <c r="M328" s="1">
        <v>0</v>
      </c>
      <c r="N328" s="1">
        <v>1</v>
      </c>
      <c r="O328" s="1">
        <v>0</v>
      </c>
      <c r="P328" s="11" t="str">
        <f t="shared" si="4"/>
        <v>胜</v>
      </c>
      <c r="Q328" s="11" t="str">
        <f t="shared" si="4"/>
        <v>胜</v>
      </c>
    </row>
    <row r="329" spans="4:17" customFormat="1" hidden="1" x14ac:dyDescent="0.15">
      <c r="D329" t="s">
        <v>6</v>
      </c>
      <c r="E329" s="1">
        <v>131037</v>
      </c>
      <c r="F329" s="1">
        <v>131037</v>
      </c>
      <c r="G329" s="8">
        <v>42260.9</v>
      </c>
      <c r="H329" s="1" t="s">
        <v>53</v>
      </c>
      <c r="I329" s="1">
        <v>0</v>
      </c>
      <c r="J329" s="1">
        <v>0</v>
      </c>
      <c r="K329" s="1">
        <v>0</v>
      </c>
      <c r="L329" s="1" t="s">
        <v>51</v>
      </c>
      <c r="M329" s="1">
        <v>0</v>
      </c>
      <c r="N329" s="1">
        <v>0</v>
      </c>
      <c r="O329" s="1">
        <v>0</v>
      </c>
      <c r="P329" s="11" t="str">
        <f t="shared" si="4"/>
        <v>平</v>
      </c>
      <c r="Q329" s="11" t="str">
        <f t="shared" si="4"/>
        <v>平</v>
      </c>
    </row>
    <row r="330" spans="4:17" customFormat="1" hidden="1" x14ac:dyDescent="0.15">
      <c r="D330" t="s">
        <v>6</v>
      </c>
      <c r="E330" s="1">
        <v>133355</v>
      </c>
      <c r="F330" s="1">
        <v>133355</v>
      </c>
      <c r="G330" s="8">
        <v>42266.895833333336</v>
      </c>
      <c r="H330" s="1" t="s">
        <v>36</v>
      </c>
      <c r="I330" s="1">
        <v>0</v>
      </c>
      <c r="J330" s="1">
        <v>0</v>
      </c>
      <c r="K330" s="1">
        <v>0</v>
      </c>
      <c r="L330" s="1" t="s">
        <v>44</v>
      </c>
      <c r="M330" s="1">
        <v>0</v>
      </c>
      <c r="N330" s="1">
        <v>0</v>
      </c>
      <c r="O330" s="1">
        <v>0</v>
      </c>
      <c r="P330" s="11" t="str">
        <f t="shared" si="4"/>
        <v>平</v>
      </c>
      <c r="Q330" s="11" t="str">
        <f t="shared" si="4"/>
        <v>平</v>
      </c>
    </row>
    <row r="331" spans="4:17" customFormat="1" hidden="1" x14ac:dyDescent="0.15">
      <c r="D331" t="s">
        <v>6</v>
      </c>
      <c r="E331" s="1">
        <v>133395</v>
      </c>
      <c r="F331" s="1">
        <v>133395</v>
      </c>
      <c r="G331" s="8">
        <v>42267</v>
      </c>
      <c r="H331" s="1" t="s">
        <v>42</v>
      </c>
      <c r="I331" s="1">
        <v>1</v>
      </c>
      <c r="J331" s="1">
        <v>2</v>
      </c>
      <c r="K331" s="1">
        <v>0</v>
      </c>
      <c r="L331" s="1" t="s">
        <v>53</v>
      </c>
      <c r="M331" s="1">
        <v>0</v>
      </c>
      <c r="N331" s="1">
        <v>1</v>
      </c>
      <c r="O331" s="1">
        <v>0</v>
      </c>
      <c r="P331" s="11" t="str">
        <f t="shared" si="4"/>
        <v>胜</v>
      </c>
      <c r="Q331" s="11" t="str">
        <f t="shared" si="4"/>
        <v>胜</v>
      </c>
    </row>
    <row r="332" spans="4:17" customFormat="1" hidden="1" x14ac:dyDescent="0.15">
      <c r="D332" t="s">
        <v>6</v>
      </c>
      <c r="E332" s="1">
        <v>133396</v>
      </c>
      <c r="F332" s="1">
        <v>133396</v>
      </c>
      <c r="G332" s="8">
        <v>42267.895833333336</v>
      </c>
      <c r="H332" s="1" t="s">
        <v>43</v>
      </c>
      <c r="I332" s="1">
        <v>1</v>
      </c>
      <c r="J332" s="1">
        <v>1</v>
      </c>
      <c r="K332" s="1">
        <v>0</v>
      </c>
      <c r="L332" s="1" t="s">
        <v>54</v>
      </c>
      <c r="M332" s="1">
        <v>1</v>
      </c>
      <c r="N332" s="1">
        <v>3</v>
      </c>
      <c r="O332" s="1">
        <v>0</v>
      </c>
      <c r="P332" s="11" t="str">
        <f t="shared" si="4"/>
        <v>平</v>
      </c>
      <c r="Q332" s="11" t="str">
        <f t="shared" si="4"/>
        <v>负</v>
      </c>
    </row>
    <row r="333" spans="4:17" customFormat="1" hidden="1" x14ac:dyDescent="0.15">
      <c r="D333" t="s">
        <v>6</v>
      </c>
      <c r="E333" s="1">
        <v>133403</v>
      </c>
      <c r="F333" s="1">
        <v>133403</v>
      </c>
      <c r="G333" s="8">
        <v>42268</v>
      </c>
      <c r="H333" s="1" t="s">
        <v>48</v>
      </c>
      <c r="I333" s="1">
        <v>1</v>
      </c>
      <c r="J333" s="1">
        <v>1</v>
      </c>
      <c r="K333" s="1">
        <v>0</v>
      </c>
      <c r="L333" s="1" t="s">
        <v>41</v>
      </c>
      <c r="M333" s="1">
        <v>0</v>
      </c>
      <c r="N333" s="1">
        <v>1</v>
      </c>
      <c r="O333" s="1">
        <v>0</v>
      </c>
      <c r="P333" s="11" t="str">
        <f t="shared" ref="P333:Q396" si="5">IF(I333=M333,"平",IF(I333&gt;M333,"胜","负"))</f>
        <v>胜</v>
      </c>
      <c r="Q333" s="11" t="str">
        <f t="shared" si="5"/>
        <v>平</v>
      </c>
    </row>
    <row r="334" spans="4:17" x14ac:dyDescent="0.15">
      <c r="D334" s="2" t="s">
        <v>6</v>
      </c>
      <c r="E334" s="6">
        <v>133412</v>
      </c>
      <c r="F334" s="6">
        <v>133412</v>
      </c>
      <c r="G334" s="24">
        <v>42267.999305555553</v>
      </c>
      <c r="H334" s="6" t="s">
        <v>32</v>
      </c>
      <c r="I334" s="6">
        <v>1</v>
      </c>
      <c r="J334" s="6">
        <v>2</v>
      </c>
      <c r="K334" s="6">
        <v>0</v>
      </c>
      <c r="L334" s="6" t="s">
        <v>52</v>
      </c>
      <c r="M334" s="6">
        <v>1</v>
      </c>
      <c r="N334" s="6">
        <v>1</v>
      </c>
      <c r="O334" s="6">
        <v>0</v>
      </c>
      <c r="P334" s="11" t="str">
        <f t="shared" si="5"/>
        <v>平</v>
      </c>
      <c r="Q334" s="11" t="str">
        <f t="shared" si="5"/>
        <v>胜</v>
      </c>
    </row>
    <row r="335" spans="4:17" customFormat="1" hidden="1" x14ac:dyDescent="0.15">
      <c r="D335" t="s">
        <v>6</v>
      </c>
      <c r="E335" s="1">
        <v>133413</v>
      </c>
      <c r="F335" s="1">
        <v>133413</v>
      </c>
      <c r="G335" s="8">
        <v>42268</v>
      </c>
      <c r="H335" s="1" t="s">
        <v>38</v>
      </c>
      <c r="I335" s="1">
        <v>0</v>
      </c>
      <c r="J335" s="1">
        <v>1</v>
      </c>
      <c r="K335" s="1">
        <v>0</v>
      </c>
      <c r="L335" s="1" t="s">
        <v>37</v>
      </c>
      <c r="M335" s="1">
        <v>0</v>
      </c>
      <c r="N335" s="1">
        <v>0</v>
      </c>
      <c r="O335" s="1">
        <v>0</v>
      </c>
      <c r="P335" s="11" t="str">
        <f t="shared" si="5"/>
        <v>平</v>
      </c>
      <c r="Q335" s="11" t="str">
        <f t="shared" si="5"/>
        <v>胜</v>
      </c>
    </row>
    <row r="336" spans="4:17" customFormat="1" hidden="1" x14ac:dyDescent="0.15">
      <c r="D336" t="s">
        <v>6</v>
      </c>
      <c r="E336" s="1">
        <v>133421</v>
      </c>
      <c r="F336" s="1">
        <v>133421</v>
      </c>
      <c r="G336" s="8">
        <v>42268.083333333336</v>
      </c>
      <c r="H336" s="1" t="s">
        <v>51</v>
      </c>
      <c r="I336" s="1">
        <v>0</v>
      </c>
      <c r="J336" s="1">
        <v>0</v>
      </c>
      <c r="K336" s="1">
        <v>0</v>
      </c>
      <c r="L336" s="1" t="s">
        <v>49</v>
      </c>
      <c r="M336" s="1">
        <v>1</v>
      </c>
      <c r="N336" s="1">
        <v>1</v>
      </c>
      <c r="O336" s="1">
        <v>0</v>
      </c>
      <c r="P336" s="11" t="str">
        <f t="shared" si="5"/>
        <v>负</v>
      </c>
      <c r="Q336" s="11" t="str">
        <f t="shared" si="5"/>
        <v>负</v>
      </c>
    </row>
    <row r="337" spans="4:17" customFormat="1" hidden="1" x14ac:dyDescent="0.15">
      <c r="D337" t="s">
        <v>6</v>
      </c>
      <c r="E337" s="1">
        <v>133649</v>
      </c>
      <c r="F337" s="1">
        <v>133649</v>
      </c>
      <c r="G337" s="8">
        <v>42266.040972222225</v>
      </c>
      <c r="H337" s="1" t="s">
        <v>45</v>
      </c>
      <c r="I337" s="1">
        <v>0</v>
      </c>
      <c r="J337" s="1">
        <v>1</v>
      </c>
      <c r="K337" s="1">
        <v>0</v>
      </c>
      <c r="L337" s="1" t="s">
        <v>40</v>
      </c>
      <c r="M337" s="1">
        <v>1</v>
      </c>
      <c r="N337" s="1">
        <v>1</v>
      </c>
      <c r="O337" s="1">
        <v>0</v>
      </c>
      <c r="P337" s="11" t="str">
        <f t="shared" si="5"/>
        <v>负</v>
      </c>
      <c r="Q337" s="11" t="str">
        <f t="shared" si="5"/>
        <v>平</v>
      </c>
    </row>
    <row r="338" spans="4:17" customFormat="1" hidden="1" x14ac:dyDescent="0.15">
      <c r="D338" t="s">
        <v>6</v>
      </c>
      <c r="E338" s="1">
        <v>135584</v>
      </c>
      <c r="F338" s="1">
        <v>135584</v>
      </c>
      <c r="G338" s="8">
        <v>42271</v>
      </c>
      <c r="H338" s="1" t="s">
        <v>40</v>
      </c>
      <c r="I338" s="1">
        <v>1</v>
      </c>
      <c r="J338" s="1">
        <v>1</v>
      </c>
      <c r="K338" s="1">
        <v>0</v>
      </c>
      <c r="L338" s="1" t="s">
        <v>38</v>
      </c>
      <c r="M338" s="1">
        <v>0</v>
      </c>
      <c r="N338" s="1">
        <v>0</v>
      </c>
      <c r="O338" s="1">
        <v>0</v>
      </c>
      <c r="P338" s="11" t="str">
        <f t="shared" si="5"/>
        <v>胜</v>
      </c>
      <c r="Q338" s="11" t="str">
        <f t="shared" si="5"/>
        <v>胜</v>
      </c>
    </row>
    <row r="339" spans="4:17" customFormat="1" hidden="1" x14ac:dyDescent="0.15">
      <c r="D339" t="s">
        <v>6</v>
      </c>
      <c r="E339" s="1">
        <v>135846</v>
      </c>
      <c r="F339" s="1">
        <v>135846</v>
      </c>
      <c r="G339" s="8">
        <v>42273.041666666664</v>
      </c>
      <c r="H339" s="1" t="s">
        <v>49</v>
      </c>
      <c r="I339" s="1">
        <v>1</v>
      </c>
      <c r="J339" s="1">
        <v>1</v>
      </c>
      <c r="K339" s="1">
        <v>0</v>
      </c>
      <c r="L339" s="1" t="s">
        <v>36</v>
      </c>
      <c r="M339" s="1">
        <v>0</v>
      </c>
      <c r="N339" s="1">
        <v>1</v>
      </c>
      <c r="O339" s="1">
        <v>0</v>
      </c>
      <c r="P339" s="11" t="str">
        <f t="shared" si="5"/>
        <v>胜</v>
      </c>
      <c r="Q339" s="11" t="str">
        <f t="shared" si="5"/>
        <v>平</v>
      </c>
    </row>
    <row r="340" spans="4:17" customFormat="1" hidden="1" x14ac:dyDescent="0.15">
      <c r="D340" t="s">
        <v>6</v>
      </c>
      <c r="E340" s="1">
        <v>135921</v>
      </c>
      <c r="F340" s="1">
        <v>135921</v>
      </c>
      <c r="G340" s="8">
        <v>42275.083333333336</v>
      </c>
      <c r="H340" s="1" t="s">
        <v>42</v>
      </c>
      <c r="I340" s="1">
        <v>1</v>
      </c>
      <c r="J340" s="1">
        <v>1</v>
      </c>
      <c r="K340" s="1">
        <v>0</v>
      </c>
      <c r="L340" s="1" t="s">
        <v>38</v>
      </c>
      <c r="M340" s="1">
        <v>0</v>
      </c>
      <c r="N340" s="1">
        <v>0</v>
      </c>
      <c r="O340" s="1">
        <v>0</v>
      </c>
      <c r="P340" s="11" t="str">
        <f t="shared" si="5"/>
        <v>胜</v>
      </c>
      <c r="Q340" s="11" t="str">
        <f t="shared" si="5"/>
        <v>胜</v>
      </c>
    </row>
    <row r="341" spans="4:17" customFormat="1" hidden="1" x14ac:dyDescent="0.15">
      <c r="D341" t="s">
        <v>6</v>
      </c>
      <c r="E341" s="1">
        <v>135933</v>
      </c>
      <c r="F341" s="1">
        <v>135933</v>
      </c>
      <c r="G341" s="8">
        <v>42273.897222222222</v>
      </c>
      <c r="H341" s="1" t="s">
        <v>44</v>
      </c>
      <c r="I341" s="1">
        <v>1</v>
      </c>
      <c r="J341" s="1">
        <v>3</v>
      </c>
      <c r="K341" s="1">
        <v>0</v>
      </c>
      <c r="L341" s="1" t="s">
        <v>51</v>
      </c>
      <c r="M341" s="1">
        <v>0</v>
      </c>
      <c r="N341" s="1">
        <v>0</v>
      </c>
      <c r="O341" s="1">
        <v>0</v>
      </c>
      <c r="P341" s="11" t="str">
        <f t="shared" si="5"/>
        <v>胜</v>
      </c>
      <c r="Q341" s="11" t="str">
        <f t="shared" si="5"/>
        <v>胜</v>
      </c>
    </row>
    <row r="342" spans="4:17" customFormat="1" hidden="1" x14ac:dyDescent="0.15">
      <c r="D342" t="s">
        <v>6</v>
      </c>
      <c r="E342" s="1">
        <v>135936</v>
      </c>
      <c r="F342" s="1">
        <v>135936</v>
      </c>
      <c r="G342" s="8">
        <v>42274.999305555553</v>
      </c>
      <c r="H342" s="1" t="s">
        <v>52</v>
      </c>
      <c r="I342" s="1">
        <v>0</v>
      </c>
      <c r="J342" s="1">
        <v>0</v>
      </c>
      <c r="K342" s="1">
        <v>0</v>
      </c>
      <c r="L342" s="1" t="s">
        <v>48</v>
      </c>
      <c r="M342" s="1">
        <v>0</v>
      </c>
      <c r="N342" s="1">
        <v>1</v>
      </c>
      <c r="O342" s="1">
        <v>0</v>
      </c>
      <c r="P342" s="11" t="str">
        <f t="shared" si="5"/>
        <v>平</v>
      </c>
      <c r="Q342" s="11" t="str">
        <f t="shared" si="5"/>
        <v>负</v>
      </c>
    </row>
    <row r="343" spans="4:17" customFormat="1" hidden="1" x14ac:dyDescent="0.15">
      <c r="D343" t="s">
        <v>6</v>
      </c>
      <c r="E343" s="1">
        <v>135943</v>
      </c>
      <c r="F343" s="1">
        <v>135943</v>
      </c>
      <c r="G343" s="8">
        <v>42275</v>
      </c>
      <c r="H343" s="1" t="s">
        <v>37</v>
      </c>
      <c r="I343" s="1">
        <v>1</v>
      </c>
      <c r="J343" s="1">
        <v>2</v>
      </c>
      <c r="K343" s="1">
        <v>0</v>
      </c>
      <c r="L343" s="1" t="s">
        <v>45</v>
      </c>
      <c r="M343" s="1">
        <v>0</v>
      </c>
      <c r="N343" s="1">
        <v>0</v>
      </c>
      <c r="O343" s="1">
        <v>0</v>
      </c>
      <c r="P343" s="11" t="str">
        <f t="shared" si="5"/>
        <v>胜</v>
      </c>
      <c r="Q343" s="11" t="str">
        <f t="shared" si="5"/>
        <v>胜</v>
      </c>
    </row>
    <row r="344" spans="4:17" customFormat="1" hidden="1" x14ac:dyDescent="0.15">
      <c r="D344" t="s">
        <v>6</v>
      </c>
      <c r="E344" s="1">
        <v>135955</v>
      </c>
      <c r="F344" s="1">
        <v>135955</v>
      </c>
      <c r="G344" s="8">
        <v>42274</v>
      </c>
      <c r="H344" s="1" t="s">
        <v>40</v>
      </c>
      <c r="I344" s="1">
        <v>0</v>
      </c>
      <c r="J344" s="1">
        <v>3</v>
      </c>
      <c r="K344" s="1">
        <v>0</v>
      </c>
      <c r="L344" s="1" t="s">
        <v>32</v>
      </c>
      <c r="M344" s="1">
        <v>0</v>
      </c>
      <c r="N344" s="1">
        <v>1</v>
      </c>
      <c r="O344" s="1">
        <v>0</v>
      </c>
      <c r="P344" s="11" t="str">
        <f t="shared" si="5"/>
        <v>平</v>
      </c>
      <c r="Q344" s="11" t="str">
        <f t="shared" si="5"/>
        <v>胜</v>
      </c>
    </row>
    <row r="345" spans="4:17" customFormat="1" hidden="1" x14ac:dyDescent="0.15">
      <c r="D345" t="s">
        <v>6</v>
      </c>
      <c r="E345" s="1">
        <v>135961</v>
      </c>
      <c r="F345" s="1">
        <v>135961</v>
      </c>
      <c r="G345" s="8">
        <v>42274.895833333336</v>
      </c>
      <c r="H345" s="1" t="s">
        <v>54</v>
      </c>
      <c r="I345" s="1">
        <v>1</v>
      </c>
      <c r="J345" s="1">
        <v>1</v>
      </c>
      <c r="K345" s="1">
        <v>0</v>
      </c>
      <c r="L345" s="1" t="s">
        <v>41</v>
      </c>
      <c r="M345" s="1">
        <v>0</v>
      </c>
      <c r="N345" s="1">
        <v>1</v>
      </c>
      <c r="O345" s="1">
        <v>0</v>
      </c>
      <c r="P345" s="11" t="str">
        <f t="shared" si="5"/>
        <v>胜</v>
      </c>
      <c r="Q345" s="11" t="str">
        <f t="shared" si="5"/>
        <v>平</v>
      </c>
    </row>
    <row r="346" spans="4:17" customFormat="1" hidden="1" x14ac:dyDescent="0.15">
      <c r="D346" t="s">
        <v>6</v>
      </c>
      <c r="E346" s="1">
        <v>137190</v>
      </c>
      <c r="F346" s="1">
        <v>137190</v>
      </c>
      <c r="G346" s="8">
        <v>42275</v>
      </c>
      <c r="H346" s="1" t="s">
        <v>53</v>
      </c>
      <c r="I346" s="1">
        <v>0</v>
      </c>
      <c r="J346" s="1">
        <v>1</v>
      </c>
      <c r="K346" s="1">
        <v>0</v>
      </c>
      <c r="L346" s="1" t="s">
        <v>43</v>
      </c>
      <c r="M346" s="1">
        <v>0</v>
      </c>
      <c r="N346" s="1">
        <v>1</v>
      </c>
      <c r="O346" s="1">
        <v>0</v>
      </c>
      <c r="P346" s="11" t="str">
        <f t="shared" si="5"/>
        <v>平</v>
      </c>
      <c r="Q346" s="11" t="str">
        <f t="shared" si="5"/>
        <v>平</v>
      </c>
    </row>
    <row r="347" spans="4:17" customFormat="1" hidden="1" x14ac:dyDescent="0.15">
      <c r="D347" t="s">
        <v>6</v>
      </c>
      <c r="E347" s="1">
        <v>137771</v>
      </c>
      <c r="F347" s="1">
        <v>137771</v>
      </c>
      <c r="G347" s="8">
        <v>42281.895138888889</v>
      </c>
      <c r="H347" s="1" t="s">
        <v>48</v>
      </c>
      <c r="I347" s="1">
        <v>0</v>
      </c>
      <c r="J347" s="1">
        <v>1</v>
      </c>
      <c r="K347" s="1">
        <v>0</v>
      </c>
      <c r="L347" s="1" t="s">
        <v>54</v>
      </c>
      <c r="M347" s="1">
        <v>1</v>
      </c>
      <c r="N347" s="1">
        <v>2</v>
      </c>
      <c r="O347" s="1">
        <v>0</v>
      </c>
      <c r="P347" s="11" t="str">
        <f t="shared" si="5"/>
        <v>负</v>
      </c>
      <c r="Q347" s="11" t="str">
        <f t="shared" si="5"/>
        <v>负</v>
      </c>
    </row>
    <row r="348" spans="4:17" x14ac:dyDescent="0.15">
      <c r="D348" s="2" t="s">
        <v>6</v>
      </c>
      <c r="E348" s="6">
        <v>137787</v>
      </c>
      <c r="F348" s="6">
        <v>137787</v>
      </c>
      <c r="G348" s="24">
        <v>42280.040972222225</v>
      </c>
      <c r="H348" s="6" t="s">
        <v>32</v>
      </c>
      <c r="I348" s="6">
        <v>0</v>
      </c>
      <c r="J348" s="6">
        <v>1</v>
      </c>
      <c r="K348" s="6">
        <v>0</v>
      </c>
      <c r="L348" s="6" t="s">
        <v>49</v>
      </c>
      <c r="M348" s="6">
        <v>0</v>
      </c>
      <c r="N348" s="6">
        <v>1</v>
      </c>
      <c r="O348" s="6">
        <v>0</v>
      </c>
      <c r="P348" s="11" t="str">
        <f t="shared" si="5"/>
        <v>平</v>
      </c>
      <c r="Q348" s="11" t="str">
        <f t="shared" si="5"/>
        <v>平</v>
      </c>
    </row>
    <row r="349" spans="4:17" customFormat="1" hidden="1" x14ac:dyDescent="0.15">
      <c r="D349" t="s">
        <v>6</v>
      </c>
      <c r="E349" s="1">
        <v>137801</v>
      </c>
      <c r="F349" s="1">
        <v>137801</v>
      </c>
      <c r="G349" s="8">
        <v>42282</v>
      </c>
      <c r="H349" s="1" t="s">
        <v>38</v>
      </c>
      <c r="I349" s="1">
        <v>2</v>
      </c>
      <c r="J349" s="1">
        <v>4</v>
      </c>
      <c r="K349" s="1">
        <v>0</v>
      </c>
      <c r="L349" s="1" t="s">
        <v>53</v>
      </c>
      <c r="M349" s="1">
        <v>0</v>
      </c>
      <c r="N349" s="1">
        <v>0</v>
      </c>
      <c r="O349" s="1">
        <v>0</v>
      </c>
      <c r="P349" s="11" t="str">
        <f t="shared" si="5"/>
        <v>胜</v>
      </c>
      <c r="Q349" s="11" t="str">
        <f t="shared" si="5"/>
        <v>胜</v>
      </c>
    </row>
    <row r="350" spans="4:17" customFormat="1" hidden="1" x14ac:dyDescent="0.15">
      <c r="D350" t="s">
        <v>6</v>
      </c>
      <c r="E350" s="1">
        <v>137807</v>
      </c>
      <c r="F350" s="1">
        <v>137807</v>
      </c>
      <c r="G350" s="8">
        <v>42282.083333333336</v>
      </c>
      <c r="H350" s="1" t="s">
        <v>36</v>
      </c>
      <c r="I350" s="1">
        <v>0</v>
      </c>
      <c r="J350" s="1">
        <v>0</v>
      </c>
      <c r="K350" s="1">
        <v>0</v>
      </c>
      <c r="L350" s="1" t="s">
        <v>37</v>
      </c>
      <c r="M350" s="1">
        <v>3</v>
      </c>
      <c r="N350" s="1">
        <v>4</v>
      </c>
      <c r="O350" s="1">
        <v>0</v>
      </c>
      <c r="P350" s="11" t="str">
        <f t="shared" si="5"/>
        <v>负</v>
      </c>
      <c r="Q350" s="11" t="str">
        <f t="shared" si="5"/>
        <v>负</v>
      </c>
    </row>
    <row r="351" spans="4:17" customFormat="1" hidden="1" x14ac:dyDescent="0.15">
      <c r="D351" t="s">
        <v>6</v>
      </c>
      <c r="E351" s="1">
        <v>137819</v>
      </c>
      <c r="F351" s="1">
        <v>137819</v>
      </c>
      <c r="G351" s="8">
        <v>42281</v>
      </c>
      <c r="H351" s="1" t="s">
        <v>51</v>
      </c>
      <c r="I351" s="1">
        <v>0</v>
      </c>
      <c r="J351" s="1">
        <v>1</v>
      </c>
      <c r="K351" s="1">
        <v>0</v>
      </c>
      <c r="L351" s="1" t="s">
        <v>42</v>
      </c>
      <c r="M351" s="1">
        <v>2</v>
      </c>
      <c r="N351" s="1">
        <v>4</v>
      </c>
      <c r="O351" s="1">
        <v>0</v>
      </c>
      <c r="P351" s="11" t="str">
        <f t="shared" si="5"/>
        <v>负</v>
      </c>
      <c r="Q351" s="11" t="str">
        <f t="shared" si="5"/>
        <v>负</v>
      </c>
    </row>
    <row r="352" spans="4:17" customFormat="1" hidden="1" x14ac:dyDescent="0.15">
      <c r="D352" t="s">
        <v>6</v>
      </c>
      <c r="E352" s="1">
        <v>137880</v>
      </c>
      <c r="F352" s="1">
        <v>137880</v>
      </c>
      <c r="G352" s="8">
        <v>42281.999305555553</v>
      </c>
      <c r="H352" s="1" t="s">
        <v>43</v>
      </c>
      <c r="I352" s="1">
        <v>0</v>
      </c>
      <c r="J352" s="1">
        <v>2</v>
      </c>
      <c r="K352" s="1">
        <v>0</v>
      </c>
      <c r="L352" s="1" t="s">
        <v>52</v>
      </c>
      <c r="M352" s="1">
        <v>1</v>
      </c>
      <c r="N352" s="1">
        <v>1</v>
      </c>
      <c r="O352" s="1">
        <v>0</v>
      </c>
      <c r="P352" s="11" t="str">
        <f t="shared" si="5"/>
        <v>负</v>
      </c>
      <c r="Q352" s="11" t="str">
        <f t="shared" si="5"/>
        <v>胜</v>
      </c>
    </row>
    <row r="353" spans="4:17" customFormat="1" hidden="1" x14ac:dyDescent="0.15">
      <c r="D353" t="s">
        <v>6</v>
      </c>
      <c r="E353" s="1">
        <v>137881</v>
      </c>
      <c r="F353" s="1">
        <v>137881</v>
      </c>
      <c r="G353" s="8">
        <v>42281.999305555553</v>
      </c>
      <c r="H353" s="1" t="s">
        <v>45</v>
      </c>
      <c r="I353" s="1">
        <v>1</v>
      </c>
      <c r="J353" s="1">
        <v>1</v>
      </c>
      <c r="K353" s="1">
        <v>0</v>
      </c>
      <c r="L353" s="1" t="s">
        <v>44</v>
      </c>
      <c r="M353" s="1">
        <v>0</v>
      </c>
      <c r="N353" s="1">
        <v>0</v>
      </c>
      <c r="O353" s="1">
        <v>0</v>
      </c>
      <c r="P353" s="11" t="str">
        <f t="shared" si="5"/>
        <v>胜</v>
      </c>
      <c r="Q353" s="11" t="str">
        <f t="shared" si="5"/>
        <v>胜</v>
      </c>
    </row>
    <row r="354" spans="4:17" customFormat="1" hidden="1" x14ac:dyDescent="0.15">
      <c r="D354" t="s">
        <v>6</v>
      </c>
      <c r="E354" s="1">
        <v>137893</v>
      </c>
      <c r="F354" s="1">
        <v>137893</v>
      </c>
      <c r="G354" s="8">
        <v>42280.897222222222</v>
      </c>
      <c r="H354" s="1" t="s">
        <v>41</v>
      </c>
      <c r="I354" s="1">
        <v>0</v>
      </c>
      <c r="J354" s="1">
        <v>1</v>
      </c>
      <c r="K354" s="1">
        <v>0</v>
      </c>
      <c r="L354" s="1" t="s">
        <v>40</v>
      </c>
      <c r="M354" s="1">
        <v>2</v>
      </c>
      <c r="N354" s="1">
        <v>6</v>
      </c>
      <c r="O354" s="1">
        <v>0</v>
      </c>
      <c r="P354" s="11" t="str">
        <f t="shared" si="5"/>
        <v>负</v>
      </c>
      <c r="Q354" s="11" t="str">
        <f t="shared" si="5"/>
        <v>负</v>
      </c>
    </row>
    <row r="355" spans="4:17" customFormat="1" hidden="1" x14ac:dyDescent="0.15">
      <c r="D355" t="s">
        <v>6</v>
      </c>
      <c r="E355" s="1">
        <v>159564</v>
      </c>
      <c r="F355" s="1">
        <v>159564</v>
      </c>
      <c r="G355" s="8">
        <v>42295.895833333336</v>
      </c>
      <c r="H355" s="1" t="s">
        <v>38</v>
      </c>
      <c r="I355" s="1">
        <v>0</v>
      </c>
      <c r="J355" s="1">
        <v>3</v>
      </c>
      <c r="K355" s="1">
        <v>0</v>
      </c>
      <c r="L355" s="1" t="s">
        <v>51</v>
      </c>
      <c r="M355" s="1">
        <v>0</v>
      </c>
      <c r="N355" s="1">
        <v>1</v>
      </c>
      <c r="O355" s="1">
        <v>0</v>
      </c>
      <c r="P355" s="11" t="str">
        <f t="shared" si="5"/>
        <v>平</v>
      </c>
      <c r="Q355" s="11" t="str">
        <f t="shared" si="5"/>
        <v>胜</v>
      </c>
    </row>
    <row r="356" spans="4:17" customFormat="1" hidden="1" x14ac:dyDescent="0.15">
      <c r="D356" t="s">
        <v>6</v>
      </c>
      <c r="E356" s="1">
        <v>159583</v>
      </c>
      <c r="F356" s="1">
        <v>159583</v>
      </c>
      <c r="G356" s="8">
        <v>42294.042361111111</v>
      </c>
      <c r="H356" s="1" t="s">
        <v>40</v>
      </c>
      <c r="I356" s="1">
        <v>2</v>
      </c>
      <c r="J356" s="1">
        <v>2</v>
      </c>
      <c r="K356" s="1">
        <v>0</v>
      </c>
      <c r="L356" s="1" t="s">
        <v>54</v>
      </c>
      <c r="M356" s="1">
        <v>0</v>
      </c>
      <c r="N356" s="1">
        <v>1</v>
      </c>
      <c r="O356" s="1">
        <v>0</v>
      </c>
      <c r="P356" s="11" t="str">
        <f t="shared" si="5"/>
        <v>胜</v>
      </c>
      <c r="Q356" s="11" t="str">
        <f t="shared" si="5"/>
        <v>胜</v>
      </c>
    </row>
    <row r="357" spans="4:17" customFormat="1" hidden="1" x14ac:dyDescent="0.15">
      <c r="D357" t="s">
        <v>6</v>
      </c>
      <c r="E357" s="1">
        <v>159589</v>
      </c>
      <c r="F357" s="1">
        <v>159589</v>
      </c>
      <c r="G357" s="8">
        <v>42294.895138888889</v>
      </c>
      <c r="H357" s="1" t="s">
        <v>52</v>
      </c>
      <c r="I357" s="1">
        <v>2</v>
      </c>
      <c r="J357" s="1">
        <v>4</v>
      </c>
      <c r="K357" s="1">
        <v>0</v>
      </c>
      <c r="L357" s="1" t="s">
        <v>36</v>
      </c>
      <c r="M357" s="1">
        <v>0</v>
      </c>
      <c r="N357" s="1">
        <v>1</v>
      </c>
      <c r="O357" s="1">
        <v>0</v>
      </c>
      <c r="P357" s="11" t="str">
        <f t="shared" si="5"/>
        <v>胜</v>
      </c>
      <c r="Q357" s="11" t="str">
        <f t="shared" si="5"/>
        <v>胜</v>
      </c>
    </row>
    <row r="358" spans="4:17" customFormat="1" hidden="1" x14ac:dyDescent="0.15">
      <c r="D358" t="s">
        <v>6</v>
      </c>
      <c r="E358" s="1">
        <v>159591</v>
      </c>
      <c r="F358" s="1">
        <v>159591</v>
      </c>
      <c r="G358" s="8">
        <v>42295.000694444447</v>
      </c>
      <c r="H358" s="1" t="s">
        <v>42</v>
      </c>
      <c r="I358" s="1">
        <v>0</v>
      </c>
      <c r="J358" s="1">
        <v>1</v>
      </c>
      <c r="K358" s="1">
        <v>0</v>
      </c>
      <c r="L358" s="1" t="s">
        <v>43</v>
      </c>
      <c r="M358" s="1">
        <v>1</v>
      </c>
      <c r="N358" s="1">
        <v>4</v>
      </c>
      <c r="O358" s="1">
        <v>0</v>
      </c>
      <c r="P358" s="11" t="str">
        <f t="shared" si="5"/>
        <v>负</v>
      </c>
      <c r="Q358" s="11" t="str">
        <f t="shared" si="5"/>
        <v>负</v>
      </c>
    </row>
    <row r="359" spans="4:17" customFormat="1" hidden="1" x14ac:dyDescent="0.15">
      <c r="D359" t="s">
        <v>6</v>
      </c>
      <c r="E359" s="1">
        <v>159708</v>
      </c>
      <c r="F359" s="1">
        <v>159708</v>
      </c>
      <c r="G359" s="8">
        <v>42296</v>
      </c>
      <c r="H359" s="1" t="s">
        <v>44</v>
      </c>
      <c r="I359" s="1">
        <v>2</v>
      </c>
      <c r="J359" s="1">
        <v>2</v>
      </c>
      <c r="K359" s="1">
        <v>0</v>
      </c>
      <c r="L359" s="1" t="s">
        <v>48</v>
      </c>
      <c r="M359" s="1">
        <v>0</v>
      </c>
      <c r="N359" s="1">
        <v>0</v>
      </c>
      <c r="O359" s="1">
        <v>0</v>
      </c>
      <c r="P359" s="11" t="str">
        <f t="shared" si="5"/>
        <v>胜</v>
      </c>
      <c r="Q359" s="11" t="str">
        <f t="shared" si="5"/>
        <v>胜</v>
      </c>
    </row>
    <row r="360" spans="4:17" customFormat="1" hidden="1" x14ac:dyDescent="0.15">
      <c r="D360" t="s">
        <v>6</v>
      </c>
      <c r="E360" s="1">
        <v>159709</v>
      </c>
      <c r="F360" s="1">
        <v>159709</v>
      </c>
      <c r="G360" s="8">
        <v>42296</v>
      </c>
      <c r="H360" s="1" t="s">
        <v>37</v>
      </c>
      <c r="I360" s="1">
        <v>0</v>
      </c>
      <c r="J360" s="1">
        <v>1</v>
      </c>
      <c r="K360" s="1">
        <v>0</v>
      </c>
      <c r="L360" s="1" t="s">
        <v>32</v>
      </c>
      <c r="M360" s="1">
        <v>0</v>
      </c>
      <c r="N360" s="1">
        <v>1</v>
      </c>
      <c r="O360" s="1">
        <v>0</v>
      </c>
      <c r="P360" s="11" t="str">
        <f t="shared" si="5"/>
        <v>平</v>
      </c>
      <c r="Q360" s="11" t="str">
        <f t="shared" si="5"/>
        <v>平</v>
      </c>
    </row>
    <row r="361" spans="4:17" customFormat="1" hidden="1" x14ac:dyDescent="0.15">
      <c r="D361" t="s">
        <v>6</v>
      </c>
      <c r="E361" s="1">
        <v>159710</v>
      </c>
      <c r="F361" s="1">
        <v>159710</v>
      </c>
      <c r="G361" s="8">
        <v>42296</v>
      </c>
      <c r="H361" s="1" t="s">
        <v>49</v>
      </c>
      <c r="I361" s="1">
        <v>2</v>
      </c>
      <c r="J361" s="1">
        <v>3</v>
      </c>
      <c r="K361" s="1">
        <v>0</v>
      </c>
      <c r="L361" s="1" t="s">
        <v>41</v>
      </c>
      <c r="M361" s="1">
        <v>0</v>
      </c>
      <c r="N361" s="1">
        <v>1</v>
      </c>
      <c r="O361" s="1">
        <v>0</v>
      </c>
      <c r="P361" s="11" t="str">
        <f t="shared" si="5"/>
        <v>胜</v>
      </c>
      <c r="Q361" s="11" t="str">
        <f t="shared" si="5"/>
        <v>胜</v>
      </c>
    </row>
    <row r="362" spans="4:17" customFormat="1" hidden="1" x14ac:dyDescent="0.15">
      <c r="D362" t="s">
        <v>6</v>
      </c>
      <c r="E362" s="1">
        <v>159716</v>
      </c>
      <c r="F362" s="1">
        <v>159716</v>
      </c>
      <c r="G362" s="8">
        <v>42296.083333333336</v>
      </c>
      <c r="H362" s="1" t="s">
        <v>53</v>
      </c>
      <c r="I362" s="1">
        <v>1</v>
      </c>
      <c r="J362" s="1">
        <v>3</v>
      </c>
      <c r="K362" s="1">
        <v>0</v>
      </c>
      <c r="L362" s="1" t="s">
        <v>45</v>
      </c>
      <c r="M362" s="1">
        <v>1</v>
      </c>
      <c r="N362" s="1">
        <v>1</v>
      </c>
      <c r="O362" s="1">
        <v>0</v>
      </c>
      <c r="P362" s="11" t="str">
        <f t="shared" si="5"/>
        <v>平</v>
      </c>
      <c r="Q362" s="11" t="str">
        <f t="shared" si="5"/>
        <v>胜</v>
      </c>
    </row>
    <row r="363" spans="4:17" customFormat="1" hidden="1" x14ac:dyDescent="0.15">
      <c r="D363" t="s">
        <v>6</v>
      </c>
      <c r="E363" s="1">
        <v>161838</v>
      </c>
      <c r="F363" s="1">
        <v>161838</v>
      </c>
      <c r="G363" s="8">
        <v>42302</v>
      </c>
      <c r="H363" s="1" t="s">
        <v>48</v>
      </c>
      <c r="I363" s="1">
        <v>0</v>
      </c>
      <c r="J363" s="1">
        <v>0</v>
      </c>
      <c r="K363" s="1">
        <v>0</v>
      </c>
      <c r="L363" s="1" t="s">
        <v>49</v>
      </c>
      <c r="M363" s="1">
        <v>1</v>
      </c>
      <c r="N363" s="1">
        <v>1</v>
      </c>
      <c r="O363" s="1">
        <v>0</v>
      </c>
      <c r="P363" s="11" t="str">
        <f t="shared" si="5"/>
        <v>负</v>
      </c>
      <c r="Q363" s="11" t="str">
        <f t="shared" si="5"/>
        <v>负</v>
      </c>
    </row>
    <row r="364" spans="4:17" customFormat="1" hidden="1" x14ac:dyDescent="0.15">
      <c r="D364" t="s">
        <v>6</v>
      </c>
      <c r="E364" s="1">
        <v>161839</v>
      </c>
      <c r="F364" s="1">
        <v>161839</v>
      </c>
      <c r="G364" s="8">
        <v>42301.895138888889</v>
      </c>
      <c r="H364" s="1" t="s">
        <v>41</v>
      </c>
      <c r="I364" s="1">
        <v>0</v>
      </c>
      <c r="J364" s="1">
        <v>1</v>
      </c>
      <c r="K364" s="1">
        <v>0</v>
      </c>
      <c r="L364" s="1" t="s">
        <v>53</v>
      </c>
      <c r="M364" s="1">
        <v>0</v>
      </c>
      <c r="N364" s="1">
        <v>0</v>
      </c>
      <c r="O364" s="1">
        <v>0</v>
      </c>
      <c r="P364" s="11" t="str">
        <f t="shared" si="5"/>
        <v>平</v>
      </c>
      <c r="Q364" s="11" t="str">
        <f t="shared" si="5"/>
        <v>胜</v>
      </c>
    </row>
    <row r="365" spans="4:17" customFormat="1" hidden="1" x14ac:dyDescent="0.15">
      <c r="D365" t="s">
        <v>6</v>
      </c>
      <c r="E365" s="1">
        <v>161955</v>
      </c>
      <c r="F365" s="1">
        <v>161955</v>
      </c>
      <c r="G365" s="8">
        <v>42301.041666666664</v>
      </c>
      <c r="H365" s="1" t="s">
        <v>36</v>
      </c>
      <c r="I365" s="1">
        <v>0</v>
      </c>
      <c r="J365" s="1">
        <v>1</v>
      </c>
      <c r="K365" s="1">
        <v>0</v>
      </c>
      <c r="L365" s="1" t="s">
        <v>51</v>
      </c>
      <c r="M365" s="1">
        <v>1</v>
      </c>
      <c r="N365" s="1">
        <v>1</v>
      </c>
      <c r="O365" s="1">
        <v>0</v>
      </c>
      <c r="P365" s="11" t="str">
        <f t="shared" si="5"/>
        <v>负</v>
      </c>
      <c r="Q365" s="11" t="str">
        <f t="shared" si="5"/>
        <v>平</v>
      </c>
    </row>
    <row r="366" spans="4:17" customFormat="1" hidden="1" x14ac:dyDescent="0.15">
      <c r="D366" t="s">
        <v>6</v>
      </c>
      <c r="E366" s="1">
        <v>161992</v>
      </c>
      <c r="F366" s="1">
        <v>161992</v>
      </c>
      <c r="G366" s="8">
        <v>42302.9375</v>
      </c>
      <c r="H366" s="1" t="s">
        <v>43</v>
      </c>
      <c r="I366" s="1">
        <v>1</v>
      </c>
      <c r="J366" s="1">
        <v>1</v>
      </c>
      <c r="K366" s="1">
        <v>0</v>
      </c>
      <c r="L366" s="1" t="s">
        <v>38</v>
      </c>
      <c r="M366" s="1">
        <v>1</v>
      </c>
      <c r="N366" s="1">
        <v>2</v>
      </c>
      <c r="O366" s="1">
        <v>0</v>
      </c>
      <c r="P366" s="11" t="str">
        <f t="shared" si="5"/>
        <v>平</v>
      </c>
      <c r="Q366" s="11" t="str">
        <f t="shared" si="5"/>
        <v>负</v>
      </c>
    </row>
    <row r="367" spans="4:17" x14ac:dyDescent="0.15">
      <c r="D367" s="2" t="s">
        <v>6</v>
      </c>
      <c r="E367" s="6">
        <v>162001</v>
      </c>
      <c r="F367" s="6">
        <v>162001</v>
      </c>
      <c r="G367" s="24">
        <v>42303.042361111111</v>
      </c>
      <c r="H367" s="6" t="s">
        <v>32</v>
      </c>
      <c r="I367" s="6">
        <v>0</v>
      </c>
      <c r="J367" s="6">
        <v>0</v>
      </c>
      <c r="K367" s="6">
        <v>0</v>
      </c>
      <c r="L367" s="6" t="s">
        <v>44</v>
      </c>
      <c r="M367" s="6">
        <v>1</v>
      </c>
      <c r="N367" s="6">
        <v>3</v>
      </c>
      <c r="O367" s="6">
        <v>0</v>
      </c>
      <c r="P367" s="11" t="str">
        <f t="shared" si="5"/>
        <v>负</v>
      </c>
      <c r="Q367" s="11" t="str">
        <f t="shared" si="5"/>
        <v>负</v>
      </c>
    </row>
    <row r="368" spans="4:17" customFormat="1" hidden="1" x14ac:dyDescent="0.15">
      <c r="D368" t="s">
        <v>6</v>
      </c>
      <c r="E368" s="1">
        <v>162002</v>
      </c>
      <c r="F368" s="1">
        <v>162002</v>
      </c>
      <c r="G368" s="8">
        <v>42303.040972222225</v>
      </c>
      <c r="H368" s="1" t="s">
        <v>54</v>
      </c>
      <c r="I368" s="1">
        <v>1</v>
      </c>
      <c r="J368" s="1">
        <v>3</v>
      </c>
      <c r="K368" s="1">
        <v>0</v>
      </c>
      <c r="L368" s="1" t="s">
        <v>52</v>
      </c>
      <c r="M368" s="1">
        <v>1</v>
      </c>
      <c r="N368" s="1">
        <v>3</v>
      </c>
      <c r="O368" s="1">
        <v>0</v>
      </c>
      <c r="P368" s="11" t="str">
        <f t="shared" si="5"/>
        <v>平</v>
      </c>
      <c r="Q368" s="11" t="str">
        <f t="shared" si="5"/>
        <v>平</v>
      </c>
    </row>
    <row r="369" spans="4:17" customFormat="1" hidden="1" x14ac:dyDescent="0.15">
      <c r="D369" t="s">
        <v>6</v>
      </c>
      <c r="E369" s="1">
        <v>162003</v>
      </c>
      <c r="F369" s="1">
        <v>162003</v>
      </c>
      <c r="G369" s="8">
        <v>42303.041666666664</v>
      </c>
      <c r="H369" s="1" t="s">
        <v>40</v>
      </c>
      <c r="I369" s="1">
        <v>3</v>
      </c>
      <c r="J369" s="1">
        <v>3</v>
      </c>
      <c r="K369" s="1">
        <v>0</v>
      </c>
      <c r="L369" s="1" t="s">
        <v>37</v>
      </c>
      <c r="M369" s="1">
        <v>1</v>
      </c>
      <c r="N369" s="1">
        <v>3</v>
      </c>
      <c r="O369" s="1">
        <v>0</v>
      </c>
      <c r="P369" s="11" t="str">
        <f t="shared" si="5"/>
        <v>胜</v>
      </c>
      <c r="Q369" s="11" t="str">
        <f t="shared" si="5"/>
        <v>平</v>
      </c>
    </row>
    <row r="370" spans="4:17" customFormat="1" hidden="1" x14ac:dyDescent="0.15">
      <c r="D370" t="s">
        <v>6</v>
      </c>
      <c r="E370" s="1">
        <v>162007</v>
      </c>
      <c r="F370" s="1">
        <v>162007</v>
      </c>
      <c r="G370" s="8">
        <v>42303.125</v>
      </c>
      <c r="H370" s="1" t="s">
        <v>45</v>
      </c>
      <c r="I370" s="1">
        <v>1</v>
      </c>
      <c r="J370" s="1">
        <v>2</v>
      </c>
      <c r="K370" s="1">
        <v>0</v>
      </c>
      <c r="L370" s="1" t="s">
        <v>42</v>
      </c>
      <c r="M370" s="1">
        <v>1</v>
      </c>
      <c r="N370" s="1">
        <v>1</v>
      </c>
      <c r="O370" s="1">
        <v>0</v>
      </c>
      <c r="P370" s="11" t="str">
        <f t="shared" si="5"/>
        <v>平</v>
      </c>
      <c r="Q370" s="11" t="str">
        <f t="shared" si="5"/>
        <v>胜</v>
      </c>
    </row>
    <row r="371" spans="4:17" customFormat="1" hidden="1" x14ac:dyDescent="0.15">
      <c r="D371" t="s">
        <v>6</v>
      </c>
      <c r="E371" s="1">
        <v>163886</v>
      </c>
      <c r="F371" s="1">
        <v>163886</v>
      </c>
      <c r="G371" s="8">
        <v>42310.042361111111</v>
      </c>
      <c r="H371" s="1" t="s">
        <v>44</v>
      </c>
      <c r="I371" s="1">
        <v>0</v>
      </c>
      <c r="J371" s="1">
        <v>3</v>
      </c>
      <c r="K371" s="1">
        <v>0</v>
      </c>
      <c r="L371" s="1" t="s">
        <v>41</v>
      </c>
      <c r="M371" s="1">
        <v>0</v>
      </c>
      <c r="N371" s="1">
        <v>1</v>
      </c>
      <c r="O371" s="1">
        <v>0</v>
      </c>
      <c r="P371" s="11" t="str">
        <f t="shared" si="5"/>
        <v>平</v>
      </c>
      <c r="Q371" s="11" t="str">
        <f t="shared" si="5"/>
        <v>胜</v>
      </c>
    </row>
    <row r="372" spans="4:17" customFormat="1" hidden="1" x14ac:dyDescent="0.15">
      <c r="D372" t="s">
        <v>6</v>
      </c>
      <c r="E372" s="1">
        <v>163887</v>
      </c>
      <c r="F372" s="1">
        <v>163887</v>
      </c>
      <c r="G372" s="8">
        <v>42310.041666666664</v>
      </c>
      <c r="H372" s="1" t="s">
        <v>42</v>
      </c>
      <c r="I372" s="1">
        <v>1</v>
      </c>
      <c r="J372" s="1">
        <v>3</v>
      </c>
      <c r="K372" s="1">
        <v>0</v>
      </c>
      <c r="L372" s="1" t="s">
        <v>36</v>
      </c>
      <c r="M372" s="1">
        <v>1</v>
      </c>
      <c r="N372" s="1">
        <v>2</v>
      </c>
      <c r="O372" s="1">
        <v>0</v>
      </c>
      <c r="P372" s="11" t="str">
        <f t="shared" si="5"/>
        <v>平</v>
      </c>
      <c r="Q372" s="11" t="str">
        <f t="shared" si="5"/>
        <v>胜</v>
      </c>
    </row>
    <row r="373" spans="4:17" customFormat="1" hidden="1" x14ac:dyDescent="0.15">
      <c r="D373" t="s">
        <v>6</v>
      </c>
      <c r="E373" s="1">
        <v>163888</v>
      </c>
      <c r="F373" s="1">
        <v>163888</v>
      </c>
      <c r="G373" s="8">
        <v>42310.041666666664</v>
      </c>
      <c r="H373" s="1" t="s">
        <v>52</v>
      </c>
      <c r="I373" s="1">
        <v>0</v>
      </c>
      <c r="J373" s="1">
        <v>1</v>
      </c>
      <c r="K373" s="1">
        <v>0</v>
      </c>
      <c r="L373" s="1" t="s">
        <v>40</v>
      </c>
      <c r="M373" s="1">
        <v>2</v>
      </c>
      <c r="N373" s="1">
        <v>2</v>
      </c>
      <c r="O373" s="1">
        <v>0</v>
      </c>
      <c r="P373" s="11" t="str">
        <f t="shared" si="5"/>
        <v>负</v>
      </c>
      <c r="Q373" s="11" t="str">
        <f t="shared" si="5"/>
        <v>负</v>
      </c>
    </row>
    <row r="374" spans="4:17" customFormat="1" hidden="1" x14ac:dyDescent="0.15">
      <c r="D374" t="s">
        <v>6</v>
      </c>
      <c r="E374" s="1">
        <v>163889</v>
      </c>
      <c r="F374" s="1">
        <v>163889</v>
      </c>
      <c r="G374" s="8">
        <v>42310.041666666664</v>
      </c>
      <c r="H374" s="1" t="s">
        <v>53</v>
      </c>
      <c r="I374" s="1">
        <v>1</v>
      </c>
      <c r="J374" s="1">
        <v>3</v>
      </c>
      <c r="K374" s="1">
        <v>0</v>
      </c>
      <c r="L374" s="1" t="s">
        <v>32</v>
      </c>
      <c r="M374" s="1">
        <v>1</v>
      </c>
      <c r="N374" s="1">
        <v>1</v>
      </c>
      <c r="O374" s="1">
        <v>0</v>
      </c>
      <c r="P374" s="11" t="str">
        <f t="shared" si="5"/>
        <v>平</v>
      </c>
      <c r="Q374" s="11" t="str">
        <f t="shared" si="5"/>
        <v>胜</v>
      </c>
    </row>
    <row r="375" spans="4:17" customFormat="1" hidden="1" x14ac:dyDescent="0.15">
      <c r="D375" t="s">
        <v>6</v>
      </c>
      <c r="E375" s="1">
        <v>163890</v>
      </c>
      <c r="F375" s="1">
        <v>163890</v>
      </c>
      <c r="G375" s="8">
        <v>42310.040972222225</v>
      </c>
      <c r="H375" s="1" t="s">
        <v>49</v>
      </c>
      <c r="I375" s="1">
        <v>2</v>
      </c>
      <c r="J375" s="1">
        <v>2</v>
      </c>
      <c r="K375" s="1">
        <v>0</v>
      </c>
      <c r="L375" s="1" t="s">
        <v>54</v>
      </c>
      <c r="M375" s="1">
        <v>0</v>
      </c>
      <c r="N375" s="1">
        <v>2</v>
      </c>
      <c r="O375" s="1">
        <v>0</v>
      </c>
      <c r="P375" s="11" t="str">
        <f t="shared" si="5"/>
        <v>胜</v>
      </c>
      <c r="Q375" s="11" t="str">
        <f t="shared" si="5"/>
        <v>平</v>
      </c>
    </row>
    <row r="376" spans="4:17" customFormat="1" hidden="1" x14ac:dyDescent="0.15">
      <c r="D376" t="s">
        <v>6</v>
      </c>
      <c r="E376" s="1">
        <v>163891</v>
      </c>
      <c r="F376" s="1">
        <v>163891</v>
      </c>
      <c r="G376" s="8">
        <v>42310.041666666664</v>
      </c>
      <c r="H376" s="1" t="s">
        <v>51</v>
      </c>
      <c r="I376" s="1">
        <v>0</v>
      </c>
      <c r="J376" s="1">
        <v>1</v>
      </c>
      <c r="K376" s="1">
        <v>0</v>
      </c>
      <c r="L376" s="1" t="s">
        <v>43</v>
      </c>
      <c r="M376" s="1">
        <v>1</v>
      </c>
      <c r="N376" s="1">
        <v>2</v>
      </c>
      <c r="O376" s="1">
        <v>0</v>
      </c>
      <c r="P376" s="11" t="str">
        <f t="shared" si="5"/>
        <v>负</v>
      </c>
      <c r="Q376" s="11" t="str">
        <f t="shared" si="5"/>
        <v>负</v>
      </c>
    </row>
    <row r="377" spans="4:17" customFormat="1" hidden="1" x14ac:dyDescent="0.15">
      <c r="D377" t="s">
        <v>6</v>
      </c>
      <c r="E377" s="1">
        <v>163892</v>
      </c>
      <c r="F377" s="1">
        <v>163892</v>
      </c>
      <c r="G377" s="8">
        <v>42310.041666666664</v>
      </c>
      <c r="H377" s="1" t="s">
        <v>38</v>
      </c>
      <c r="I377" s="1">
        <v>1</v>
      </c>
      <c r="J377" s="1">
        <v>4</v>
      </c>
      <c r="K377" s="1">
        <v>0</v>
      </c>
      <c r="L377" s="1" t="s">
        <v>45</v>
      </c>
      <c r="M377" s="1">
        <v>0</v>
      </c>
      <c r="N377" s="1">
        <v>1</v>
      </c>
      <c r="O377" s="1">
        <v>0</v>
      </c>
      <c r="P377" s="11" t="str">
        <f t="shared" si="5"/>
        <v>胜</v>
      </c>
      <c r="Q377" s="11" t="str">
        <f t="shared" si="5"/>
        <v>胜</v>
      </c>
    </row>
    <row r="378" spans="4:17" customFormat="1" hidden="1" x14ac:dyDescent="0.15">
      <c r="D378" t="s">
        <v>6</v>
      </c>
      <c r="E378" s="1">
        <v>163893</v>
      </c>
      <c r="F378" s="1">
        <v>163893</v>
      </c>
      <c r="G378" s="8">
        <v>42310.041666666664</v>
      </c>
      <c r="H378" s="1" t="s">
        <v>37</v>
      </c>
      <c r="I378" s="1">
        <v>1</v>
      </c>
      <c r="J378" s="1">
        <v>4</v>
      </c>
      <c r="K378" s="1">
        <v>0</v>
      </c>
      <c r="L378" s="1" t="s">
        <v>48</v>
      </c>
      <c r="M378" s="1">
        <v>1</v>
      </c>
      <c r="N378" s="1">
        <v>3</v>
      </c>
      <c r="O378" s="1">
        <v>0</v>
      </c>
      <c r="P378" s="11" t="str">
        <f t="shared" si="5"/>
        <v>平</v>
      </c>
      <c r="Q378" s="11" t="str">
        <f t="shared" si="5"/>
        <v>胜</v>
      </c>
    </row>
    <row r="379" spans="4:17" customFormat="1" hidden="1" x14ac:dyDescent="0.15">
      <c r="D379" t="s">
        <v>6</v>
      </c>
      <c r="E379" s="1">
        <v>166590</v>
      </c>
      <c r="F379" s="1">
        <v>166590</v>
      </c>
      <c r="G379" s="8">
        <v>42317.040972222225</v>
      </c>
      <c r="H379" s="1" t="s">
        <v>43</v>
      </c>
      <c r="I379" s="1">
        <v>0</v>
      </c>
      <c r="J379" s="1">
        <v>0</v>
      </c>
      <c r="K379" s="1">
        <v>0</v>
      </c>
      <c r="L379" s="1" t="s">
        <v>37</v>
      </c>
      <c r="M379" s="1">
        <v>0</v>
      </c>
      <c r="N379" s="1">
        <v>1</v>
      </c>
      <c r="O379" s="1">
        <v>0</v>
      </c>
      <c r="P379" s="11" t="str">
        <f t="shared" si="5"/>
        <v>平</v>
      </c>
      <c r="Q379" s="11" t="str">
        <f t="shared" si="5"/>
        <v>负</v>
      </c>
    </row>
    <row r="380" spans="4:17" x14ac:dyDescent="0.15">
      <c r="D380" s="2" t="s">
        <v>6</v>
      </c>
      <c r="E380" s="6">
        <v>166595</v>
      </c>
      <c r="F380" s="6">
        <v>166595</v>
      </c>
      <c r="G380" s="24">
        <v>42317.041666666664</v>
      </c>
      <c r="H380" s="6" t="s">
        <v>32</v>
      </c>
      <c r="I380" s="6">
        <v>0</v>
      </c>
      <c r="J380" s="6">
        <v>6</v>
      </c>
      <c r="K380" s="6">
        <v>0</v>
      </c>
      <c r="L380" s="6" t="s">
        <v>42</v>
      </c>
      <c r="M380" s="6">
        <v>1</v>
      </c>
      <c r="N380" s="6">
        <v>1</v>
      </c>
      <c r="O380" s="6">
        <v>0</v>
      </c>
      <c r="P380" s="11" t="str">
        <f t="shared" si="5"/>
        <v>负</v>
      </c>
      <c r="Q380" s="11" t="str">
        <f t="shared" si="5"/>
        <v>胜</v>
      </c>
    </row>
    <row r="381" spans="4:17" customFormat="1" hidden="1" x14ac:dyDescent="0.15">
      <c r="D381" t="s">
        <v>6</v>
      </c>
      <c r="E381" s="1">
        <v>166598</v>
      </c>
      <c r="F381" s="1">
        <v>166598</v>
      </c>
      <c r="G381" s="8">
        <v>42317.041666666664</v>
      </c>
      <c r="H381" s="1" t="s">
        <v>36</v>
      </c>
      <c r="I381" s="1">
        <v>0</v>
      </c>
      <c r="J381" s="1">
        <v>0</v>
      </c>
      <c r="K381" s="1">
        <v>0</v>
      </c>
      <c r="L381" s="1" t="s">
        <v>38</v>
      </c>
      <c r="M381" s="1">
        <v>2</v>
      </c>
      <c r="N381" s="1">
        <v>3</v>
      </c>
      <c r="O381" s="1">
        <v>0</v>
      </c>
      <c r="P381" s="11" t="str">
        <f t="shared" si="5"/>
        <v>负</v>
      </c>
      <c r="Q381" s="11" t="str">
        <f t="shared" si="5"/>
        <v>负</v>
      </c>
    </row>
    <row r="382" spans="4:17" customFormat="1" hidden="1" x14ac:dyDescent="0.15">
      <c r="D382" t="s">
        <v>6</v>
      </c>
      <c r="E382" s="1">
        <v>166599</v>
      </c>
      <c r="F382" s="1">
        <v>166599</v>
      </c>
      <c r="G382" s="8">
        <v>42317.043055555558</v>
      </c>
      <c r="H382" s="1" t="s">
        <v>41</v>
      </c>
      <c r="I382" s="1">
        <v>0</v>
      </c>
      <c r="J382" s="1">
        <v>2</v>
      </c>
      <c r="K382" s="1">
        <v>0</v>
      </c>
      <c r="L382" s="1" t="s">
        <v>52</v>
      </c>
      <c r="M382" s="1">
        <v>0</v>
      </c>
      <c r="N382" s="1">
        <v>1</v>
      </c>
      <c r="O382" s="1">
        <v>0</v>
      </c>
      <c r="P382" s="11" t="str">
        <f t="shared" si="5"/>
        <v>平</v>
      </c>
      <c r="Q382" s="11" t="str">
        <f t="shared" si="5"/>
        <v>胜</v>
      </c>
    </row>
    <row r="383" spans="4:17" customFormat="1" hidden="1" x14ac:dyDescent="0.15">
      <c r="D383" t="s">
        <v>6</v>
      </c>
      <c r="E383" s="1">
        <v>166601</v>
      </c>
      <c r="F383" s="1">
        <v>166601</v>
      </c>
      <c r="G383" s="8">
        <v>42317.041666666664</v>
      </c>
      <c r="H383" s="1" t="s">
        <v>45</v>
      </c>
      <c r="I383" s="1">
        <v>0</v>
      </c>
      <c r="J383" s="1">
        <v>3</v>
      </c>
      <c r="K383" s="1">
        <v>0</v>
      </c>
      <c r="L383" s="1" t="s">
        <v>51</v>
      </c>
      <c r="M383" s="1">
        <v>1</v>
      </c>
      <c r="N383" s="1">
        <v>1</v>
      </c>
      <c r="O383" s="1">
        <v>0</v>
      </c>
      <c r="P383" s="11" t="str">
        <f t="shared" si="5"/>
        <v>负</v>
      </c>
      <c r="Q383" s="11" t="str">
        <f t="shared" si="5"/>
        <v>胜</v>
      </c>
    </row>
    <row r="384" spans="4:17" customFormat="1" hidden="1" x14ac:dyDescent="0.15">
      <c r="D384" t="s">
        <v>6</v>
      </c>
      <c r="E384" s="1">
        <v>166602</v>
      </c>
      <c r="F384" s="1">
        <v>166602</v>
      </c>
      <c r="G384" s="8">
        <v>42317.041666666664</v>
      </c>
      <c r="H384" s="1" t="s">
        <v>40</v>
      </c>
      <c r="I384" s="1">
        <v>2</v>
      </c>
      <c r="J384" s="1">
        <v>2</v>
      </c>
      <c r="K384" s="1">
        <v>0</v>
      </c>
      <c r="L384" s="1" t="s">
        <v>49</v>
      </c>
      <c r="M384" s="1">
        <v>0</v>
      </c>
      <c r="N384" s="1">
        <v>2</v>
      </c>
      <c r="O384" s="1">
        <v>0</v>
      </c>
      <c r="P384" s="11" t="str">
        <f t="shared" si="5"/>
        <v>胜</v>
      </c>
      <c r="Q384" s="11" t="str">
        <f t="shared" si="5"/>
        <v>平</v>
      </c>
    </row>
    <row r="385" spans="4:17" customFormat="1" hidden="1" x14ac:dyDescent="0.15">
      <c r="D385" t="s">
        <v>6</v>
      </c>
      <c r="E385" s="1">
        <v>166738</v>
      </c>
      <c r="F385" s="1">
        <v>166738</v>
      </c>
      <c r="G385" s="8">
        <v>42317.041666666664</v>
      </c>
      <c r="H385" s="1" t="s">
        <v>48</v>
      </c>
      <c r="I385" s="1">
        <v>0</v>
      </c>
      <c r="J385" s="1">
        <v>0</v>
      </c>
      <c r="K385" s="1">
        <v>0</v>
      </c>
      <c r="L385" s="1" t="s">
        <v>53</v>
      </c>
      <c r="M385" s="1">
        <v>1</v>
      </c>
      <c r="N385" s="1">
        <v>1</v>
      </c>
      <c r="O385" s="1">
        <v>0</v>
      </c>
      <c r="P385" s="11" t="str">
        <f t="shared" si="5"/>
        <v>负</v>
      </c>
      <c r="Q385" s="11" t="str">
        <f t="shared" si="5"/>
        <v>负</v>
      </c>
    </row>
    <row r="386" spans="4:17" customFormat="1" hidden="1" x14ac:dyDescent="0.15">
      <c r="D386" t="s">
        <v>6</v>
      </c>
      <c r="E386" s="1">
        <v>166741</v>
      </c>
      <c r="F386" s="1">
        <v>166741</v>
      </c>
      <c r="G386" s="8">
        <v>42317.043749999997</v>
      </c>
      <c r="H386" s="1" t="s">
        <v>54</v>
      </c>
      <c r="I386" s="1">
        <v>1</v>
      </c>
      <c r="J386" s="1">
        <v>5</v>
      </c>
      <c r="K386" s="1">
        <v>0</v>
      </c>
      <c r="L386" s="1" t="s">
        <v>44</v>
      </c>
      <c r="M386" s="1">
        <v>0</v>
      </c>
      <c r="N386" s="1">
        <v>0</v>
      </c>
      <c r="O386" s="1">
        <v>0</v>
      </c>
      <c r="P386" s="11" t="str">
        <f t="shared" si="5"/>
        <v>胜</v>
      </c>
      <c r="Q386" s="11" t="str">
        <f t="shared" si="5"/>
        <v>胜</v>
      </c>
    </row>
    <row r="387" spans="4:17" customFormat="1" hidden="1" x14ac:dyDescent="0.15">
      <c r="D387" t="s">
        <v>6</v>
      </c>
      <c r="E387" s="1">
        <v>195425</v>
      </c>
      <c r="F387" s="1">
        <v>195425</v>
      </c>
      <c r="G387" s="8">
        <v>42441.084027777775</v>
      </c>
      <c r="H387" s="1" t="s">
        <v>43</v>
      </c>
      <c r="I387" s="1">
        <v>0</v>
      </c>
      <c r="J387" s="1">
        <v>1</v>
      </c>
      <c r="K387" s="1">
        <v>0</v>
      </c>
      <c r="L387" s="1" t="s">
        <v>42</v>
      </c>
      <c r="M387" s="1">
        <v>0</v>
      </c>
      <c r="N387" s="1">
        <v>0</v>
      </c>
      <c r="O387" s="1">
        <v>0</v>
      </c>
      <c r="P387" s="11" t="str">
        <f t="shared" si="5"/>
        <v>平</v>
      </c>
      <c r="Q387" s="11" t="str">
        <f t="shared" si="5"/>
        <v>胜</v>
      </c>
    </row>
    <row r="388" spans="4:17" customFormat="1" hidden="1" x14ac:dyDescent="0.15">
      <c r="D388" t="s">
        <v>6</v>
      </c>
      <c r="E388" s="1">
        <v>195889</v>
      </c>
      <c r="F388" s="1">
        <v>195889</v>
      </c>
      <c r="G388" s="8">
        <v>42443.041666666664</v>
      </c>
      <c r="H388" s="1" t="s">
        <v>40</v>
      </c>
      <c r="I388" s="1">
        <v>2</v>
      </c>
      <c r="J388" s="1">
        <v>2</v>
      </c>
      <c r="K388" s="1">
        <v>0</v>
      </c>
      <c r="L388" s="1" t="s">
        <v>46</v>
      </c>
      <c r="M388" s="1">
        <v>1</v>
      </c>
      <c r="N388" s="1">
        <v>2</v>
      </c>
      <c r="O388" s="1">
        <v>0</v>
      </c>
      <c r="P388" s="11" t="str">
        <f t="shared" si="5"/>
        <v>胜</v>
      </c>
      <c r="Q388" s="11" t="str">
        <f t="shared" si="5"/>
        <v>平</v>
      </c>
    </row>
    <row r="389" spans="4:17" x14ac:dyDescent="0.15">
      <c r="D389" s="2" t="s">
        <v>6</v>
      </c>
      <c r="E389" s="6">
        <v>195890</v>
      </c>
      <c r="F389" s="6">
        <v>195890</v>
      </c>
      <c r="G389" s="24">
        <v>42443.041666666664</v>
      </c>
      <c r="H389" s="6" t="s">
        <v>32</v>
      </c>
      <c r="I389" s="6">
        <v>1</v>
      </c>
      <c r="J389" s="6">
        <v>2</v>
      </c>
      <c r="K389" s="6">
        <v>0</v>
      </c>
      <c r="L389" s="6" t="s">
        <v>35</v>
      </c>
      <c r="M389" s="6">
        <v>0</v>
      </c>
      <c r="N389" s="6">
        <v>0</v>
      </c>
      <c r="O389" s="6">
        <v>0</v>
      </c>
      <c r="P389" s="11" t="str">
        <f t="shared" si="5"/>
        <v>胜</v>
      </c>
      <c r="Q389" s="11" t="str">
        <f t="shared" si="5"/>
        <v>胜</v>
      </c>
    </row>
    <row r="390" spans="4:17" customFormat="1" hidden="1" x14ac:dyDescent="0.15">
      <c r="D390" t="s">
        <v>6</v>
      </c>
      <c r="E390" s="1">
        <v>195891</v>
      </c>
      <c r="F390" s="1">
        <v>195891</v>
      </c>
      <c r="G390" s="8">
        <v>42443.052083333336</v>
      </c>
      <c r="H390" s="1" t="s">
        <v>41</v>
      </c>
      <c r="I390" s="1">
        <v>0</v>
      </c>
      <c r="J390" s="1">
        <v>0</v>
      </c>
      <c r="K390" s="1">
        <v>0</v>
      </c>
      <c r="L390" s="1" t="s">
        <v>48</v>
      </c>
      <c r="M390" s="1">
        <v>0</v>
      </c>
      <c r="N390" s="1">
        <v>1</v>
      </c>
      <c r="O390" s="1">
        <v>0</v>
      </c>
      <c r="P390" s="11" t="str">
        <f t="shared" si="5"/>
        <v>平</v>
      </c>
      <c r="Q390" s="11" t="str">
        <f t="shared" si="5"/>
        <v>负</v>
      </c>
    </row>
    <row r="391" spans="4:17" customFormat="1" hidden="1" x14ac:dyDescent="0.15">
      <c r="D391" t="s">
        <v>6</v>
      </c>
      <c r="E391" s="1">
        <v>195892</v>
      </c>
      <c r="F391" s="1">
        <v>195892</v>
      </c>
      <c r="G391" s="8">
        <v>42443.128472222219</v>
      </c>
      <c r="H391" s="1" t="s">
        <v>36</v>
      </c>
      <c r="I391" s="1">
        <v>1</v>
      </c>
      <c r="J391" s="1">
        <v>1</v>
      </c>
      <c r="K391" s="1">
        <v>0</v>
      </c>
      <c r="L391" s="1" t="s">
        <v>44</v>
      </c>
      <c r="M391" s="1">
        <v>1</v>
      </c>
      <c r="N391" s="1">
        <v>1</v>
      </c>
      <c r="O391" s="1">
        <v>0</v>
      </c>
      <c r="P391" s="11" t="str">
        <f t="shared" si="5"/>
        <v>平</v>
      </c>
      <c r="Q391" s="11" t="str">
        <f t="shared" si="5"/>
        <v>平</v>
      </c>
    </row>
    <row r="392" spans="4:17" customFormat="1" hidden="1" x14ac:dyDescent="0.15">
      <c r="D392" t="s">
        <v>6</v>
      </c>
      <c r="E392" s="1">
        <v>195893</v>
      </c>
      <c r="F392" s="1">
        <v>195893</v>
      </c>
      <c r="G392" s="8">
        <v>42442.9375</v>
      </c>
      <c r="H392" s="1" t="s">
        <v>38</v>
      </c>
      <c r="I392" s="1">
        <v>1</v>
      </c>
      <c r="J392" s="1">
        <v>1</v>
      </c>
      <c r="K392" s="1">
        <v>0</v>
      </c>
      <c r="L392" s="1" t="s">
        <v>53</v>
      </c>
      <c r="M392" s="1">
        <v>0</v>
      </c>
      <c r="N392" s="1">
        <v>1</v>
      </c>
      <c r="O392" s="1">
        <v>0</v>
      </c>
      <c r="P392" s="11" t="str">
        <f t="shared" si="5"/>
        <v>胜</v>
      </c>
      <c r="Q392" s="11" t="str">
        <f t="shared" si="5"/>
        <v>平</v>
      </c>
    </row>
    <row r="393" spans="4:17" customFormat="1" hidden="1" x14ac:dyDescent="0.15">
      <c r="D393" t="s">
        <v>6</v>
      </c>
      <c r="E393" s="1">
        <v>196205</v>
      </c>
      <c r="F393" s="1">
        <v>196205</v>
      </c>
      <c r="G393" s="8">
        <v>42444.083333333336</v>
      </c>
      <c r="H393" s="1" t="s">
        <v>49</v>
      </c>
      <c r="I393" s="1">
        <v>0</v>
      </c>
      <c r="J393" s="1">
        <v>0</v>
      </c>
      <c r="K393" s="1">
        <v>0</v>
      </c>
      <c r="L393" s="1" t="s">
        <v>45</v>
      </c>
      <c r="M393" s="1">
        <v>1</v>
      </c>
      <c r="N393" s="1">
        <v>2</v>
      </c>
      <c r="O393" s="1">
        <v>0</v>
      </c>
      <c r="P393" s="11" t="str">
        <f t="shared" si="5"/>
        <v>负</v>
      </c>
      <c r="Q393" s="11" t="str">
        <f t="shared" si="5"/>
        <v>负</v>
      </c>
    </row>
    <row r="394" spans="4:17" customFormat="1" hidden="1" x14ac:dyDescent="0.15">
      <c r="D394" t="s">
        <v>6</v>
      </c>
      <c r="E394" s="1">
        <v>196395</v>
      </c>
      <c r="F394" s="1">
        <v>196395</v>
      </c>
      <c r="G394" s="8">
        <v>42442.041666666664</v>
      </c>
      <c r="H394" s="1" t="s">
        <v>54</v>
      </c>
      <c r="I394" s="1">
        <v>1</v>
      </c>
      <c r="J394" s="1">
        <v>1</v>
      </c>
      <c r="K394" s="1">
        <v>0</v>
      </c>
      <c r="L394" s="1" t="s">
        <v>37</v>
      </c>
      <c r="M394" s="1">
        <v>0</v>
      </c>
      <c r="N394" s="1">
        <v>0</v>
      </c>
      <c r="O394" s="1">
        <v>0</v>
      </c>
      <c r="P394" s="11" t="str">
        <f t="shared" si="5"/>
        <v>胜</v>
      </c>
      <c r="Q394" s="11" t="str">
        <f t="shared" si="5"/>
        <v>胜</v>
      </c>
    </row>
    <row r="395" spans="4:17" customFormat="1" hidden="1" x14ac:dyDescent="0.15">
      <c r="D395" t="s">
        <v>6</v>
      </c>
      <c r="E395" s="1">
        <v>198146</v>
      </c>
      <c r="F395" s="1">
        <v>198146</v>
      </c>
      <c r="G395" s="8">
        <v>42448.082638888889</v>
      </c>
      <c r="H395" s="1" t="s">
        <v>53</v>
      </c>
      <c r="I395" s="1">
        <v>0</v>
      </c>
      <c r="J395" s="1">
        <v>0</v>
      </c>
      <c r="K395" s="1">
        <v>0</v>
      </c>
      <c r="L395" s="1" t="s">
        <v>36</v>
      </c>
      <c r="M395" s="1">
        <v>0</v>
      </c>
      <c r="N395" s="1">
        <v>0</v>
      </c>
      <c r="O395" s="1">
        <v>0</v>
      </c>
      <c r="P395" s="11" t="str">
        <f t="shared" si="5"/>
        <v>平</v>
      </c>
      <c r="Q395" s="11" t="str">
        <f t="shared" si="5"/>
        <v>平</v>
      </c>
    </row>
    <row r="396" spans="4:17" customFormat="1" hidden="1" x14ac:dyDescent="0.15">
      <c r="D396" t="s">
        <v>6</v>
      </c>
      <c r="E396" s="1">
        <v>198227</v>
      </c>
      <c r="F396" s="1">
        <v>198227</v>
      </c>
      <c r="G396" s="8">
        <v>42449.041666666664</v>
      </c>
      <c r="H396" s="1" t="s">
        <v>37</v>
      </c>
      <c r="I396" s="1">
        <v>1</v>
      </c>
      <c r="J396" s="1">
        <v>1</v>
      </c>
      <c r="K396" s="1">
        <v>0</v>
      </c>
      <c r="L396" s="1" t="s">
        <v>40</v>
      </c>
      <c r="M396" s="1">
        <v>0</v>
      </c>
      <c r="N396" s="1">
        <v>0</v>
      </c>
      <c r="O396" s="1">
        <v>0</v>
      </c>
      <c r="P396" s="11" t="str">
        <f t="shared" si="5"/>
        <v>胜</v>
      </c>
      <c r="Q396" s="11" t="str">
        <f t="shared" si="5"/>
        <v>胜</v>
      </c>
    </row>
    <row r="397" spans="4:17" customFormat="1" hidden="1" x14ac:dyDescent="0.15">
      <c r="D397" t="s">
        <v>6</v>
      </c>
      <c r="E397" s="1">
        <v>198258</v>
      </c>
      <c r="F397" s="1">
        <v>198258</v>
      </c>
      <c r="G397" s="8">
        <v>42448.9375</v>
      </c>
      <c r="H397" s="1" t="s">
        <v>48</v>
      </c>
      <c r="I397" s="1">
        <v>2</v>
      </c>
      <c r="J397" s="1">
        <v>3</v>
      </c>
      <c r="K397" s="1">
        <v>0</v>
      </c>
      <c r="L397" s="1" t="s">
        <v>43</v>
      </c>
      <c r="M397" s="1">
        <v>0</v>
      </c>
      <c r="N397" s="1">
        <v>0</v>
      </c>
      <c r="O397" s="1">
        <v>0</v>
      </c>
      <c r="P397" s="11" t="str">
        <f t="shared" ref="P397:Q460" si="6">IF(I397=M397,"平",IF(I397&gt;M397,"胜","负"))</f>
        <v>胜</v>
      </c>
      <c r="Q397" s="11" t="str">
        <f t="shared" si="6"/>
        <v>胜</v>
      </c>
    </row>
    <row r="398" spans="4:17" customFormat="1" hidden="1" x14ac:dyDescent="0.15">
      <c r="D398" t="s">
        <v>6</v>
      </c>
      <c r="E398" s="1">
        <v>198450</v>
      </c>
      <c r="F398" s="1">
        <v>198450</v>
      </c>
      <c r="G398" s="8">
        <v>42449.9375</v>
      </c>
      <c r="H398" s="1" t="s">
        <v>35</v>
      </c>
      <c r="I398" s="1">
        <v>1</v>
      </c>
      <c r="J398" s="1">
        <v>1</v>
      </c>
      <c r="K398" s="1">
        <v>0</v>
      </c>
      <c r="L398" s="1" t="s">
        <v>49</v>
      </c>
      <c r="M398" s="1">
        <v>0</v>
      </c>
      <c r="N398" s="1">
        <v>0</v>
      </c>
      <c r="O398" s="1">
        <v>0</v>
      </c>
      <c r="P398" s="11" t="str">
        <f t="shared" si="6"/>
        <v>胜</v>
      </c>
      <c r="Q398" s="11" t="str">
        <f t="shared" si="6"/>
        <v>胜</v>
      </c>
    </row>
    <row r="399" spans="4:17" customFormat="1" hidden="1" x14ac:dyDescent="0.15">
      <c r="D399" t="s">
        <v>6</v>
      </c>
      <c r="E399" s="1">
        <v>198460</v>
      </c>
      <c r="F399" s="1">
        <v>198460</v>
      </c>
      <c r="G399" s="8">
        <v>42450.041666666664</v>
      </c>
      <c r="H399" s="1" t="s">
        <v>44</v>
      </c>
      <c r="I399" s="1">
        <v>0</v>
      </c>
      <c r="J399" s="1">
        <v>1</v>
      </c>
      <c r="K399" s="1">
        <v>0</v>
      </c>
      <c r="L399" s="1" t="s">
        <v>32</v>
      </c>
      <c r="M399" s="1">
        <v>1</v>
      </c>
      <c r="N399" s="1">
        <v>1</v>
      </c>
      <c r="O399" s="1">
        <v>0</v>
      </c>
      <c r="P399" s="11" t="str">
        <f t="shared" si="6"/>
        <v>负</v>
      </c>
      <c r="Q399" s="11" t="str">
        <f t="shared" si="6"/>
        <v>平</v>
      </c>
    </row>
    <row r="400" spans="4:17" customFormat="1" hidden="1" x14ac:dyDescent="0.15">
      <c r="D400" t="s">
        <v>6</v>
      </c>
      <c r="E400" s="1">
        <v>198461</v>
      </c>
      <c r="F400" s="1">
        <v>198461</v>
      </c>
      <c r="G400" s="8">
        <v>42450.042361111111</v>
      </c>
      <c r="H400" s="1" t="s">
        <v>46</v>
      </c>
      <c r="I400" s="1">
        <v>0</v>
      </c>
      <c r="J400" s="1">
        <v>0</v>
      </c>
      <c r="K400" s="1">
        <v>0</v>
      </c>
      <c r="L400" s="1" t="s">
        <v>54</v>
      </c>
      <c r="M400" s="1">
        <v>0</v>
      </c>
      <c r="N400" s="1">
        <v>0</v>
      </c>
      <c r="O400" s="1">
        <v>0</v>
      </c>
      <c r="P400" s="11" t="str">
        <f t="shared" si="6"/>
        <v>平</v>
      </c>
      <c r="Q400" s="11" t="str">
        <f t="shared" si="6"/>
        <v>平</v>
      </c>
    </row>
    <row r="401" spans="4:17" customFormat="1" hidden="1" x14ac:dyDescent="0.15">
      <c r="D401" t="s">
        <v>6</v>
      </c>
      <c r="E401" s="1">
        <v>198462</v>
      </c>
      <c r="F401" s="1">
        <v>198462</v>
      </c>
      <c r="G401" s="8">
        <v>42450.040972222225</v>
      </c>
      <c r="H401" s="1" t="s">
        <v>45</v>
      </c>
      <c r="I401" s="1">
        <v>0</v>
      </c>
      <c r="J401" s="1">
        <v>0</v>
      </c>
      <c r="K401" s="1">
        <v>0</v>
      </c>
      <c r="L401" s="1" t="s">
        <v>41</v>
      </c>
      <c r="M401" s="1">
        <v>0</v>
      </c>
      <c r="N401" s="1">
        <v>0</v>
      </c>
      <c r="O401" s="1">
        <v>0</v>
      </c>
      <c r="P401" s="11" t="str">
        <f t="shared" si="6"/>
        <v>平</v>
      </c>
      <c r="Q401" s="11" t="str">
        <f t="shared" si="6"/>
        <v>平</v>
      </c>
    </row>
    <row r="402" spans="4:17" customFormat="1" hidden="1" x14ac:dyDescent="0.15">
      <c r="D402" t="s">
        <v>6</v>
      </c>
      <c r="E402" s="1">
        <v>198469</v>
      </c>
      <c r="F402" s="1">
        <v>198469</v>
      </c>
      <c r="G402" s="8">
        <v>42450.125</v>
      </c>
      <c r="H402" s="1" t="s">
        <v>42</v>
      </c>
      <c r="I402" s="1">
        <v>1</v>
      </c>
      <c r="J402" s="1">
        <v>1</v>
      </c>
      <c r="K402" s="1">
        <v>0</v>
      </c>
      <c r="L402" s="1" t="s">
        <v>38</v>
      </c>
      <c r="M402" s="1">
        <v>0</v>
      </c>
      <c r="N402" s="1">
        <v>2</v>
      </c>
      <c r="O402" s="1">
        <v>0</v>
      </c>
      <c r="P402" s="11" t="str">
        <f t="shared" si="6"/>
        <v>胜</v>
      </c>
      <c r="Q402" s="11" t="str">
        <f t="shared" si="6"/>
        <v>负</v>
      </c>
    </row>
    <row r="403" spans="4:17" customFormat="1" hidden="1" x14ac:dyDescent="0.15">
      <c r="D403" t="s">
        <v>6</v>
      </c>
      <c r="E403" s="1">
        <v>201706</v>
      </c>
      <c r="F403" s="1">
        <v>201706</v>
      </c>
      <c r="G403" s="8">
        <v>42462.897916666669</v>
      </c>
      <c r="H403" s="1" t="s">
        <v>36</v>
      </c>
      <c r="I403" s="1">
        <v>0</v>
      </c>
      <c r="J403" s="1">
        <v>0</v>
      </c>
      <c r="K403" s="1">
        <v>0</v>
      </c>
      <c r="L403" s="1" t="s">
        <v>45</v>
      </c>
      <c r="M403" s="1">
        <v>1</v>
      </c>
      <c r="N403" s="1">
        <v>1</v>
      </c>
      <c r="O403" s="1">
        <v>0</v>
      </c>
      <c r="P403" s="11" t="str">
        <f t="shared" si="6"/>
        <v>负</v>
      </c>
      <c r="Q403" s="11" t="str">
        <f t="shared" si="6"/>
        <v>负</v>
      </c>
    </row>
    <row r="404" spans="4:17" customFormat="1" hidden="1" x14ac:dyDescent="0.15">
      <c r="D404" t="s">
        <v>6</v>
      </c>
      <c r="E404" s="1">
        <v>201792</v>
      </c>
      <c r="F404" s="1">
        <v>201792</v>
      </c>
      <c r="G404" s="8">
        <v>42463</v>
      </c>
      <c r="H404" s="1" t="s">
        <v>49</v>
      </c>
      <c r="I404" s="1">
        <v>0</v>
      </c>
      <c r="J404" s="1">
        <v>0</v>
      </c>
      <c r="K404" s="1">
        <v>0</v>
      </c>
      <c r="L404" s="1" t="s">
        <v>37</v>
      </c>
      <c r="M404" s="1">
        <v>0</v>
      </c>
      <c r="N404" s="1">
        <v>2</v>
      </c>
      <c r="O404" s="1">
        <v>0</v>
      </c>
      <c r="P404" s="11" t="str">
        <f t="shared" si="6"/>
        <v>平</v>
      </c>
      <c r="Q404" s="11" t="str">
        <f t="shared" si="6"/>
        <v>负</v>
      </c>
    </row>
    <row r="405" spans="4:17" customFormat="1" hidden="1" x14ac:dyDescent="0.15">
      <c r="D405" t="s">
        <v>6</v>
      </c>
      <c r="E405" s="1">
        <v>201938</v>
      </c>
      <c r="F405" s="1">
        <v>201938</v>
      </c>
      <c r="G405" s="8">
        <v>42463.895138888889</v>
      </c>
      <c r="H405" s="1" t="s">
        <v>54</v>
      </c>
      <c r="I405" s="1">
        <v>0</v>
      </c>
      <c r="J405" s="1">
        <v>0</v>
      </c>
      <c r="K405" s="1">
        <v>0</v>
      </c>
      <c r="L405" s="1" t="s">
        <v>53</v>
      </c>
      <c r="M405" s="1">
        <v>0</v>
      </c>
      <c r="N405" s="1">
        <v>0</v>
      </c>
      <c r="O405" s="1">
        <v>0</v>
      </c>
      <c r="P405" s="11" t="str">
        <f t="shared" si="6"/>
        <v>平</v>
      </c>
      <c r="Q405" s="11" t="str">
        <f t="shared" si="6"/>
        <v>平</v>
      </c>
    </row>
    <row r="406" spans="4:17" customFormat="1" hidden="1" x14ac:dyDescent="0.15">
      <c r="D406" t="s">
        <v>6</v>
      </c>
      <c r="E406" s="1">
        <v>201954</v>
      </c>
      <c r="F406" s="1">
        <v>201954</v>
      </c>
      <c r="G406" s="8">
        <v>42462.041666666664</v>
      </c>
      <c r="H406" s="1" t="s">
        <v>38</v>
      </c>
      <c r="I406" s="1">
        <v>3</v>
      </c>
      <c r="J406" s="1">
        <v>4</v>
      </c>
      <c r="K406" s="1">
        <v>0</v>
      </c>
      <c r="L406" s="1" t="s">
        <v>44</v>
      </c>
      <c r="M406" s="1">
        <v>1</v>
      </c>
      <c r="N406" s="1">
        <v>2</v>
      </c>
      <c r="O406" s="1">
        <v>0</v>
      </c>
      <c r="P406" s="11" t="str">
        <f t="shared" si="6"/>
        <v>胜</v>
      </c>
      <c r="Q406" s="11" t="str">
        <f t="shared" si="6"/>
        <v>胜</v>
      </c>
    </row>
    <row r="407" spans="4:17" customFormat="1" hidden="1" x14ac:dyDescent="0.15">
      <c r="D407" t="s">
        <v>6</v>
      </c>
      <c r="E407" s="1">
        <v>202111</v>
      </c>
      <c r="F407" s="1">
        <v>202111</v>
      </c>
      <c r="G407" s="8">
        <v>42463.999305555553</v>
      </c>
      <c r="H407" s="1" t="s">
        <v>43</v>
      </c>
      <c r="I407" s="1">
        <v>1</v>
      </c>
      <c r="J407" s="1">
        <v>1</v>
      </c>
      <c r="K407" s="1">
        <v>0</v>
      </c>
      <c r="L407" s="1" t="s">
        <v>46</v>
      </c>
      <c r="M407" s="1">
        <v>0</v>
      </c>
      <c r="N407" s="1">
        <v>2</v>
      </c>
      <c r="O407" s="1">
        <v>0</v>
      </c>
      <c r="P407" s="11" t="str">
        <f t="shared" si="6"/>
        <v>胜</v>
      </c>
      <c r="Q407" s="11" t="str">
        <f t="shared" si="6"/>
        <v>负</v>
      </c>
    </row>
    <row r="408" spans="4:17" x14ac:dyDescent="0.15">
      <c r="D408" s="2" t="s">
        <v>6</v>
      </c>
      <c r="E408" s="6">
        <v>202112</v>
      </c>
      <c r="F408" s="6">
        <v>202112</v>
      </c>
      <c r="G408" s="24">
        <v>42464</v>
      </c>
      <c r="H408" s="6" t="s">
        <v>32</v>
      </c>
      <c r="I408" s="6">
        <v>1</v>
      </c>
      <c r="J408" s="6">
        <v>3</v>
      </c>
      <c r="K408" s="6">
        <v>0</v>
      </c>
      <c r="L408" s="6" t="s">
        <v>42</v>
      </c>
      <c r="M408" s="6">
        <v>0</v>
      </c>
      <c r="N408" s="6">
        <v>1</v>
      </c>
      <c r="O408" s="6">
        <v>0</v>
      </c>
      <c r="P408" s="11" t="str">
        <f t="shared" si="6"/>
        <v>胜</v>
      </c>
      <c r="Q408" s="11" t="str">
        <f t="shared" si="6"/>
        <v>胜</v>
      </c>
    </row>
    <row r="409" spans="4:17" customFormat="1" hidden="1" x14ac:dyDescent="0.15">
      <c r="D409" t="s">
        <v>6</v>
      </c>
      <c r="E409" s="1">
        <v>202113</v>
      </c>
      <c r="F409" s="1">
        <v>202113</v>
      </c>
      <c r="G409" s="8">
        <v>42463.999305555553</v>
      </c>
      <c r="H409" s="1" t="s">
        <v>41</v>
      </c>
      <c r="I409" s="1">
        <v>0</v>
      </c>
      <c r="J409" s="1">
        <v>0</v>
      </c>
      <c r="K409" s="1">
        <v>0</v>
      </c>
      <c r="L409" s="1" t="s">
        <v>35</v>
      </c>
      <c r="M409" s="1">
        <v>0</v>
      </c>
      <c r="N409" s="1">
        <v>0</v>
      </c>
      <c r="O409" s="1">
        <v>0</v>
      </c>
      <c r="P409" s="11" t="str">
        <f t="shared" si="6"/>
        <v>平</v>
      </c>
      <c r="Q409" s="11" t="str">
        <f t="shared" si="6"/>
        <v>平</v>
      </c>
    </row>
    <row r="410" spans="4:17" customFormat="1" hidden="1" x14ac:dyDescent="0.15">
      <c r="D410" t="s">
        <v>6</v>
      </c>
      <c r="E410" s="1">
        <v>202119</v>
      </c>
      <c r="F410" s="1">
        <v>202119</v>
      </c>
      <c r="G410" s="8">
        <v>42464.083333333336</v>
      </c>
      <c r="H410" s="1" t="s">
        <v>40</v>
      </c>
      <c r="I410" s="1">
        <v>1</v>
      </c>
      <c r="J410" s="1">
        <v>2</v>
      </c>
      <c r="K410" s="1">
        <v>0</v>
      </c>
      <c r="L410" s="1" t="s">
        <v>48</v>
      </c>
      <c r="M410" s="1">
        <v>0</v>
      </c>
      <c r="N410" s="1">
        <v>0</v>
      </c>
      <c r="O410" s="1">
        <v>0</v>
      </c>
      <c r="P410" s="11" t="str">
        <f t="shared" si="6"/>
        <v>胜</v>
      </c>
      <c r="Q410" s="11" t="str">
        <f t="shared" si="6"/>
        <v>胜</v>
      </c>
    </row>
    <row r="411" spans="4:17" customFormat="1" hidden="1" x14ac:dyDescent="0.15">
      <c r="D411" t="s">
        <v>6</v>
      </c>
      <c r="E411" s="1">
        <v>204165</v>
      </c>
      <c r="F411" s="1">
        <v>204165</v>
      </c>
      <c r="G411" s="8">
        <v>42470.895833333336</v>
      </c>
      <c r="H411" s="1" t="s">
        <v>46</v>
      </c>
      <c r="I411" s="1">
        <v>1</v>
      </c>
      <c r="J411" s="1">
        <v>1</v>
      </c>
      <c r="K411" s="1">
        <v>0</v>
      </c>
      <c r="L411" s="1" t="s">
        <v>32</v>
      </c>
      <c r="M411" s="1">
        <v>0</v>
      </c>
      <c r="N411" s="1">
        <v>0</v>
      </c>
      <c r="O411" s="1">
        <v>0</v>
      </c>
      <c r="P411" s="11" t="str">
        <f t="shared" si="6"/>
        <v>胜</v>
      </c>
      <c r="Q411" s="11" t="str">
        <f t="shared" si="6"/>
        <v>胜</v>
      </c>
    </row>
    <row r="412" spans="4:17" customFormat="1" hidden="1" x14ac:dyDescent="0.15">
      <c r="D412" t="s">
        <v>6</v>
      </c>
      <c r="E412" s="1">
        <v>204280</v>
      </c>
      <c r="F412" s="1">
        <v>204280</v>
      </c>
      <c r="G412" s="8">
        <v>42471</v>
      </c>
      <c r="H412" s="1" t="s">
        <v>37</v>
      </c>
      <c r="I412" s="1">
        <v>0</v>
      </c>
      <c r="J412" s="1">
        <v>1</v>
      </c>
      <c r="K412" s="1">
        <v>0</v>
      </c>
      <c r="L412" s="1" t="s">
        <v>43</v>
      </c>
      <c r="M412" s="1">
        <v>0</v>
      </c>
      <c r="N412" s="1">
        <v>0</v>
      </c>
      <c r="O412" s="1">
        <v>0</v>
      </c>
      <c r="P412" s="11" t="str">
        <f t="shared" si="6"/>
        <v>平</v>
      </c>
      <c r="Q412" s="11" t="str">
        <f t="shared" si="6"/>
        <v>胜</v>
      </c>
    </row>
    <row r="413" spans="4:17" customFormat="1" hidden="1" x14ac:dyDescent="0.15">
      <c r="D413" t="s">
        <v>6</v>
      </c>
      <c r="E413" s="1">
        <v>204282</v>
      </c>
      <c r="F413" s="1">
        <v>204282</v>
      </c>
      <c r="G413" s="8">
        <v>42470.999305555553</v>
      </c>
      <c r="H413" s="1" t="s">
        <v>36</v>
      </c>
      <c r="I413" s="1">
        <v>0</v>
      </c>
      <c r="J413" s="1">
        <v>1</v>
      </c>
      <c r="K413" s="1">
        <v>0</v>
      </c>
      <c r="L413" s="1" t="s">
        <v>38</v>
      </c>
      <c r="M413" s="1">
        <v>0</v>
      </c>
      <c r="N413" s="1">
        <v>1</v>
      </c>
      <c r="O413" s="1">
        <v>0</v>
      </c>
      <c r="P413" s="11" t="str">
        <f t="shared" si="6"/>
        <v>平</v>
      </c>
      <c r="Q413" s="11" t="str">
        <f t="shared" si="6"/>
        <v>平</v>
      </c>
    </row>
    <row r="414" spans="4:17" customFormat="1" hidden="1" x14ac:dyDescent="0.15">
      <c r="D414" t="s">
        <v>6</v>
      </c>
      <c r="E414" s="1">
        <v>204283</v>
      </c>
      <c r="F414" s="1">
        <v>204283</v>
      </c>
      <c r="G414" s="8">
        <v>42471</v>
      </c>
      <c r="H414" s="1" t="s">
        <v>53</v>
      </c>
      <c r="I414" s="1">
        <v>1</v>
      </c>
      <c r="J414" s="1">
        <v>2</v>
      </c>
      <c r="K414" s="1">
        <v>0</v>
      </c>
      <c r="L414" s="1" t="s">
        <v>40</v>
      </c>
      <c r="M414" s="1">
        <v>0</v>
      </c>
      <c r="N414" s="1">
        <v>0</v>
      </c>
      <c r="O414" s="1">
        <v>0</v>
      </c>
      <c r="P414" s="11" t="str">
        <f t="shared" si="6"/>
        <v>胜</v>
      </c>
      <c r="Q414" s="11" t="str">
        <f t="shared" si="6"/>
        <v>胜</v>
      </c>
    </row>
    <row r="415" spans="4:17" customFormat="1" hidden="1" x14ac:dyDescent="0.15">
      <c r="D415" t="s">
        <v>6</v>
      </c>
      <c r="E415" s="1">
        <v>204287</v>
      </c>
      <c r="F415" s="1">
        <v>204287</v>
      </c>
      <c r="G415" s="8">
        <v>42471.083333333336</v>
      </c>
      <c r="H415" s="1" t="s">
        <v>45</v>
      </c>
      <c r="I415" s="1">
        <v>0</v>
      </c>
      <c r="J415" s="1">
        <v>0</v>
      </c>
      <c r="K415" s="1">
        <v>0</v>
      </c>
      <c r="L415" s="1" t="s">
        <v>54</v>
      </c>
      <c r="M415" s="1">
        <v>2</v>
      </c>
      <c r="N415" s="1">
        <v>2</v>
      </c>
      <c r="O415" s="1">
        <v>0</v>
      </c>
      <c r="P415" s="11" t="str">
        <f t="shared" si="6"/>
        <v>负</v>
      </c>
      <c r="Q415" s="11" t="str">
        <f t="shared" si="6"/>
        <v>负</v>
      </c>
    </row>
    <row r="416" spans="4:17" customFormat="1" hidden="1" x14ac:dyDescent="0.15">
      <c r="D416" t="s">
        <v>6</v>
      </c>
      <c r="E416" s="1">
        <v>204335</v>
      </c>
      <c r="F416" s="1">
        <v>204335</v>
      </c>
      <c r="G416" s="8">
        <v>42470.000694444447</v>
      </c>
      <c r="H416" s="1" t="s">
        <v>42</v>
      </c>
      <c r="I416" s="1">
        <v>1</v>
      </c>
      <c r="J416" s="1">
        <v>2</v>
      </c>
      <c r="K416" s="1">
        <v>0</v>
      </c>
      <c r="L416" s="1" t="s">
        <v>49</v>
      </c>
      <c r="M416" s="1">
        <v>0</v>
      </c>
      <c r="N416" s="1">
        <v>1</v>
      </c>
      <c r="O416" s="1">
        <v>0</v>
      </c>
      <c r="P416" s="11" t="str">
        <f t="shared" si="6"/>
        <v>胜</v>
      </c>
      <c r="Q416" s="11" t="str">
        <f t="shared" si="6"/>
        <v>胜</v>
      </c>
    </row>
    <row r="417" spans="4:17" customFormat="1" hidden="1" x14ac:dyDescent="0.15">
      <c r="D417" t="s">
        <v>6</v>
      </c>
      <c r="E417" s="1">
        <v>204357</v>
      </c>
      <c r="F417" s="1">
        <v>204357</v>
      </c>
      <c r="G417" s="8">
        <v>42469.040972222225</v>
      </c>
      <c r="H417" s="1" t="s">
        <v>35</v>
      </c>
      <c r="I417" s="1">
        <v>1</v>
      </c>
      <c r="J417" s="1">
        <v>1</v>
      </c>
      <c r="K417" s="1">
        <v>0</v>
      </c>
      <c r="L417" s="1" t="s">
        <v>48</v>
      </c>
      <c r="M417" s="1">
        <v>0</v>
      </c>
      <c r="N417" s="1">
        <v>0</v>
      </c>
      <c r="O417" s="1">
        <v>0</v>
      </c>
      <c r="P417" s="11" t="str">
        <f t="shared" si="6"/>
        <v>胜</v>
      </c>
      <c r="Q417" s="11" t="str">
        <f t="shared" si="6"/>
        <v>胜</v>
      </c>
    </row>
    <row r="418" spans="4:17" customFormat="1" hidden="1" x14ac:dyDescent="0.15">
      <c r="D418" t="s">
        <v>6</v>
      </c>
      <c r="E418" s="1">
        <v>204392</v>
      </c>
      <c r="F418" s="1">
        <v>204392</v>
      </c>
      <c r="G418" s="8">
        <v>42469.895833333336</v>
      </c>
      <c r="H418" s="1" t="s">
        <v>44</v>
      </c>
      <c r="I418" s="1">
        <v>3</v>
      </c>
      <c r="J418" s="1">
        <v>4</v>
      </c>
      <c r="K418" s="1">
        <v>0</v>
      </c>
      <c r="L418" s="1" t="s">
        <v>41</v>
      </c>
      <c r="M418" s="1">
        <v>0</v>
      </c>
      <c r="N418" s="1">
        <v>0</v>
      </c>
      <c r="O418" s="1">
        <v>0</v>
      </c>
      <c r="P418" s="11" t="str">
        <f t="shared" si="6"/>
        <v>胜</v>
      </c>
      <c r="Q418" s="11" t="str">
        <f t="shared" si="6"/>
        <v>胜</v>
      </c>
    </row>
    <row r="419" spans="4:17" customFormat="1" hidden="1" x14ac:dyDescent="0.15">
      <c r="D419" t="s">
        <v>6</v>
      </c>
      <c r="E419" s="1">
        <v>206668</v>
      </c>
      <c r="F419" s="1">
        <v>206668</v>
      </c>
      <c r="G419" s="8">
        <v>42476.041666666664</v>
      </c>
      <c r="H419" s="1" t="s">
        <v>48</v>
      </c>
      <c r="I419" s="1">
        <v>1</v>
      </c>
      <c r="J419" s="1">
        <v>2</v>
      </c>
      <c r="K419" s="1">
        <v>0</v>
      </c>
      <c r="L419" s="1" t="s">
        <v>44</v>
      </c>
      <c r="M419" s="1">
        <v>1</v>
      </c>
      <c r="N419" s="1">
        <v>2</v>
      </c>
      <c r="O419" s="1">
        <v>0</v>
      </c>
      <c r="P419" s="11" t="str">
        <f t="shared" si="6"/>
        <v>平</v>
      </c>
      <c r="Q419" s="11" t="str">
        <f t="shared" si="6"/>
        <v>平</v>
      </c>
    </row>
    <row r="420" spans="4:17" x14ac:dyDescent="0.15">
      <c r="D420" s="2" t="s">
        <v>6</v>
      </c>
      <c r="E420" s="6">
        <v>206709</v>
      </c>
      <c r="F420" s="6">
        <v>206709</v>
      </c>
      <c r="G420" s="24">
        <v>42477.896527777775</v>
      </c>
      <c r="H420" s="6" t="s">
        <v>32</v>
      </c>
      <c r="I420" s="6">
        <v>1</v>
      </c>
      <c r="J420" s="6">
        <v>1</v>
      </c>
      <c r="K420" s="6">
        <v>0</v>
      </c>
      <c r="L420" s="6" t="s">
        <v>38</v>
      </c>
      <c r="M420" s="6">
        <v>0</v>
      </c>
      <c r="N420" s="6">
        <v>2</v>
      </c>
      <c r="O420" s="6">
        <v>0</v>
      </c>
      <c r="P420" s="11" t="str">
        <f t="shared" si="6"/>
        <v>胜</v>
      </c>
      <c r="Q420" s="11" t="str">
        <f t="shared" si="6"/>
        <v>负</v>
      </c>
    </row>
    <row r="421" spans="4:17" customFormat="1" hidden="1" x14ac:dyDescent="0.15">
      <c r="D421" t="s">
        <v>6</v>
      </c>
      <c r="E421" s="1">
        <v>206718</v>
      </c>
      <c r="F421" s="1">
        <v>206718</v>
      </c>
      <c r="G421" s="8">
        <v>42478</v>
      </c>
      <c r="H421" s="1" t="s">
        <v>41</v>
      </c>
      <c r="I421" s="1">
        <v>1</v>
      </c>
      <c r="J421" s="1">
        <v>1</v>
      </c>
      <c r="K421" s="1">
        <v>0</v>
      </c>
      <c r="L421" s="1" t="s">
        <v>42</v>
      </c>
      <c r="M421" s="1">
        <v>0</v>
      </c>
      <c r="N421" s="1">
        <v>1</v>
      </c>
      <c r="O421" s="1">
        <v>0</v>
      </c>
      <c r="P421" s="11" t="str">
        <f t="shared" si="6"/>
        <v>胜</v>
      </c>
      <c r="Q421" s="11" t="str">
        <f t="shared" si="6"/>
        <v>平</v>
      </c>
    </row>
    <row r="422" spans="4:17" customFormat="1" hidden="1" x14ac:dyDescent="0.15">
      <c r="D422" t="s">
        <v>6</v>
      </c>
      <c r="E422" s="1">
        <v>206719</v>
      </c>
      <c r="F422" s="1">
        <v>206719</v>
      </c>
      <c r="G422" s="8">
        <v>42477.999305555553</v>
      </c>
      <c r="H422" s="1" t="s">
        <v>49</v>
      </c>
      <c r="I422" s="1">
        <v>1</v>
      </c>
      <c r="J422" s="1">
        <v>4</v>
      </c>
      <c r="K422" s="1">
        <v>0</v>
      </c>
      <c r="L422" s="1" t="s">
        <v>53</v>
      </c>
      <c r="M422" s="1">
        <v>0</v>
      </c>
      <c r="N422" s="1">
        <v>0</v>
      </c>
      <c r="O422" s="1">
        <v>0</v>
      </c>
      <c r="P422" s="11" t="str">
        <f t="shared" si="6"/>
        <v>胜</v>
      </c>
      <c r="Q422" s="11" t="str">
        <f t="shared" si="6"/>
        <v>胜</v>
      </c>
    </row>
    <row r="423" spans="4:17" customFormat="1" hidden="1" x14ac:dyDescent="0.15">
      <c r="D423" t="s">
        <v>6</v>
      </c>
      <c r="E423" s="1">
        <v>206720</v>
      </c>
      <c r="F423" s="1">
        <v>206720</v>
      </c>
      <c r="G423" s="8">
        <v>42478</v>
      </c>
      <c r="H423" s="1" t="s">
        <v>43</v>
      </c>
      <c r="I423" s="1">
        <v>1</v>
      </c>
      <c r="J423" s="1">
        <v>1</v>
      </c>
      <c r="K423" s="1">
        <v>0</v>
      </c>
      <c r="L423" s="1" t="s">
        <v>45</v>
      </c>
      <c r="M423" s="1">
        <v>1</v>
      </c>
      <c r="N423" s="1">
        <v>2</v>
      </c>
      <c r="O423" s="1">
        <v>0</v>
      </c>
      <c r="P423" s="11" t="str">
        <f t="shared" si="6"/>
        <v>平</v>
      </c>
      <c r="Q423" s="11" t="str">
        <f t="shared" si="6"/>
        <v>负</v>
      </c>
    </row>
    <row r="424" spans="4:17" customFormat="1" hidden="1" x14ac:dyDescent="0.15">
      <c r="D424" t="s">
        <v>6</v>
      </c>
      <c r="E424" s="1">
        <v>206726</v>
      </c>
      <c r="F424" s="1">
        <v>206726</v>
      </c>
      <c r="G424" s="8">
        <v>42478.083333333336</v>
      </c>
      <c r="H424" s="1" t="s">
        <v>54</v>
      </c>
      <c r="I424" s="1">
        <v>2</v>
      </c>
      <c r="J424" s="1">
        <v>3</v>
      </c>
      <c r="K424" s="1">
        <v>0</v>
      </c>
      <c r="L424" s="1" t="s">
        <v>36</v>
      </c>
      <c r="M424" s="1">
        <v>0</v>
      </c>
      <c r="N424" s="1">
        <v>0</v>
      </c>
      <c r="O424" s="1">
        <v>0</v>
      </c>
      <c r="P424" s="11" t="str">
        <f t="shared" si="6"/>
        <v>胜</v>
      </c>
      <c r="Q424" s="11" t="str">
        <f t="shared" si="6"/>
        <v>胜</v>
      </c>
    </row>
    <row r="425" spans="4:17" customFormat="1" hidden="1" x14ac:dyDescent="0.15">
      <c r="D425" t="s">
        <v>6</v>
      </c>
      <c r="E425" s="1">
        <v>207090</v>
      </c>
      <c r="F425" s="1">
        <v>207090</v>
      </c>
      <c r="G425" s="8">
        <v>42476.895138888889</v>
      </c>
      <c r="H425" s="1" t="s">
        <v>40</v>
      </c>
      <c r="I425" s="1">
        <v>0</v>
      </c>
      <c r="J425" s="1">
        <v>2</v>
      </c>
      <c r="K425" s="1">
        <v>0</v>
      </c>
      <c r="L425" s="1" t="s">
        <v>35</v>
      </c>
      <c r="M425" s="1">
        <v>0</v>
      </c>
      <c r="N425" s="1">
        <v>1</v>
      </c>
      <c r="O425" s="1">
        <v>0</v>
      </c>
      <c r="P425" s="11" t="str">
        <f t="shared" si="6"/>
        <v>平</v>
      </c>
      <c r="Q425" s="11" t="str">
        <f t="shared" si="6"/>
        <v>胜</v>
      </c>
    </row>
    <row r="426" spans="4:17" customFormat="1" hidden="1" x14ac:dyDescent="0.15">
      <c r="D426" t="s">
        <v>6</v>
      </c>
      <c r="E426" s="1">
        <v>207112</v>
      </c>
      <c r="F426" s="1">
        <v>207112</v>
      </c>
      <c r="G426" s="8">
        <v>42476.999305555553</v>
      </c>
      <c r="H426" s="1" t="s">
        <v>37</v>
      </c>
      <c r="I426" s="1">
        <v>1</v>
      </c>
      <c r="J426" s="1">
        <v>3</v>
      </c>
      <c r="K426" s="1">
        <v>0</v>
      </c>
      <c r="L426" s="1" t="s">
        <v>46</v>
      </c>
      <c r="M426" s="1">
        <v>0</v>
      </c>
      <c r="N426" s="1">
        <v>0</v>
      </c>
      <c r="O426" s="1">
        <v>0</v>
      </c>
      <c r="P426" s="11" t="str">
        <f t="shared" si="6"/>
        <v>胜</v>
      </c>
      <c r="Q426" s="11" t="str">
        <f t="shared" si="6"/>
        <v>胜</v>
      </c>
    </row>
    <row r="427" spans="4:17" x14ac:dyDescent="0.15">
      <c r="D427" s="2" t="s">
        <v>6</v>
      </c>
      <c r="E427" s="6">
        <v>208862</v>
      </c>
      <c r="F427" s="6">
        <v>208862</v>
      </c>
      <c r="G427" s="24">
        <v>42481.040972222225</v>
      </c>
      <c r="H427" s="6" t="s">
        <v>32</v>
      </c>
      <c r="I427" s="6">
        <v>2</v>
      </c>
      <c r="J427" s="6">
        <v>3</v>
      </c>
      <c r="K427" s="6">
        <v>0</v>
      </c>
      <c r="L427" s="6" t="s">
        <v>48</v>
      </c>
      <c r="M427" s="6">
        <v>2</v>
      </c>
      <c r="N427" s="6">
        <v>4</v>
      </c>
      <c r="O427" s="6">
        <v>0</v>
      </c>
      <c r="P427" s="11" t="str">
        <f t="shared" si="6"/>
        <v>平</v>
      </c>
      <c r="Q427" s="11" t="str">
        <f t="shared" si="6"/>
        <v>负</v>
      </c>
    </row>
    <row r="428" spans="4:17" customFormat="1" hidden="1" x14ac:dyDescent="0.15">
      <c r="D428" t="s">
        <v>6</v>
      </c>
      <c r="E428" s="1">
        <v>208863</v>
      </c>
      <c r="F428" s="1">
        <v>208863</v>
      </c>
      <c r="G428" s="8">
        <v>42481.040972222225</v>
      </c>
      <c r="H428" s="1" t="s">
        <v>42</v>
      </c>
      <c r="I428" s="1">
        <v>0</v>
      </c>
      <c r="J428" s="1">
        <v>0</v>
      </c>
      <c r="K428" s="1">
        <v>0</v>
      </c>
      <c r="L428" s="1" t="s">
        <v>40</v>
      </c>
      <c r="M428" s="1">
        <v>1</v>
      </c>
      <c r="N428" s="1">
        <v>1</v>
      </c>
      <c r="O428" s="1">
        <v>0</v>
      </c>
      <c r="P428" s="11" t="str">
        <f t="shared" si="6"/>
        <v>负</v>
      </c>
      <c r="Q428" s="11" t="str">
        <f t="shared" si="6"/>
        <v>负</v>
      </c>
    </row>
    <row r="429" spans="4:17" customFormat="1" hidden="1" x14ac:dyDescent="0.15">
      <c r="D429" t="s">
        <v>6</v>
      </c>
      <c r="E429" s="1">
        <v>208864</v>
      </c>
      <c r="F429" s="1">
        <v>208864</v>
      </c>
      <c r="G429" s="8">
        <v>42481.041666666664</v>
      </c>
      <c r="H429" s="1" t="s">
        <v>35</v>
      </c>
      <c r="I429" s="1">
        <v>0</v>
      </c>
      <c r="J429" s="1">
        <v>0</v>
      </c>
      <c r="K429" s="1">
        <v>0</v>
      </c>
      <c r="L429" s="1" t="s">
        <v>54</v>
      </c>
      <c r="M429" s="1">
        <v>0</v>
      </c>
      <c r="N429" s="1">
        <v>1</v>
      </c>
      <c r="O429" s="1">
        <v>0</v>
      </c>
      <c r="P429" s="11" t="str">
        <f t="shared" si="6"/>
        <v>平</v>
      </c>
      <c r="Q429" s="11" t="str">
        <f t="shared" si="6"/>
        <v>负</v>
      </c>
    </row>
    <row r="430" spans="4:17" customFormat="1" hidden="1" x14ac:dyDescent="0.15">
      <c r="D430" t="s">
        <v>6</v>
      </c>
      <c r="E430" s="1">
        <v>209102</v>
      </c>
      <c r="F430" s="1">
        <v>209102</v>
      </c>
      <c r="G430" s="8">
        <v>42482.041666666664</v>
      </c>
      <c r="H430" s="1" t="s">
        <v>36</v>
      </c>
      <c r="I430" s="1">
        <v>1</v>
      </c>
      <c r="J430" s="1">
        <v>1</v>
      </c>
      <c r="K430" s="1">
        <v>0</v>
      </c>
      <c r="L430" s="1" t="s">
        <v>41</v>
      </c>
      <c r="M430" s="1">
        <v>3</v>
      </c>
      <c r="N430" s="1">
        <v>4</v>
      </c>
      <c r="O430" s="1">
        <v>0</v>
      </c>
      <c r="P430" s="11" t="str">
        <f t="shared" si="6"/>
        <v>负</v>
      </c>
      <c r="Q430" s="11" t="str">
        <f t="shared" si="6"/>
        <v>负</v>
      </c>
    </row>
    <row r="431" spans="4:17" customFormat="1" hidden="1" x14ac:dyDescent="0.15">
      <c r="D431" t="s">
        <v>6</v>
      </c>
      <c r="E431" s="1">
        <v>209297</v>
      </c>
      <c r="F431" s="1">
        <v>209297</v>
      </c>
      <c r="G431" s="8">
        <v>42481.040972222225</v>
      </c>
      <c r="H431" s="1" t="s">
        <v>45</v>
      </c>
      <c r="I431" s="1">
        <v>0</v>
      </c>
      <c r="J431" s="1">
        <v>0</v>
      </c>
      <c r="K431" s="1">
        <v>0</v>
      </c>
      <c r="L431" s="1" t="s">
        <v>46</v>
      </c>
      <c r="M431" s="1">
        <v>0</v>
      </c>
      <c r="N431" s="1">
        <v>1</v>
      </c>
      <c r="O431" s="1">
        <v>0</v>
      </c>
      <c r="P431" s="11" t="str">
        <f t="shared" si="6"/>
        <v>平</v>
      </c>
      <c r="Q431" s="11" t="str">
        <f t="shared" si="6"/>
        <v>负</v>
      </c>
    </row>
    <row r="432" spans="4:17" customFormat="1" hidden="1" x14ac:dyDescent="0.15">
      <c r="D432" t="s">
        <v>6</v>
      </c>
      <c r="E432" s="1">
        <v>209451</v>
      </c>
      <c r="F432" s="1">
        <v>209451</v>
      </c>
      <c r="G432" s="8">
        <v>42482.041666666664</v>
      </c>
      <c r="H432" s="1" t="s">
        <v>44</v>
      </c>
      <c r="I432" s="1">
        <v>1</v>
      </c>
      <c r="J432" s="1">
        <v>1</v>
      </c>
      <c r="K432" s="1">
        <v>0</v>
      </c>
      <c r="L432" s="1" t="s">
        <v>43</v>
      </c>
      <c r="M432" s="1">
        <v>1</v>
      </c>
      <c r="N432" s="1">
        <v>1</v>
      </c>
      <c r="O432" s="1">
        <v>0</v>
      </c>
      <c r="P432" s="11" t="str">
        <f t="shared" si="6"/>
        <v>平</v>
      </c>
      <c r="Q432" s="11" t="str">
        <f t="shared" si="6"/>
        <v>平</v>
      </c>
    </row>
    <row r="433" spans="4:17" customFormat="1" hidden="1" x14ac:dyDescent="0.15">
      <c r="D433" t="s">
        <v>6</v>
      </c>
      <c r="E433" s="1">
        <v>209452</v>
      </c>
      <c r="F433" s="1">
        <v>209452</v>
      </c>
      <c r="G433" s="8">
        <v>42482.042361111111</v>
      </c>
      <c r="H433" s="1" t="s">
        <v>53</v>
      </c>
      <c r="I433" s="1">
        <v>1</v>
      </c>
      <c r="J433" s="1">
        <v>1</v>
      </c>
      <c r="K433" s="1">
        <v>0</v>
      </c>
      <c r="L433" s="1" t="s">
        <v>37</v>
      </c>
      <c r="M433" s="1">
        <v>1</v>
      </c>
      <c r="N433" s="1">
        <v>2</v>
      </c>
      <c r="O433" s="1">
        <v>0</v>
      </c>
      <c r="P433" s="11" t="str">
        <f t="shared" si="6"/>
        <v>平</v>
      </c>
      <c r="Q433" s="11" t="str">
        <f t="shared" si="6"/>
        <v>负</v>
      </c>
    </row>
    <row r="434" spans="4:17" customFormat="1" hidden="1" x14ac:dyDescent="0.15">
      <c r="D434" t="s">
        <v>6</v>
      </c>
      <c r="E434" s="1">
        <v>209453</v>
      </c>
      <c r="F434" s="1">
        <v>209453</v>
      </c>
      <c r="G434" s="8">
        <v>42482.041666666664</v>
      </c>
      <c r="H434" s="1" t="s">
        <v>38</v>
      </c>
      <c r="I434" s="1">
        <v>2</v>
      </c>
      <c r="J434" s="1">
        <v>4</v>
      </c>
      <c r="K434" s="1">
        <v>0</v>
      </c>
      <c r="L434" s="1" t="s">
        <v>49</v>
      </c>
      <c r="M434" s="1">
        <v>0</v>
      </c>
      <c r="N434" s="1">
        <v>0</v>
      </c>
      <c r="O434" s="1">
        <v>0</v>
      </c>
      <c r="P434" s="11" t="str">
        <f t="shared" si="6"/>
        <v>胜</v>
      </c>
      <c r="Q434" s="11" t="str">
        <f t="shared" si="6"/>
        <v>胜</v>
      </c>
    </row>
    <row r="435" spans="4:17" customFormat="1" hidden="1" x14ac:dyDescent="0.15">
      <c r="D435" t="s">
        <v>6</v>
      </c>
      <c r="E435" s="1">
        <v>210037</v>
      </c>
      <c r="F435" s="1">
        <v>210037</v>
      </c>
      <c r="G435" s="8">
        <v>42484.000694444447</v>
      </c>
      <c r="H435" s="1" t="s">
        <v>46</v>
      </c>
      <c r="I435" s="1">
        <v>1</v>
      </c>
      <c r="J435" s="1">
        <v>2</v>
      </c>
      <c r="K435" s="1">
        <v>0</v>
      </c>
      <c r="L435" s="1" t="s">
        <v>35</v>
      </c>
      <c r="M435" s="1">
        <v>0</v>
      </c>
      <c r="N435" s="1">
        <v>0</v>
      </c>
      <c r="O435" s="1">
        <v>0</v>
      </c>
      <c r="P435" s="11" t="str">
        <f t="shared" si="6"/>
        <v>胜</v>
      </c>
      <c r="Q435" s="11" t="str">
        <f t="shared" si="6"/>
        <v>胜</v>
      </c>
    </row>
    <row r="436" spans="4:17" customFormat="1" hidden="1" x14ac:dyDescent="0.15">
      <c r="D436" t="s">
        <v>6</v>
      </c>
      <c r="E436" s="1">
        <v>210081</v>
      </c>
      <c r="F436" s="1">
        <v>210081</v>
      </c>
      <c r="G436" s="8">
        <v>42483.895138888889</v>
      </c>
      <c r="H436" s="1" t="s">
        <v>40</v>
      </c>
      <c r="I436" s="1">
        <v>1</v>
      </c>
      <c r="J436" s="1">
        <v>2</v>
      </c>
      <c r="K436" s="1">
        <v>0</v>
      </c>
      <c r="L436" s="1" t="s">
        <v>32</v>
      </c>
      <c r="M436" s="1">
        <v>0</v>
      </c>
      <c r="N436" s="1">
        <v>0</v>
      </c>
      <c r="O436" s="1">
        <v>0</v>
      </c>
      <c r="P436" s="11" t="str">
        <f t="shared" si="6"/>
        <v>胜</v>
      </c>
      <c r="Q436" s="11" t="str">
        <f t="shared" si="6"/>
        <v>胜</v>
      </c>
    </row>
    <row r="437" spans="4:17" customFormat="1" hidden="1" x14ac:dyDescent="0.15">
      <c r="D437" t="s">
        <v>6</v>
      </c>
      <c r="E437" s="1">
        <v>210114</v>
      </c>
      <c r="F437" s="1">
        <v>210114</v>
      </c>
      <c r="G437" s="8">
        <v>42484.895833333336</v>
      </c>
      <c r="H437" s="1" t="s">
        <v>41</v>
      </c>
      <c r="I437" s="1">
        <v>2</v>
      </c>
      <c r="J437" s="1">
        <v>4</v>
      </c>
      <c r="K437" s="1">
        <v>0</v>
      </c>
      <c r="L437" s="1" t="s">
        <v>38</v>
      </c>
      <c r="M437" s="1">
        <v>0</v>
      </c>
      <c r="N437" s="1">
        <v>0</v>
      </c>
      <c r="O437" s="1">
        <v>0</v>
      </c>
      <c r="P437" s="11" t="str">
        <f t="shared" si="6"/>
        <v>胜</v>
      </c>
      <c r="Q437" s="11" t="str">
        <f t="shared" si="6"/>
        <v>胜</v>
      </c>
    </row>
    <row r="438" spans="4:17" customFormat="1" hidden="1" x14ac:dyDescent="0.15">
      <c r="D438" t="s">
        <v>6</v>
      </c>
      <c r="E438" s="1">
        <v>210118</v>
      </c>
      <c r="F438" s="1">
        <v>210118</v>
      </c>
      <c r="G438" s="8">
        <v>42484.999305555553</v>
      </c>
      <c r="H438" s="1" t="s">
        <v>43</v>
      </c>
      <c r="I438" s="1">
        <v>2</v>
      </c>
      <c r="J438" s="1">
        <v>6</v>
      </c>
      <c r="K438" s="1">
        <v>0</v>
      </c>
      <c r="L438" s="1" t="s">
        <v>53</v>
      </c>
      <c r="M438" s="1">
        <v>0</v>
      </c>
      <c r="N438" s="1">
        <v>0</v>
      </c>
      <c r="O438" s="1">
        <v>0</v>
      </c>
      <c r="P438" s="11" t="str">
        <f t="shared" si="6"/>
        <v>胜</v>
      </c>
      <c r="Q438" s="11" t="str">
        <f t="shared" si="6"/>
        <v>胜</v>
      </c>
    </row>
    <row r="439" spans="4:17" customFormat="1" hidden="1" x14ac:dyDescent="0.15">
      <c r="D439" t="s">
        <v>6</v>
      </c>
      <c r="E439" s="1">
        <v>210121</v>
      </c>
      <c r="F439" s="1">
        <v>210121</v>
      </c>
      <c r="G439" s="8">
        <v>42485</v>
      </c>
      <c r="H439" s="1" t="s">
        <v>54</v>
      </c>
      <c r="I439" s="1">
        <v>0</v>
      </c>
      <c r="J439" s="1">
        <v>1</v>
      </c>
      <c r="K439" s="1">
        <v>0</v>
      </c>
      <c r="L439" s="1" t="s">
        <v>44</v>
      </c>
      <c r="M439" s="1">
        <v>1</v>
      </c>
      <c r="N439" s="1">
        <v>3</v>
      </c>
      <c r="O439" s="1">
        <v>0</v>
      </c>
      <c r="P439" s="11" t="str">
        <f t="shared" si="6"/>
        <v>负</v>
      </c>
      <c r="Q439" s="11" t="str">
        <f t="shared" si="6"/>
        <v>负</v>
      </c>
    </row>
    <row r="440" spans="4:17" customFormat="1" hidden="1" x14ac:dyDescent="0.15">
      <c r="D440" t="s">
        <v>6</v>
      </c>
      <c r="E440" s="1">
        <v>210126</v>
      </c>
      <c r="F440" s="1">
        <v>210126</v>
      </c>
      <c r="G440" s="8">
        <v>42485</v>
      </c>
      <c r="H440" s="1" t="s">
        <v>37</v>
      </c>
      <c r="I440" s="1">
        <v>1</v>
      </c>
      <c r="J440" s="1">
        <v>4</v>
      </c>
      <c r="K440" s="1">
        <v>0</v>
      </c>
      <c r="L440" s="1" t="s">
        <v>45</v>
      </c>
      <c r="M440" s="1">
        <v>0</v>
      </c>
      <c r="N440" s="1">
        <v>0</v>
      </c>
      <c r="O440" s="1">
        <v>0</v>
      </c>
      <c r="P440" s="11" t="str">
        <f t="shared" si="6"/>
        <v>胜</v>
      </c>
      <c r="Q440" s="11" t="str">
        <f t="shared" si="6"/>
        <v>胜</v>
      </c>
    </row>
    <row r="441" spans="4:17" customFormat="1" hidden="1" x14ac:dyDescent="0.15">
      <c r="D441" t="s">
        <v>6</v>
      </c>
      <c r="E441" s="1">
        <v>210127</v>
      </c>
      <c r="F441" s="1">
        <v>210127</v>
      </c>
      <c r="G441" s="8">
        <v>42485.082638888889</v>
      </c>
      <c r="H441" s="1" t="s">
        <v>49</v>
      </c>
      <c r="I441" s="1">
        <v>1</v>
      </c>
      <c r="J441" s="1">
        <v>2</v>
      </c>
      <c r="K441" s="1">
        <v>0</v>
      </c>
      <c r="L441" s="1" t="s">
        <v>36</v>
      </c>
      <c r="M441" s="1">
        <v>0</v>
      </c>
      <c r="N441" s="1">
        <v>0</v>
      </c>
      <c r="O441" s="1">
        <v>0</v>
      </c>
      <c r="P441" s="11" t="str">
        <f t="shared" si="6"/>
        <v>胜</v>
      </c>
      <c r="Q441" s="11" t="str">
        <f t="shared" si="6"/>
        <v>胜</v>
      </c>
    </row>
    <row r="442" spans="4:17" customFormat="1" hidden="1" x14ac:dyDescent="0.15">
      <c r="D442" t="s">
        <v>6</v>
      </c>
      <c r="E442" s="1">
        <v>210154</v>
      </c>
      <c r="F442" s="1">
        <v>210154</v>
      </c>
      <c r="G442" s="8">
        <v>42486.040972222225</v>
      </c>
      <c r="H442" s="1" t="s">
        <v>48</v>
      </c>
      <c r="I442" s="1">
        <v>1</v>
      </c>
      <c r="J442" s="1">
        <v>3</v>
      </c>
      <c r="K442" s="1">
        <v>0</v>
      </c>
      <c r="L442" s="1" t="s">
        <v>42</v>
      </c>
      <c r="M442" s="1">
        <v>0</v>
      </c>
      <c r="N442" s="1">
        <v>1</v>
      </c>
      <c r="O442" s="1">
        <v>0</v>
      </c>
      <c r="P442" s="11" t="str">
        <f t="shared" si="6"/>
        <v>胜</v>
      </c>
      <c r="Q442" s="11" t="str">
        <f t="shared" si="6"/>
        <v>胜</v>
      </c>
    </row>
    <row r="443" spans="4:17" customFormat="1" hidden="1" x14ac:dyDescent="0.15">
      <c r="D443" t="s">
        <v>6</v>
      </c>
      <c r="E443" s="1">
        <v>211336</v>
      </c>
      <c r="F443" s="1">
        <v>211336</v>
      </c>
      <c r="G443" s="8">
        <v>42490.895833333336</v>
      </c>
      <c r="H443" s="1" t="s">
        <v>44</v>
      </c>
      <c r="I443" s="1">
        <v>2</v>
      </c>
      <c r="J443" s="1">
        <v>2</v>
      </c>
      <c r="K443" s="1">
        <v>0</v>
      </c>
      <c r="L443" s="1" t="s">
        <v>49</v>
      </c>
      <c r="M443" s="1">
        <v>0</v>
      </c>
      <c r="N443" s="1">
        <v>0</v>
      </c>
      <c r="O443" s="1">
        <v>0</v>
      </c>
      <c r="P443" s="11" t="str">
        <f t="shared" si="6"/>
        <v>胜</v>
      </c>
      <c r="Q443" s="11" t="str">
        <f t="shared" si="6"/>
        <v>胜</v>
      </c>
    </row>
    <row r="444" spans="4:17" customFormat="1" hidden="1" x14ac:dyDescent="0.15">
      <c r="D444" t="s">
        <v>6</v>
      </c>
      <c r="E444" s="1">
        <v>211374</v>
      </c>
      <c r="F444" s="1">
        <v>211374</v>
      </c>
      <c r="G444" s="8">
        <v>42491</v>
      </c>
      <c r="H444" s="1" t="s">
        <v>38</v>
      </c>
      <c r="I444" s="1">
        <v>0</v>
      </c>
      <c r="J444" s="1">
        <v>1</v>
      </c>
      <c r="K444" s="1">
        <v>0</v>
      </c>
      <c r="L444" s="1" t="s">
        <v>43</v>
      </c>
      <c r="M444" s="1">
        <v>0</v>
      </c>
      <c r="N444" s="1">
        <v>0</v>
      </c>
      <c r="O444" s="1">
        <v>0</v>
      </c>
      <c r="P444" s="11" t="str">
        <f t="shared" si="6"/>
        <v>平</v>
      </c>
      <c r="Q444" s="11" t="str">
        <f t="shared" si="6"/>
        <v>胜</v>
      </c>
    </row>
    <row r="445" spans="4:17" customFormat="1" hidden="1" x14ac:dyDescent="0.15">
      <c r="D445" t="s">
        <v>6</v>
      </c>
      <c r="E445" s="1">
        <v>211427</v>
      </c>
      <c r="F445" s="1">
        <v>211427</v>
      </c>
      <c r="G445" s="8">
        <v>42491.895833333336</v>
      </c>
      <c r="H445" s="1" t="s">
        <v>45</v>
      </c>
      <c r="I445" s="1">
        <v>1</v>
      </c>
      <c r="J445" s="1">
        <v>3</v>
      </c>
      <c r="K445" s="1">
        <v>0</v>
      </c>
      <c r="L445" s="1" t="s">
        <v>48</v>
      </c>
      <c r="M445" s="1">
        <v>1</v>
      </c>
      <c r="N445" s="1">
        <v>2</v>
      </c>
      <c r="O445" s="1">
        <v>0</v>
      </c>
      <c r="P445" s="11" t="str">
        <f t="shared" si="6"/>
        <v>平</v>
      </c>
      <c r="Q445" s="11" t="str">
        <f t="shared" si="6"/>
        <v>胜</v>
      </c>
    </row>
    <row r="446" spans="4:17" customFormat="1" hidden="1" x14ac:dyDescent="0.15">
      <c r="D446" t="s">
        <v>6</v>
      </c>
      <c r="E446" s="1">
        <v>211488</v>
      </c>
      <c r="F446" s="1">
        <v>211488</v>
      </c>
      <c r="G446" s="8">
        <v>42492</v>
      </c>
      <c r="H446" s="1" t="s">
        <v>36</v>
      </c>
      <c r="I446" s="1">
        <v>0</v>
      </c>
      <c r="J446" s="1">
        <v>2</v>
      </c>
      <c r="K446" s="1">
        <v>0</v>
      </c>
      <c r="L446" s="1" t="s">
        <v>40</v>
      </c>
      <c r="M446" s="1">
        <v>1</v>
      </c>
      <c r="N446" s="1">
        <v>2</v>
      </c>
      <c r="O446" s="1">
        <v>0</v>
      </c>
      <c r="P446" s="11" t="str">
        <f t="shared" si="6"/>
        <v>负</v>
      </c>
      <c r="Q446" s="11" t="str">
        <f t="shared" si="6"/>
        <v>平</v>
      </c>
    </row>
    <row r="447" spans="4:17" customFormat="1" hidden="1" x14ac:dyDescent="0.15">
      <c r="D447" t="s">
        <v>6</v>
      </c>
      <c r="E447" s="1">
        <v>211489</v>
      </c>
      <c r="F447" s="1">
        <v>211489</v>
      </c>
      <c r="G447" s="8">
        <v>42492</v>
      </c>
      <c r="H447" s="1" t="s">
        <v>35</v>
      </c>
      <c r="I447" s="1">
        <v>1</v>
      </c>
      <c r="J447" s="1">
        <v>1</v>
      </c>
      <c r="K447" s="1">
        <v>0</v>
      </c>
      <c r="L447" s="1" t="s">
        <v>37</v>
      </c>
      <c r="M447" s="1">
        <v>0</v>
      </c>
      <c r="N447" s="1">
        <v>1</v>
      </c>
      <c r="O447" s="1">
        <v>0</v>
      </c>
      <c r="P447" s="11" t="str">
        <f t="shared" si="6"/>
        <v>胜</v>
      </c>
      <c r="Q447" s="11" t="str">
        <f t="shared" si="6"/>
        <v>平</v>
      </c>
    </row>
    <row r="448" spans="4:17" customFormat="1" hidden="1" x14ac:dyDescent="0.15">
      <c r="D448" t="s">
        <v>6</v>
      </c>
      <c r="E448" s="1">
        <v>211490</v>
      </c>
      <c r="F448" s="1">
        <v>211490</v>
      </c>
      <c r="G448" s="8">
        <v>42491.999305555553</v>
      </c>
      <c r="H448" s="1" t="s">
        <v>53</v>
      </c>
      <c r="I448" s="1">
        <v>1</v>
      </c>
      <c r="J448" s="1">
        <v>1</v>
      </c>
      <c r="K448" s="1">
        <v>0</v>
      </c>
      <c r="L448" s="1" t="s">
        <v>46</v>
      </c>
      <c r="M448" s="1">
        <v>0</v>
      </c>
      <c r="N448" s="1">
        <v>0</v>
      </c>
      <c r="O448" s="1">
        <v>0</v>
      </c>
      <c r="P448" s="11" t="str">
        <f t="shared" si="6"/>
        <v>胜</v>
      </c>
      <c r="Q448" s="11" t="str">
        <f t="shared" si="6"/>
        <v>胜</v>
      </c>
    </row>
    <row r="449" spans="4:17" customFormat="1" hidden="1" x14ac:dyDescent="0.15">
      <c r="D449" t="s">
        <v>6</v>
      </c>
      <c r="E449" s="1">
        <v>211494</v>
      </c>
      <c r="F449" s="1">
        <v>211494</v>
      </c>
      <c r="G449" s="8">
        <v>42492.083333333336</v>
      </c>
      <c r="H449" s="1" t="s">
        <v>42</v>
      </c>
      <c r="I449" s="1">
        <v>1</v>
      </c>
      <c r="J449" s="1">
        <v>1</v>
      </c>
      <c r="K449" s="1">
        <v>0</v>
      </c>
      <c r="L449" s="1" t="s">
        <v>54</v>
      </c>
      <c r="M449" s="1">
        <v>2</v>
      </c>
      <c r="N449" s="1">
        <v>2</v>
      </c>
      <c r="O449" s="1">
        <v>0</v>
      </c>
      <c r="P449" s="11" t="str">
        <f t="shared" si="6"/>
        <v>负</v>
      </c>
      <c r="Q449" s="11" t="str">
        <f t="shared" si="6"/>
        <v>负</v>
      </c>
    </row>
    <row r="450" spans="4:17" x14ac:dyDescent="0.15">
      <c r="D450" s="2" t="s">
        <v>6</v>
      </c>
      <c r="E450" s="6">
        <v>211597</v>
      </c>
      <c r="F450" s="6">
        <v>211597</v>
      </c>
      <c r="G450" s="24">
        <v>42493.040972222225</v>
      </c>
      <c r="H450" s="6" t="s">
        <v>32</v>
      </c>
      <c r="I450" s="6">
        <v>0</v>
      </c>
      <c r="J450" s="6">
        <v>0</v>
      </c>
      <c r="K450" s="6">
        <v>0</v>
      </c>
      <c r="L450" s="6" t="s">
        <v>41</v>
      </c>
      <c r="M450" s="6">
        <v>1</v>
      </c>
      <c r="N450" s="6">
        <v>2</v>
      </c>
      <c r="O450" s="6">
        <v>0</v>
      </c>
      <c r="P450" s="11" t="str">
        <f t="shared" si="6"/>
        <v>负</v>
      </c>
      <c r="Q450" s="11" t="str">
        <f t="shared" si="6"/>
        <v>负</v>
      </c>
    </row>
    <row r="451" spans="4:17" customFormat="1" hidden="1" x14ac:dyDescent="0.15">
      <c r="D451" t="s">
        <v>6</v>
      </c>
      <c r="E451" s="1">
        <v>214292</v>
      </c>
      <c r="F451" s="1">
        <v>214292</v>
      </c>
      <c r="G451" s="8">
        <v>42497.895138888889</v>
      </c>
      <c r="H451" s="1" t="s">
        <v>45</v>
      </c>
      <c r="I451" s="1">
        <v>0</v>
      </c>
      <c r="J451" s="1">
        <v>2</v>
      </c>
      <c r="K451" s="1">
        <v>0</v>
      </c>
      <c r="L451" s="1" t="s">
        <v>53</v>
      </c>
      <c r="M451" s="1">
        <v>0</v>
      </c>
      <c r="N451" s="1">
        <v>0</v>
      </c>
      <c r="O451" s="1">
        <v>0</v>
      </c>
      <c r="P451" s="11" t="str">
        <f t="shared" si="6"/>
        <v>平</v>
      </c>
      <c r="Q451" s="11" t="str">
        <f t="shared" si="6"/>
        <v>胜</v>
      </c>
    </row>
    <row r="452" spans="4:17" customFormat="1" hidden="1" x14ac:dyDescent="0.15">
      <c r="D452" t="s">
        <v>6</v>
      </c>
      <c r="E452" s="1">
        <v>214302</v>
      </c>
      <c r="F452" s="1">
        <v>214302</v>
      </c>
      <c r="G452" s="8">
        <v>42498</v>
      </c>
      <c r="H452" s="1" t="s">
        <v>40</v>
      </c>
      <c r="I452" s="1">
        <v>1</v>
      </c>
      <c r="J452" s="1">
        <v>3</v>
      </c>
      <c r="K452" s="1">
        <v>0</v>
      </c>
      <c r="L452" s="1" t="s">
        <v>44</v>
      </c>
      <c r="M452" s="1">
        <v>0</v>
      </c>
      <c r="N452" s="1">
        <v>1</v>
      </c>
      <c r="O452" s="1">
        <v>0</v>
      </c>
      <c r="P452" s="11" t="str">
        <f t="shared" si="6"/>
        <v>胜</v>
      </c>
      <c r="Q452" s="11" t="str">
        <f t="shared" si="6"/>
        <v>胜</v>
      </c>
    </row>
    <row r="453" spans="4:17" customFormat="1" hidden="1" x14ac:dyDescent="0.15">
      <c r="D453" t="s">
        <v>6</v>
      </c>
      <c r="E453" s="1">
        <v>214336</v>
      </c>
      <c r="F453" s="1">
        <v>214336</v>
      </c>
      <c r="G453" s="8">
        <v>42498.895833333336</v>
      </c>
      <c r="H453" s="1" t="s">
        <v>54</v>
      </c>
      <c r="I453" s="1">
        <v>1</v>
      </c>
      <c r="J453" s="1">
        <v>2</v>
      </c>
      <c r="K453" s="1">
        <v>0</v>
      </c>
      <c r="L453" s="1" t="s">
        <v>32</v>
      </c>
      <c r="M453" s="1">
        <v>0</v>
      </c>
      <c r="N453" s="1">
        <v>1</v>
      </c>
      <c r="O453" s="1">
        <v>0</v>
      </c>
      <c r="P453" s="11" t="str">
        <f t="shared" si="6"/>
        <v>胜</v>
      </c>
      <c r="Q453" s="11" t="str">
        <f t="shared" si="6"/>
        <v>胜</v>
      </c>
    </row>
    <row r="454" spans="4:17" customFormat="1" hidden="1" x14ac:dyDescent="0.15">
      <c r="D454" t="s">
        <v>6</v>
      </c>
      <c r="E454" s="1">
        <v>214358</v>
      </c>
      <c r="F454" s="1">
        <v>214358</v>
      </c>
      <c r="G454" s="8">
        <v>42498.083333333336</v>
      </c>
      <c r="H454" s="1" t="s">
        <v>46</v>
      </c>
      <c r="I454" s="1">
        <v>0</v>
      </c>
      <c r="J454" s="1">
        <v>1</v>
      </c>
      <c r="K454" s="1">
        <v>0</v>
      </c>
      <c r="L454" s="1" t="s">
        <v>36</v>
      </c>
      <c r="M454" s="1">
        <v>0</v>
      </c>
      <c r="N454" s="1">
        <v>0</v>
      </c>
      <c r="O454" s="1">
        <v>0</v>
      </c>
      <c r="P454" s="11" t="str">
        <f t="shared" si="6"/>
        <v>平</v>
      </c>
      <c r="Q454" s="11" t="str">
        <f t="shared" si="6"/>
        <v>胜</v>
      </c>
    </row>
    <row r="455" spans="4:17" customFormat="1" hidden="1" x14ac:dyDescent="0.15">
      <c r="D455" t="s">
        <v>6</v>
      </c>
      <c r="E455" s="1">
        <v>214371</v>
      </c>
      <c r="F455" s="1">
        <v>214371</v>
      </c>
      <c r="G455" s="8">
        <v>42499</v>
      </c>
      <c r="H455" s="1" t="s">
        <v>37</v>
      </c>
      <c r="I455" s="1">
        <v>1</v>
      </c>
      <c r="J455" s="1">
        <v>3</v>
      </c>
      <c r="K455" s="1">
        <v>0</v>
      </c>
      <c r="L455" s="1" t="s">
        <v>42</v>
      </c>
      <c r="M455" s="1">
        <v>0</v>
      </c>
      <c r="N455" s="1">
        <v>1</v>
      </c>
      <c r="O455" s="1">
        <v>0</v>
      </c>
      <c r="P455" s="11" t="str">
        <f t="shared" si="6"/>
        <v>胜</v>
      </c>
      <c r="Q455" s="11" t="str">
        <f t="shared" si="6"/>
        <v>胜</v>
      </c>
    </row>
    <row r="456" spans="4:17" customFormat="1" hidden="1" x14ac:dyDescent="0.15">
      <c r="D456" t="s">
        <v>6</v>
      </c>
      <c r="E456" s="1">
        <v>214372</v>
      </c>
      <c r="F456" s="1">
        <v>214372</v>
      </c>
      <c r="G456" s="8">
        <v>42498.999305555553</v>
      </c>
      <c r="H456" s="1" t="s">
        <v>49</v>
      </c>
      <c r="I456" s="1">
        <v>1</v>
      </c>
      <c r="J456" s="1">
        <v>3</v>
      </c>
      <c r="K456" s="1">
        <v>0</v>
      </c>
      <c r="L456" s="1" t="s">
        <v>41</v>
      </c>
      <c r="M456" s="1">
        <v>0</v>
      </c>
      <c r="N456" s="1">
        <v>0</v>
      </c>
      <c r="O456" s="1">
        <v>0</v>
      </c>
      <c r="P456" s="11" t="str">
        <f t="shared" si="6"/>
        <v>胜</v>
      </c>
      <c r="Q456" s="11" t="str">
        <f t="shared" si="6"/>
        <v>胜</v>
      </c>
    </row>
    <row r="457" spans="4:17" customFormat="1" hidden="1" x14ac:dyDescent="0.15">
      <c r="D457" t="s">
        <v>6</v>
      </c>
      <c r="E457" s="1">
        <v>214373</v>
      </c>
      <c r="F457" s="1">
        <v>214373</v>
      </c>
      <c r="G457" s="8">
        <v>42498.999305555553</v>
      </c>
      <c r="H457" s="1" t="s">
        <v>43</v>
      </c>
      <c r="I457" s="1">
        <v>1</v>
      </c>
      <c r="J457" s="1">
        <v>1</v>
      </c>
      <c r="K457" s="1">
        <v>0</v>
      </c>
      <c r="L457" s="1" t="s">
        <v>35</v>
      </c>
      <c r="M457" s="1">
        <v>1</v>
      </c>
      <c r="N457" s="1">
        <v>4</v>
      </c>
      <c r="O457" s="1">
        <v>0</v>
      </c>
      <c r="P457" s="11" t="str">
        <f t="shared" si="6"/>
        <v>平</v>
      </c>
      <c r="Q457" s="11" t="str">
        <f t="shared" si="6"/>
        <v>负</v>
      </c>
    </row>
    <row r="458" spans="4:17" customFormat="1" hidden="1" x14ac:dyDescent="0.15">
      <c r="D458" t="s">
        <v>6</v>
      </c>
      <c r="E458" s="1">
        <v>214374</v>
      </c>
      <c r="F458" s="1">
        <v>214374</v>
      </c>
      <c r="G458" s="8">
        <v>42499.083333333336</v>
      </c>
      <c r="H458" s="1" t="s">
        <v>48</v>
      </c>
      <c r="I458" s="1">
        <v>0</v>
      </c>
      <c r="J458" s="1">
        <v>3</v>
      </c>
      <c r="K458" s="1">
        <v>0</v>
      </c>
      <c r="L458" s="1" t="s">
        <v>38</v>
      </c>
      <c r="M458" s="1">
        <v>1</v>
      </c>
      <c r="N458" s="1">
        <v>3</v>
      </c>
      <c r="O458" s="1">
        <v>0</v>
      </c>
      <c r="P458" s="11" t="str">
        <f t="shared" si="6"/>
        <v>负</v>
      </c>
      <c r="Q458" s="11" t="str">
        <f t="shared" si="6"/>
        <v>平</v>
      </c>
    </row>
    <row r="459" spans="4:17" customFormat="1" hidden="1" x14ac:dyDescent="0.15">
      <c r="D459" t="s">
        <v>6</v>
      </c>
      <c r="E459" s="1">
        <v>216235</v>
      </c>
      <c r="F459" s="1">
        <v>216235</v>
      </c>
      <c r="G459" s="8">
        <v>42502.040972222225</v>
      </c>
      <c r="H459" s="1" t="s">
        <v>48</v>
      </c>
      <c r="I459" s="1">
        <v>3</v>
      </c>
      <c r="J459" s="1">
        <v>3</v>
      </c>
      <c r="K459" s="1">
        <v>0</v>
      </c>
      <c r="L459" s="1" t="s">
        <v>54</v>
      </c>
      <c r="M459" s="1">
        <v>1</v>
      </c>
      <c r="N459" s="1">
        <v>1</v>
      </c>
      <c r="O459" s="1">
        <v>0</v>
      </c>
      <c r="P459" s="11" t="str">
        <f t="shared" si="6"/>
        <v>胜</v>
      </c>
      <c r="Q459" s="11" t="str">
        <f t="shared" si="6"/>
        <v>胜</v>
      </c>
    </row>
    <row r="460" spans="4:17" x14ac:dyDescent="0.15">
      <c r="D460" s="2" t="s">
        <v>6</v>
      </c>
      <c r="E460" s="6">
        <v>216236</v>
      </c>
      <c r="F460" s="6">
        <v>216236</v>
      </c>
      <c r="G460" s="24">
        <v>42502.041666666664</v>
      </c>
      <c r="H460" s="6" t="s">
        <v>32</v>
      </c>
      <c r="I460" s="6">
        <v>0</v>
      </c>
      <c r="J460" s="6">
        <v>0</v>
      </c>
      <c r="K460" s="6">
        <v>0</v>
      </c>
      <c r="L460" s="6" t="s">
        <v>49</v>
      </c>
      <c r="M460" s="6">
        <v>0</v>
      </c>
      <c r="N460" s="6">
        <v>0</v>
      </c>
      <c r="O460" s="6">
        <v>0</v>
      </c>
      <c r="P460" s="11" t="str">
        <f t="shared" si="6"/>
        <v>平</v>
      </c>
      <c r="Q460" s="11" t="str">
        <f t="shared" si="6"/>
        <v>平</v>
      </c>
    </row>
    <row r="461" spans="4:17" customFormat="1" hidden="1" x14ac:dyDescent="0.15">
      <c r="D461" t="s">
        <v>6</v>
      </c>
      <c r="E461" s="1">
        <v>216237</v>
      </c>
      <c r="F461" s="1">
        <v>216237</v>
      </c>
      <c r="G461" s="8">
        <v>42502.042361111111</v>
      </c>
      <c r="H461" s="1" t="s">
        <v>44</v>
      </c>
      <c r="I461" s="1">
        <v>1</v>
      </c>
      <c r="J461" s="1">
        <v>1</v>
      </c>
      <c r="K461" s="1">
        <v>0</v>
      </c>
      <c r="L461" s="1" t="s">
        <v>46</v>
      </c>
      <c r="M461" s="1">
        <v>0</v>
      </c>
      <c r="N461" s="1">
        <v>0</v>
      </c>
      <c r="O461" s="1">
        <v>0</v>
      </c>
      <c r="P461" s="11" t="str">
        <f t="shared" ref="P461:Q524" si="7">IF(I461=M461,"平",IF(I461&gt;M461,"胜","负"))</f>
        <v>胜</v>
      </c>
      <c r="Q461" s="11" t="str">
        <f t="shared" si="7"/>
        <v>胜</v>
      </c>
    </row>
    <row r="462" spans="4:17" customFormat="1" hidden="1" x14ac:dyDescent="0.15">
      <c r="D462" t="s">
        <v>6</v>
      </c>
      <c r="E462" s="1">
        <v>216240</v>
      </c>
      <c r="F462" s="1">
        <v>216240</v>
      </c>
      <c r="G462" s="8">
        <v>42502.040972222225</v>
      </c>
      <c r="H462" s="1" t="s">
        <v>38</v>
      </c>
      <c r="I462" s="1">
        <v>3</v>
      </c>
      <c r="J462" s="1">
        <v>4</v>
      </c>
      <c r="K462" s="1">
        <v>0</v>
      </c>
      <c r="L462" s="1" t="s">
        <v>40</v>
      </c>
      <c r="M462" s="1">
        <v>0</v>
      </c>
      <c r="N462" s="1">
        <v>2</v>
      </c>
      <c r="O462" s="1">
        <v>0</v>
      </c>
      <c r="P462" s="11" t="str">
        <f t="shared" si="7"/>
        <v>胜</v>
      </c>
      <c r="Q462" s="11" t="str">
        <f t="shared" si="7"/>
        <v>胜</v>
      </c>
    </row>
    <row r="463" spans="4:17" customFormat="1" hidden="1" x14ac:dyDescent="0.15">
      <c r="D463" t="s">
        <v>6</v>
      </c>
      <c r="E463" s="1">
        <v>216293</v>
      </c>
      <c r="F463" s="1">
        <v>216293</v>
      </c>
      <c r="G463" s="8">
        <v>42503.041666666664</v>
      </c>
      <c r="H463" s="1" t="s">
        <v>36</v>
      </c>
      <c r="I463" s="1">
        <v>0</v>
      </c>
      <c r="J463" s="1">
        <v>0</v>
      </c>
      <c r="K463" s="1">
        <v>0</v>
      </c>
      <c r="L463" s="1" t="s">
        <v>37</v>
      </c>
      <c r="M463" s="1">
        <v>0</v>
      </c>
      <c r="N463" s="1">
        <v>2</v>
      </c>
      <c r="O463" s="1">
        <v>0</v>
      </c>
      <c r="P463" s="11" t="str">
        <f t="shared" si="7"/>
        <v>平</v>
      </c>
      <c r="Q463" s="11" t="str">
        <f t="shared" si="7"/>
        <v>负</v>
      </c>
    </row>
    <row r="464" spans="4:17" customFormat="1" hidden="1" x14ac:dyDescent="0.15">
      <c r="D464" t="s">
        <v>6</v>
      </c>
      <c r="E464" s="1">
        <v>216294</v>
      </c>
      <c r="F464" s="1">
        <v>216294</v>
      </c>
      <c r="G464" s="8">
        <v>42503.041666666664</v>
      </c>
      <c r="H464" s="1" t="s">
        <v>35</v>
      </c>
      <c r="I464" s="1">
        <v>0</v>
      </c>
      <c r="J464" s="1">
        <v>0</v>
      </c>
      <c r="K464" s="1">
        <v>0</v>
      </c>
      <c r="L464" s="1" t="s">
        <v>53</v>
      </c>
      <c r="M464" s="1">
        <v>0</v>
      </c>
      <c r="N464" s="1">
        <v>0</v>
      </c>
      <c r="O464" s="1">
        <v>0</v>
      </c>
      <c r="P464" s="11" t="str">
        <f t="shared" si="7"/>
        <v>平</v>
      </c>
      <c r="Q464" s="11" t="str">
        <f t="shared" si="7"/>
        <v>平</v>
      </c>
    </row>
    <row r="465" spans="4:17" customFormat="1" hidden="1" x14ac:dyDescent="0.15">
      <c r="D465" t="s">
        <v>6</v>
      </c>
      <c r="E465" s="1">
        <v>216295</v>
      </c>
      <c r="F465" s="1">
        <v>216295</v>
      </c>
      <c r="G465" s="8">
        <v>42503.041666666664</v>
      </c>
      <c r="H465" s="1" t="s">
        <v>42</v>
      </c>
      <c r="I465" s="1">
        <v>0</v>
      </c>
      <c r="J465" s="1">
        <v>1</v>
      </c>
      <c r="K465" s="1">
        <v>0</v>
      </c>
      <c r="L465" s="1" t="s">
        <v>45</v>
      </c>
      <c r="M465" s="1">
        <v>0</v>
      </c>
      <c r="N465" s="1">
        <v>0</v>
      </c>
      <c r="O465" s="1">
        <v>0</v>
      </c>
      <c r="P465" s="11" t="str">
        <f t="shared" si="7"/>
        <v>平</v>
      </c>
      <c r="Q465" s="11" t="str">
        <f t="shared" si="7"/>
        <v>胜</v>
      </c>
    </row>
    <row r="466" spans="4:17" customFormat="1" hidden="1" x14ac:dyDescent="0.15">
      <c r="D466" t="s">
        <v>6</v>
      </c>
      <c r="E466" s="1">
        <v>216296</v>
      </c>
      <c r="F466" s="1">
        <v>216296</v>
      </c>
      <c r="G466" s="8">
        <v>42503.041666666664</v>
      </c>
      <c r="H466" s="1" t="s">
        <v>41</v>
      </c>
      <c r="I466" s="1">
        <v>1</v>
      </c>
      <c r="J466" s="1">
        <v>1</v>
      </c>
      <c r="K466" s="1">
        <v>0</v>
      </c>
      <c r="L466" s="1" t="s">
        <v>43</v>
      </c>
      <c r="M466" s="1">
        <v>0</v>
      </c>
      <c r="N466" s="1">
        <v>0</v>
      </c>
      <c r="O466" s="1">
        <v>0</v>
      </c>
      <c r="P466" s="11" t="str">
        <f t="shared" si="7"/>
        <v>胜</v>
      </c>
      <c r="Q466" s="11" t="str">
        <f t="shared" si="7"/>
        <v>胜</v>
      </c>
    </row>
    <row r="467" spans="4:17" customFormat="1" hidden="1" x14ac:dyDescent="0.15">
      <c r="D467" t="s">
        <v>6</v>
      </c>
      <c r="E467" s="1">
        <v>217315</v>
      </c>
      <c r="F467" s="1">
        <v>217315</v>
      </c>
      <c r="G467" s="8">
        <v>42506.895833333336</v>
      </c>
      <c r="H467" s="1" t="s">
        <v>43</v>
      </c>
      <c r="I467" s="1">
        <v>0</v>
      </c>
      <c r="J467" s="1">
        <v>1</v>
      </c>
      <c r="K467" s="1">
        <v>0</v>
      </c>
      <c r="L467" s="1" t="s">
        <v>36</v>
      </c>
      <c r="M467" s="1">
        <v>0</v>
      </c>
      <c r="N467" s="1">
        <v>1</v>
      </c>
      <c r="O467" s="1">
        <v>0</v>
      </c>
      <c r="P467" s="11" t="str">
        <f t="shared" si="7"/>
        <v>平</v>
      </c>
      <c r="Q467" s="11" t="str">
        <f t="shared" si="7"/>
        <v>平</v>
      </c>
    </row>
    <row r="468" spans="4:17" customFormat="1" hidden="1" x14ac:dyDescent="0.15">
      <c r="D468" t="s">
        <v>6</v>
      </c>
      <c r="E468" s="1">
        <v>217316</v>
      </c>
      <c r="F468" s="1">
        <v>217316</v>
      </c>
      <c r="G468" s="8">
        <v>42506.895833333336</v>
      </c>
      <c r="H468" s="1" t="s">
        <v>53</v>
      </c>
      <c r="I468" s="1">
        <v>0</v>
      </c>
      <c r="J468" s="1">
        <v>1</v>
      </c>
      <c r="K468" s="1">
        <v>0</v>
      </c>
      <c r="L468" s="1" t="s">
        <v>32</v>
      </c>
      <c r="M468" s="1">
        <v>0</v>
      </c>
      <c r="N468" s="1">
        <v>2</v>
      </c>
      <c r="O468" s="1">
        <v>0</v>
      </c>
      <c r="P468" s="11" t="str">
        <f t="shared" si="7"/>
        <v>平</v>
      </c>
      <c r="Q468" s="11" t="str">
        <f t="shared" si="7"/>
        <v>负</v>
      </c>
    </row>
    <row r="469" spans="4:17" customFormat="1" hidden="1" x14ac:dyDescent="0.15">
      <c r="D469" t="s">
        <v>6</v>
      </c>
      <c r="E469" s="1">
        <v>217320</v>
      </c>
      <c r="F469" s="1">
        <v>217320</v>
      </c>
      <c r="G469" s="8">
        <v>42506.999305555553</v>
      </c>
      <c r="H469" s="1" t="s">
        <v>54</v>
      </c>
      <c r="I469" s="1">
        <v>0</v>
      </c>
      <c r="J469" s="1">
        <v>2</v>
      </c>
      <c r="K469" s="1">
        <v>0</v>
      </c>
      <c r="L469" s="1" t="s">
        <v>38</v>
      </c>
      <c r="M469" s="1">
        <v>0</v>
      </c>
      <c r="N469" s="1">
        <v>0</v>
      </c>
      <c r="O469" s="1">
        <v>0</v>
      </c>
      <c r="P469" s="11" t="str">
        <f t="shared" si="7"/>
        <v>平</v>
      </c>
      <c r="Q469" s="11" t="str">
        <f t="shared" si="7"/>
        <v>胜</v>
      </c>
    </row>
    <row r="470" spans="4:17" customFormat="1" hidden="1" x14ac:dyDescent="0.15">
      <c r="D470" t="s">
        <v>6</v>
      </c>
      <c r="E470" s="1">
        <v>217321</v>
      </c>
      <c r="F470" s="1">
        <v>217321</v>
      </c>
      <c r="G470" s="8">
        <v>42507.001388888886</v>
      </c>
      <c r="H470" s="1" t="s">
        <v>46</v>
      </c>
      <c r="I470" s="1">
        <v>0</v>
      </c>
      <c r="J470" s="1">
        <v>1</v>
      </c>
      <c r="K470" s="1">
        <v>0</v>
      </c>
      <c r="L470" s="1" t="s">
        <v>42</v>
      </c>
      <c r="M470" s="1">
        <v>0</v>
      </c>
      <c r="N470" s="1">
        <v>0</v>
      </c>
      <c r="O470" s="1">
        <v>0</v>
      </c>
      <c r="P470" s="11" t="str">
        <f t="shared" si="7"/>
        <v>平</v>
      </c>
      <c r="Q470" s="11" t="str">
        <f t="shared" si="7"/>
        <v>胜</v>
      </c>
    </row>
    <row r="471" spans="4:17" customFormat="1" hidden="1" x14ac:dyDescent="0.15">
      <c r="D471" t="s">
        <v>6</v>
      </c>
      <c r="E471" s="1">
        <v>217322</v>
      </c>
      <c r="F471" s="1">
        <v>217322</v>
      </c>
      <c r="G471" s="8">
        <v>42507</v>
      </c>
      <c r="H471" s="1" t="s">
        <v>49</v>
      </c>
      <c r="I471" s="1">
        <v>0</v>
      </c>
      <c r="J471" s="1">
        <v>0</v>
      </c>
      <c r="K471" s="1">
        <v>0</v>
      </c>
      <c r="L471" s="1" t="s">
        <v>48</v>
      </c>
      <c r="M471" s="1">
        <v>1</v>
      </c>
      <c r="N471" s="1">
        <v>1</v>
      </c>
      <c r="O471" s="1">
        <v>0</v>
      </c>
      <c r="P471" s="11" t="str">
        <f t="shared" si="7"/>
        <v>负</v>
      </c>
      <c r="Q471" s="11" t="str">
        <f t="shared" si="7"/>
        <v>负</v>
      </c>
    </row>
    <row r="472" spans="4:17" customFormat="1" hidden="1" x14ac:dyDescent="0.15">
      <c r="D472" t="s">
        <v>6</v>
      </c>
      <c r="E472" s="1">
        <v>217323</v>
      </c>
      <c r="F472" s="1">
        <v>217323</v>
      </c>
      <c r="G472" s="8">
        <v>42507</v>
      </c>
      <c r="H472" s="1" t="s">
        <v>37</v>
      </c>
      <c r="I472" s="1">
        <v>1</v>
      </c>
      <c r="J472" s="1">
        <v>2</v>
      </c>
      <c r="K472" s="1">
        <v>0</v>
      </c>
      <c r="L472" s="1" t="s">
        <v>44</v>
      </c>
      <c r="M472" s="1">
        <v>0</v>
      </c>
      <c r="N472" s="1">
        <v>1</v>
      </c>
      <c r="O472" s="1">
        <v>0</v>
      </c>
      <c r="P472" s="11" t="str">
        <f t="shared" si="7"/>
        <v>胜</v>
      </c>
      <c r="Q472" s="11" t="str">
        <f t="shared" si="7"/>
        <v>胜</v>
      </c>
    </row>
    <row r="473" spans="4:17" customFormat="1" hidden="1" x14ac:dyDescent="0.15">
      <c r="D473" t="s">
        <v>6</v>
      </c>
      <c r="E473" s="1">
        <v>217324</v>
      </c>
      <c r="F473" s="1">
        <v>217324</v>
      </c>
      <c r="G473" s="8">
        <v>42506.999305555553</v>
      </c>
      <c r="H473" s="1" t="s">
        <v>45</v>
      </c>
      <c r="I473" s="1">
        <v>0</v>
      </c>
      <c r="J473" s="1">
        <v>0</v>
      </c>
      <c r="K473" s="1">
        <v>0</v>
      </c>
      <c r="L473" s="1" t="s">
        <v>35</v>
      </c>
      <c r="M473" s="1">
        <v>0</v>
      </c>
      <c r="N473" s="1">
        <v>0</v>
      </c>
      <c r="O473" s="1">
        <v>0</v>
      </c>
      <c r="P473" s="11" t="str">
        <f t="shared" si="7"/>
        <v>平</v>
      </c>
      <c r="Q473" s="11" t="str">
        <f t="shared" si="7"/>
        <v>平</v>
      </c>
    </row>
    <row r="474" spans="4:17" customFormat="1" hidden="1" x14ac:dyDescent="0.15">
      <c r="D474" t="s">
        <v>6</v>
      </c>
      <c r="E474" s="1">
        <v>217327</v>
      </c>
      <c r="F474" s="1">
        <v>217327</v>
      </c>
      <c r="G474" s="8">
        <v>42507.083333333336</v>
      </c>
      <c r="H474" s="1" t="s">
        <v>40</v>
      </c>
      <c r="I474" s="1">
        <v>1</v>
      </c>
      <c r="J474" s="1">
        <v>4</v>
      </c>
      <c r="K474" s="1">
        <v>0</v>
      </c>
      <c r="L474" s="1" t="s">
        <v>41</v>
      </c>
      <c r="M474" s="1">
        <v>0</v>
      </c>
      <c r="N474" s="1">
        <v>0</v>
      </c>
      <c r="O474" s="1">
        <v>0</v>
      </c>
      <c r="P474" s="11" t="str">
        <f t="shared" si="7"/>
        <v>胜</v>
      </c>
      <c r="Q474" s="11" t="str">
        <f t="shared" si="7"/>
        <v>胜</v>
      </c>
    </row>
    <row r="475" spans="4:17" customFormat="1" hidden="1" x14ac:dyDescent="0.15">
      <c r="D475" t="s">
        <v>6</v>
      </c>
      <c r="E475" s="1">
        <v>218825</v>
      </c>
      <c r="F475" s="1">
        <v>218825</v>
      </c>
      <c r="G475" s="8">
        <v>42511.041666666664</v>
      </c>
      <c r="H475" s="1" t="s">
        <v>41</v>
      </c>
      <c r="I475" s="1">
        <v>0</v>
      </c>
      <c r="J475" s="1">
        <v>0</v>
      </c>
      <c r="K475" s="1">
        <v>0</v>
      </c>
      <c r="L475" s="1" t="s">
        <v>54</v>
      </c>
      <c r="M475" s="1">
        <v>0</v>
      </c>
      <c r="N475" s="1">
        <v>0</v>
      </c>
      <c r="O475" s="1">
        <v>0</v>
      </c>
      <c r="P475" s="11" t="str">
        <f t="shared" si="7"/>
        <v>平</v>
      </c>
      <c r="Q475" s="11" t="str">
        <f t="shared" si="7"/>
        <v>平</v>
      </c>
    </row>
    <row r="476" spans="4:17" customFormat="1" hidden="1" x14ac:dyDescent="0.15">
      <c r="D476" t="s">
        <v>6</v>
      </c>
      <c r="E476" s="1">
        <v>218905</v>
      </c>
      <c r="F476" s="1">
        <v>218905</v>
      </c>
      <c r="G476" s="8">
        <v>42512.999305555553</v>
      </c>
      <c r="H476" s="1" t="s">
        <v>48</v>
      </c>
      <c r="I476" s="1">
        <v>1</v>
      </c>
      <c r="J476" s="1">
        <v>1</v>
      </c>
      <c r="K476" s="1">
        <v>0</v>
      </c>
      <c r="L476" s="1" t="s">
        <v>37</v>
      </c>
      <c r="M476" s="1">
        <v>1</v>
      </c>
      <c r="N476" s="1">
        <v>1</v>
      </c>
      <c r="O476" s="1">
        <v>0</v>
      </c>
      <c r="P476" s="11" t="str">
        <f t="shared" si="7"/>
        <v>平</v>
      </c>
      <c r="Q476" s="11" t="str">
        <f t="shared" si="7"/>
        <v>平</v>
      </c>
    </row>
    <row r="477" spans="4:17" customFormat="1" hidden="1" x14ac:dyDescent="0.15">
      <c r="D477" t="s">
        <v>6</v>
      </c>
      <c r="E477" s="1">
        <v>218907</v>
      </c>
      <c r="F477" s="1">
        <v>218907</v>
      </c>
      <c r="G477" s="8">
        <v>42513</v>
      </c>
      <c r="H477" s="1" t="s">
        <v>40</v>
      </c>
      <c r="I477" s="1">
        <v>0</v>
      </c>
      <c r="J477" s="1">
        <v>3</v>
      </c>
      <c r="K477" s="1">
        <v>0</v>
      </c>
      <c r="L477" s="1" t="s">
        <v>49</v>
      </c>
      <c r="M477" s="1">
        <v>2</v>
      </c>
      <c r="N477" s="1">
        <v>2</v>
      </c>
      <c r="O477" s="1">
        <v>0</v>
      </c>
      <c r="P477" s="11" t="str">
        <f t="shared" si="7"/>
        <v>负</v>
      </c>
      <c r="Q477" s="11" t="str">
        <f t="shared" si="7"/>
        <v>胜</v>
      </c>
    </row>
    <row r="478" spans="4:17" customFormat="1" hidden="1" x14ac:dyDescent="0.15">
      <c r="D478" t="s">
        <v>6</v>
      </c>
      <c r="E478" s="1">
        <v>218911</v>
      </c>
      <c r="F478" s="1">
        <v>218911</v>
      </c>
      <c r="G478" s="8">
        <v>42513.083333333336</v>
      </c>
      <c r="H478" s="1" t="s">
        <v>44</v>
      </c>
      <c r="I478" s="1">
        <v>0</v>
      </c>
      <c r="J478" s="1">
        <v>1</v>
      </c>
      <c r="K478" s="1">
        <v>0</v>
      </c>
      <c r="L478" s="1" t="s">
        <v>45</v>
      </c>
      <c r="M478" s="1">
        <v>1</v>
      </c>
      <c r="N478" s="1">
        <v>2</v>
      </c>
      <c r="O478" s="1">
        <v>0</v>
      </c>
      <c r="P478" s="11" t="str">
        <f t="shared" si="7"/>
        <v>负</v>
      </c>
      <c r="Q478" s="11" t="str">
        <f t="shared" si="7"/>
        <v>负</v>
      </c>
    </row>
    <row r="479" spans="4:17" customFormat="1" hidden="1" x14ac:dyDescent="0.15">
      <c r="D479" t="s">
        <v>6</v>
      </c>
      <c r="E479" s="1">
        <v>218912</v>
      </c>
      <c r="F479" s="1">
        <v>218912</v>
      </c>
      <c r="G479" s="8">
        <v>42512.000694444447</v>
      </c>
      <c r="H479" s="1" t="s">
        <v>38</v>
      </c>
      <c r="I479" s="1">
        <v>0</v>
      </c>
      <c r="J479" s="1">
        <v>2</v>
      </c>
      <c r="K479" s="1">
        <v>0</v>
      </c>
      <c r="L479" s="1" t="s">
        <v>46</v>
      </c>
      <c r="M479" s="1">
        <v>0</v>
      </c>
      <c r="N479" s="1">
        <v>0</v>
      </c>
      <c r="O479" s="1">
        <v>0</v>
      </c>
      <c r="P479" s="11" t="str">
        <f t="shared" si="7"/>
        <v>平</v>
      </c>
      <c r="Q479" s="11" t="str">
        <f t="shared" si="7"/>
        <v>胜</v>
      </c>
    </row>
    <row r="480" spans="4:17" x14ac:dyDescent="0.15">
      <c r="D480" s="2" t="s">
        <v>6</v>
      </c>
      <c r="E480" s="6">
        <v>218915</v>
      </c>
      <c r="F480" s="6">
        <v>218915</v>
      </c>
      <c r="G480" s="24">
        <v>42512.875</v>
      </c>
      <c r="H480" s="6" t="s">
        <v>32</v>
      </c>
      <c r="I480" s="6">
        <v>0</v>
      </c>
      <c r="J480" s="6">
        <v>0</v>
      </c>
      <c r="K480" s="6">
        <v>0</v>
      </c>
      <c r="L480" s="6" t="s">
        <v>43</v>
      </c>
      <c r="M480" s="6">
        <v>1</v>
      </c>
      <c r="N480" s="6">
        <v>1</v>
      </c>
      <c r="O480" s="6">
        <v>0</v>
      </c>
      <c r="P480" s="11" t="str">
        <f t="shared" si="7"/>
        <v>负</v>
      </c>
      <c r="Q480" s="11" t="str">
        <f t="shared" si="7"/>
        <v>负</v>
      </c>
    </row>
    <row r="481" spans="4:17" customFormat="1" hidden="1" x14ac:dyDescent="0.15">
      <c r="D481" t="s">
        <v>6</v>
      </c>
      <c r="E481" s="1">
        <v>218919</v>
      </c>
      <c r="F481" s="1">
        <v>218919</v>
      </c>
      <c r="G481" s="8">
        <v>42513</v>
      </c>
      <c r="H481" s="1" t="s">
        <v>35</v>
      </c>
      <c r="I481" s="1">
        <v>1</v>
      </c>
      <c r="J481" s="1">
        <v>2</v>
      </c>
      <c r="K481" s="1">
        <v>0</v>
      </c>
      <c r="L481" s="1" t="s">
        <v>36</v>
      </c>
      <c r="M481" s="1">
        <v>0</v>
      </c>
      <c r="N481" s="1">
        <v>2</v>
      </c>
      <c r="O481" s="1">
        <v>0</v>
      </c>
      <c r="P481" s="11" t="str">
        <f t="shared" si="7"/>
        <v>胜</v>
      </c>
      <c r="Q481" s="11" t="str">
        <f t="shared" si="7"/>
        <v>平</v>
      </c>
    </row>
    <row r="482" spans="4:17" customFormat="1" hidden="1" x14ac:dyDescent="0.15">
      <c r="D482" t="s">
        <v>6</v>
      </c>
      <c r="E482" s="1">
        <v>218920</v>
      </c>
      <c r="F482" s="1">
        <v>218920</v>
      </c>
      <c r="G482" s="8">
        <v>42511.895833333336</v>
      </c>
      <c r="H482" s="1" t="s">
        <v>42</v>
      </c>
      <c r="I482" s="1">
        <v>0</v>
      </c>
      <c r="J482" s="1">
        <v>0</v>
      </c>
      <c r="K482" s="1">
        <v>0</v>
      </c>
      <c r="L482" s="1" t="s">
        <v>53</v>
      </c>
      <c r="M482" s="1">
        <v>2</v>
      </c>
      <c r="N482" s="1">
        <v>3</v>
      </c>
      <c r="O482" s="1">
        <v>0</v>
      </c>
      <c r="P482" s="11" t="str">
        <f t="shared" si="7"/>
        <v>负</v>
      </c>
      <c r="Q482" s="11" t="str">
        <f t="shared" si="7"/>
        <v>负</v>
      </c>
    </row>
    <row r="483" spans="4:17" customFormat="1" hidden="1" x14ac:dyDescent="0.15">
      <c r="D483" t="s">
        <v>6</v>
      </c>
      <c r="E483" s="1">
        <v>220503</v>
      </c>
      <c r="F483" s="1">
        <v>220503</v>
      </c>
      <c r="G483" s="8">
        <v>42519.895833333336</v>
      </c>
      <c r="H483" s="1" t="s">
        <v>54</v>
      </c>
      <c r="I483" s="1">
        <v>1</v>
      </c>
      <c r="J483" s="1">
        <v>2</v>
      </c>
      <c r="K483" s="1">
        <v>0</v>
      </c>
      <c r="L483" s="1" t="s">
        <v>40</v>
      </c>
      <c r="M483" s="1">
        <v>1</v>
      </c>
      <c r="N483" s="1">
        <v>1</v>
      </c>
      <c r="O483" s="1">
        <v>0</v>
      </c>
      <c r="P483" s="11" t="str">
        <f t="shared" si="7"/>
        <v>平</v>
      </c>
      <c r="Q483" s="11" t="str">
        <f t="shared" si="7"/>
        <v>胜</v>
      </c>
    </row>
    <row r="484" spans="4:17" customFormat="1" hidden="1" x14ac:dyDescent="0.15">
      <c r="D484" t="s">
        <v>6</v>
      </c>
      <c r="E484" s="1">
        <v>220504</v>
      </c>
      <c r="F484" s="1">
        <v>220504</v>
      </c>
      <c r="G484" s="8">
        <v>42519.895138888889</v>
      </c>
      <c r="H484" s="1" t="s">
        <v>35</v>
      </c>
      <c r="I484" s="1">
        <v>0</v>
      </c>
      <c r="J484" s="1">
        <v>2</v>
      </c>
      <c r="K484" s="1">
        <v>0</v>
      </c>
      <c r="L484" s="1" t="s">
        <v>44</v>
      </c>
      <c r="M484" s="1">
        <v>2</v>
      </c>
      <c r="N484" s="1">
        <v>2</v>
      </c>
      <c r="O484" s="1">
        <v>0</v>
      </c>
      <c r="P484" s="11" t="str">
        <f t="shared" si="7"/>
        <v>负</v>
      </c>
      <c r="Q484" s="11" t="str">
        <f t="shared" si="7"/>
        <v>平</v>
      </c>
    </row>
    <row r="485" spans="4:17" customFormat="1" hidden="1" x14ac:dyDescent="0.15">
      <c r="D485" t="s">
        <v>6</v>
      </c>
      <c r="E485" s="1">
        <v>220628</v>
      </c>
      <c r="F485" s="1">
        <v>220628</v>
      </c>
      <c r="G485" s="8">
        <v>42520.000694444447</v>
      </c>
      <c r="H485" s="1" t="s">
        <v>36</v>
      </c>
      <c r="I485" s="1">
        <v>0</v>
      </c>
      <c r="J485" s="1">
        <v>0</v>
      </c>
      <c r="K485" s="1">
        <v>0</v>
      </c>
      <c r="L485" s="1" t="s">
        <v>42</v>
      </c>
      <c r="M485" s="1">
        <v>2</v>
      </c>
      <c r="N485" s="1">
        <v>5</v>
      </c>
      <c r="O485" s="1">
        <v>0</v>
      </c>
      <c r="P485" s="11" t="str">
        <f t="shared" si="7"/>
        <v>负</v>
      </c>
      <c r="Q485" s="11" t="str">
        <f t="shared" si="7"/>
        <v>负</v>
      </c>
    </row>
    <row r="486" spans="4:17" customFormat="1" hidden="1" x14ac:dyDescent="0.15">
      <c r="D486" t="s">
        <v>6</v>
      </c>
      <c r="E486" s="1">
        <v>220629</v>
      </c>
      <c r="F486" s="1">
        <v>220629</v>
      </c>
      <c r="G486" s="8">
        <v>42519.999305555553</v>
      </c>
      <c r="H486" s="1" t="s">
        <v>45</v>
      </c>
      <c r="I486" s="1">
        <v>2</v>
      </c>
      <c r="J486" s="1">
        <v>2</v>
      </c>
      <c r="K486" s="1">
        <v>0</v>
      </c>
      <c r="L486" s="1" t="s">
        <v>32</v>
      </c>
      <c r="M486" s="1">
        <v>0</v>
      </c>
      <c r="N486" s="1">
        <v>0</v>
      </c>
      <c r="O486" s="1">
        <v>0</v>
      </c>
      <c r="P486" s="11" t="str">
        <f t="shared" si="7"/>
        <v>胜</v>
      </c>
      <c r="Q486" s="11" t="str">
        <f t="shared" si="7"/>
        <v>胜</v>
      </c>
    </row>
    <row r="487" spans="4:17" customFormat="1" hidden="1" x14ac:dyDescent="0.15">
      <c r="D487" t="s">
        <v>6</v>
      </c>
      <c r="E487" s="1">
        <v>220630</v>
      </c>
      <c r="F487" s="1">
        <v>220630</v>
      </c>
      <c r="G487" s="8">
        <v>42520.000694444447</v>
      </c>
      <c r="H487" s="1" t="s">
        <v>46</v>
      </c>
      <c r="I487" s="1">
        <v>0</v>
      </c>
      <c r="J487" s="1">
        <v>1</v>
      </c>
      <c r="K487" s="1">
        <v>0</v>
      </c>
      <c r="L487" s="1" t="s">
        <v>48</v>
      </c>
      <c r="M487" s="1">
        <v>0</v>
      </c>
      <c r="N487" s="1">
        <v>0</v>
      </c>
      <c r="O487" s="1">
        <v>0</v>
      </c>
      <c r="P487" s="11" t="str">
        <f t="shared" si="7"/>
        <v>平</v>
      </c>
      <c r="Q487" s="11" t="str">
        <f t="shared" si="7"/>
        <v>胜</v>
      </c>
    </row>
    <row r="488" spans="4:17" customFormat="1" hidden="1" x14ac:dyDescent="0.15">
      <c r="D488" t="s">
        <v>6</v>
      </c>
      <c r="E488" s="1">
        <v>220631</v>
      </c>
      <c r="F488" s="1">
        <v>220631</v>
      </c>
      <c r="G488" s="8">
        <v>42520.083333333336</v>
      </c>
      <c r="H488" s="1" t="s">
        <v>43</v>
      </c>
      <c r="I488" s="1">
        <v>1</v>
      </c>
      <c r="J488" s="1">
        <v>2</v>
      </c>
      <c r="K488" s="1">
        <v>0</v>
      </c>
      <c r="L488" s="1" t="s">
        <v>49</v>
      </c>
      <c r="M488" s="1">
        <v>0</v>
      </c>
      <c r="N488" s="1">
        <v>2</v>
      </c>
      <c r="O488" s="1">
        <v>0</v>
      </c>
      <c r="P488" s="11" t="str">
        <f t="shared" si="7"/>
        <v>胜</v>
      </c>
      <c r="Q488" s="11" t="str">
        <f t="shared" si="7"/>
        <v>平</v>
      </c>
    </row>
    <row r="489" spans="4:17" customFormat="1" hidden="1" x14ac:dyDescent="0.15">
      <c r="D489" t="s">
        <v>6</v>
      </c>
      <c r="E489" s="1">
        <v>220713</v>
      </c>
      <c r="F489" s="1">
        <v>220713</v>
      </c>
      <c r="G489" s="8">
        <v>42518.895833333336</v>
      </c>
      <c r="H489" s="1" t="s">
        <v>53</v>
      </c>
      <c r="I489" s="1">
        <v>1</v>
      </c>
      <c r="J489" s="1">
        <v>1</v>
      </c>
      <c r="K489" s="1">
        <v>0</v>
      </c>
      <c r="L489" s="1" t="s">
        <v>41</v>
      </c>
      <c r="M489" s="1">
        <v>2</v>
      </c>
      <c r="N489" s="1">
        <v>2</v>
      </c>
      <c r="O489" s="1">
        <v>0</v>
      </c>
      <c r="P489" s="11" t="str">
        <f t="shared" si="7"/>
        <v>负</v>
      </c>
      <c r="Q489" s="11" t="str">
        <f t="shared" si="7"/>
        <v>负</v>
      </c>
    </row>
    <row r="490" spans="4:17" customFormat="1" hidden="1" x14ac:dyDescent="0.15">
      <c r="D490" t="s">
        <v>6</v>
      </c>
      <c r="E490" s="1">
        <v>221905</v>
      </c>
      <c r="F490" s="1">
        <v>221905</v>
      </c>
      <c r="G490" s="8">
        <v>42519</v>
      </c>
      <c r="H490" s="1" t="s">
        <v>37</v>
      </c>
      <c r="I490" s="1">
        <v>3</v>
      </c>
      <c r="J490" s="1">
        <v>3</v>
      </c>
      <c r="K490" s="1">
        <v>0</v>
      </c>
      <c r="L490" s="1" t="s">
        <v>38</v>
      </c>
      <c r="M490" s="1">
        <v>1</v>
      </c>
      <c r="N490" s="1">
        <v>1</v>
      </c>
      <c r="O490" s="1">
        <v>0</v>
      </c>
      <c r="P490" s="11" t="str">
        <f t="shared" si="7"/>
        <v>胜</v>
      </c>
      <c r="Q490" s="11" t="str">
        <f t="shared" si="7"/>
        <v>胜</v>
      </c>
    </row>
    <row r="491" spans="4:17" customFormat="1" hidden="1" x14ac:dyDescent="0.15">
      <c r="D491" t="s">
        <v>6</v>
      </c>
      <c r="E491" s="1">
        <v>227865</v>
      </c>
      <c r="F491" s="1">
        <v>227865</v>
      </c>
      <c r="G491" s="8">
        <v>42553.042361111111</v>
      </c>
      <c r="H491" s="1" t="s">
        <v>44</v>
      </c>
      <c r="I491" s="1">
        <v>1</v>
      </c>
      <c r="J491" s="1">
        <v>2</v>
      </c>
      <c r="K491" s="1">
        <v>0</v>
      </c>
      <c r="L491" s="1" t="s">
        <v>53</v>
      </c>
      <c r="M491" s="1">
        <v>2</v>
      </c>
      <c r="N491" s="1">
        <v>4</v>
      </c>
      <c r="O491" s="1">
        <v>0</v>
      </c>
      <c r="P491" s="11" t="str">
        <f t="shared" si="7"/>
        <v>负</v>
      </c>
      <c r="Q491" s="11" t="str">
        <f t="shared" si="7"/>
        <v>负</v>
      </c>
    </row>
    <row r="492" spans="4:17" customFormat="1" hidden="1" x14ac:dyDescent="0.15">
      <c r="D492" t="s">
        <v>6</v>
      </c>
      <c r="E492" s="1">
        <v>227892</v>
      </c>
      <c r="F492" s="1">
        <v>227892</v>
      </c>
      <c r="G492" s="8">
        <v>42553.895138888889</v>
      </c>
      <c r="H492" s="1" t="s">
        <v>48</v>
      </c>
      <c r="I492" s="1">
        <v>0</v>
      </c>
      <c r="J492" s="1">
        <v>2</v>
      </c>
      <c r="K492" s="1">
        <v>0</v>
      </c>
      <c r="L492" s="1" t="s">
        <v>36</v>
      </c>
      <c r="M492" s="1">
        <v>1</v>
      </c>
      <c r="N492" s="1">
        <v>1</v>
      </c>
      <c r="O492" s="1">
        <v>0</v>
      </c>
      <c r="P492" s="11" t="str">
        <f t="shared" si="7"/>
        <v>负</v>
      </c>
      <c r="Q492" s="11" t="str">
        <f t="shared" si="7"/>
        <v>胜</v>
      </c>
    </row>
    <row r="493" spans="4:17" x14ac:dyDescent="0.15">
      <c r="D493" s="2" t="s">
        <v>6</v>
      </c>
      <c r="E493" s="6">
        <v>228145</v>
      </c>
      <c r="F493" s="6">
        <v>228145</v>
      </c>
      <c r="G493" s="24">
        <v>42554</v>
      </c>
      <c r="H493" s="6" t="s">
        <v>32</v>
      </c>
      <c r="I493" s="6">
        <v>0</v>
      </c>
      <c r="J493" s="6">
        <v>0</v>
      </c>
      <c r="K493" s="6">
        <v>0</v>
      </c>
      <c r="L493" s="6" t="s">
        <v>37</v>
      </c>
      <c r="M493" s="6">
        <v>0</v>
      </c>
      <c r="N493" s="6">
        <v>0</v>
      </c>
      <c r="O493" s="6">
        <v>0</v>
      </c>
      <c r="P493" s="11" t="str">
        <f t="shared" si="7"/>
        <v>平</v>
      </c>
      <c r="Q493" s="11" t="str">
        <f t="shared" si="7"/>
        <v>平</v>
      </c>
    </row>
    <row r="494" spans="4:17" customFormat="1" hidden="1" x14ac:dyDescent="0.15">
      <c r="D494" t="s">
        <v>6</v>
      </c>
      <c r="E494" s="1">
        <v>228149</v>
      </c>
      <c r="F494" s="1">
        <v>228149</v>
      </c>
      <c r="G494" s="8">
        <v>42554.895833333336</v>
      </c>
      <c r="H494" s="1" t="s">
        <v>49</v>
      </c>
      <c r="I494" s="1">
        <v>0</v>
      </c>
      <c r="J494" s="1">
        <v>0</v>
      </c>
      <c r="K494" s="1">
        <v>0</v>
      </c>
      <c r="L494" s="1" t="s">
        <v>54</v>
      </c>
      <c r="M494" s="1">
        <v>1</v>
      </c>
      <c r="N494" s="1">
        <v>1</v>
      </c>
      <c r="O494" s="1">
        <v>0</v>
      </c>
      <c r="P494" s="11" t="str">
        <f t="shared" si="7"/>
        <v>负</v>
      </c>
      <c r="Q494" s="11" t="str">
        <f t="shared" si="7"/>
        <v>负</v>
      </c>
    </row>
    <row r="495" spans="4:17" customFormat="1" hidden="1" x14ac:dyDescent="0.15">
      <c r="D495" t="s">
        <v>6</v>
      </c>
      <c r="E495" s="1">
        <v>228250</v>
      </c>
      <c r="F495" s="1">
        <v>228250</v>
      </c>
      <c r="G495" s="8">
        <v>42555</v>
      </c>
      <c r="H495" s="1" t="s">
        <v>42</v>
      </c>
      <c r="I495" s="1">
        <v>0</v>
      </c>
      <c r="J495" s="1">
        <v>0</v>
      </c>
      <c r="K495" s="1">
        <v>0</v>
      </c>
      <c r="L495" s="1" t="s">
        <v>35</v>
      </c>
      <c r="M495" s="1">
        <v>0</v>
      </c>
      <c r="N495" s="1">
        <v>1</v>
      </c>
      <c r="O495" s="1">
        <v>0</v>
      </c>
      <c r="P495" s="11" t="str">
        <f t="shared" si="7"/>
        <v>平</v>
      </c>
      <c r="Q495" s="11" t="str">
        <f t="shared" si="7"/>
        <v>负</v>
      </c>
    </row>
    <row r="496" spans="4:17" customFormat="1" hidden="1" x14ac:dyDescent="0.15">
      <c r="D496" t="s">
        <v>6</v>
      </c>
      <c r="E496" s="1">
        <v>228251</v>
      </c>
      <c r="F496" s="1">
        <v>228251</v>
      </c>
      <c r="G496" s="8">
        <v>42554.999305555553</v>
      </c>
      <c r="H496" s="1" t="s">
        <v>38</v>
      </c>
      <c r="I496" s="1">
        <v>0</v>
      </c>
      <c r="J496" s="1">
        <v>0</v>
      </c>
      <c r="K496" s="1">
        <v>0</v>
      </c>
      <c r="L496" s="1" t="s">
        <v>45</v>
      </c>
      <c r="M496" s="1">
        <v>0</v>
      </c>
      <c r="N496" s="1">
        <v>1</v>
      </c>
      <c r="O496" s="1">
        <v>0</v>
      </c>
      <c r="P496" s="11" t="str">
        <f t="shared" si="7"/>
        <v>平</v>
      </c>
      <c r="Q496" s="11" t="str">
        <f t="shared" si="7"/>
        <v>负</v>
      </c>
    </row>
    <row r="497" spans="4:17" customFormat="1" hidden="1" x14ac:dyDescent="0.15">
      <c r="D497" t="s">
        <v>6</v>
      </c>
      <c r="E497" s="1">
        <v>228252</v>
      </c>
      <c r="F497" s="1">
        <v>228252</v>
      </c>
      <c r="G497" s="8">
        <v>42555</v>
      </c>
      <c r="H497" s="1" t="s">
        <v>41</v>
      </c>
      <c r="I497" s="1">
        <v>0</v>
      </c>
      <c r="J497" s="1">
        <v>1</v>
      </c>
      <c r="K497" s="1">
        <v>0</v>
      </c>
      <c r="L497" s="1" t="s">
        <v>46</v>
      </c>
      <c r="M497" s="1">
        <v>0</v>
      </c>
      <c r="N497" s="1">
        <v>0</v>
      </c>
      <c r="O497" s="1">
        <v>0</v>
      </c>
      <c r="P497" s="11" t="str">
        <f t="shared" si="7"/>
        <v>平</v>
      </c>
      <c r="Q497" s="11" t="str">
        <f t="shared" si="7"/>
        <v>胜</v>
      </c>
    </row>
    <row r="498" spans="4:17" customFormat="1" hidden="1" x14ac:dyDescent="0.15">
      <c r="D498" t="s">
        <v>6</v>
      </c>
      <c r="E498" s="1">
        <v>228459</v>
      </c>
      <c r="F498" s="1">
        <v>228459</v>
      </c>
      <c r="G498" s="8">
        <v>42556.041666666664</v>
      </c>
      <c r="H498" s="1" t="s">
        <v>40</v>
      </c>
      <c r="I498" s="1">
        <v>2</v>
      </c>
      <c r="J498" s="1">
        <v>4</v>
      </c>
      <c r="K498" s="1">
        <v>0</v>
      </c>
      <c r="L498" s="1" t="s">
        <v>43</v>
      </c>
      <c r="M498" s="1">
        <v>2</v>
      </c>
      <c r="N498" s="1">
        <v>2</v>
      </c>
      <c r="O498" s="1">
        <v>0</v>
      </c>
      <c r="P498" s="11" t="str">
        <f t="shared" si="7"/>
        <v>平</v>
      </c>
      <c r="Q498" s="11" t="str">
        <f t="shared" si="7"/>
        <v>胜</v>
      </c>
    </row>
    <row r="499" spans="4:17" customFormat="1" hidden="1" x14ac:dyDescent="0.15">
      <c r="D499" t="s">
        <v>6</v>
      </c>
      <c r="E499" s="1">
        <v>229680</v>
      </c>
      <c r="F499" s="1">
        <v>229680</v>
      </c>
      <c r="G499" s="8">
        <v>42560.895138888889</v>
      </c>
      <c r="H499" s="1" t="s">
        <v>45</v>
      </c>
      <c r="I499" s="1">
        <v>0</v>
      </c>
      <c r="J499" s="1">
        <v>0</v>
      </c>
      <c r="K499" s="1">
        <v>0</v>
      </c>
      <c r="L499" s="1" t="s">
        <v>40</v>
      </c>
      <c r="M499" s="1">
        <v>0</v>
      </c>
      <c r="N499" s="1">
        <v>1</v>
      </c>
      <c r="O499" s="1">
        <v>0</v>
      </c>
      <c r="P499" s="11" t="str">
        <f t="shared" si="7"/>
        <v>平</v>
      </c>
      <c r="Q499" s="11" t="str">
        <f t="shared" si="7"/>
        <v>负</v>
      </c>
    </row>
    <row r="500" spans="4:17" customFormat="1" hidden="1" x14ac:dyDescent="0.15">
      <c r="D500" t="s">
        <v>6</v>
      </c>
      <c r="E500" s="1">
        <v>229681</v>
      </c>
      <c r="F500" s="1">
        <v>229681</v>
      </c>
      <c r="G500" s="8">
        <v>42561</v>
      </c>
      <c r="H500" s="1" t="s">
        <v>46</v>
      </c>
      <c r="I500" s="1">
        <v>1</v>
      </c>
      <c r="J500" s="1">
        <v>4</v>
      </c>
      <c r="K500" s="1">
        <v>0</v>
      </c>
      <c r="L500" s="1" t="s">
        <v>49</v>
      </c>
      <c r="M500" s="1">
        <v>1</v>
      </c>
      <c r="N500" s="1">
        <v>1</v>
      </c>
      <c r="O500" s="1">
        <v>0</v>
      </c>
      <c r="P500" s="11" t="str">
        <f t="shared" si="7"/>
        <v>平</v>
      </c>
      <c r="Q500" s="11" t="str">
        <f t="shared" si="7"/>
        <v>胜</v>
      </c>
    </row>
    <row r="501" spans="4:17" customFormat="1" hidden="1" x14ac:dyDescent="0.15">
      <c r="D501" t="s">
        <v>6</v>
      </c>
      <c r="E501" s="1">
        <v>229682</v>
      </c>
      <c r="F501" s="1">
        <v>229682</v>
      </c>
      <c r="G501" s="8">
        <v>42561</v>
      </c>
      <c r="H501" s="1" t="s">
        <v>37</v>
      </c>
      <c r="I501" s="1">
        <v>1</v>
      </c>
      <c r="J501" s="1">
        <v>5</v>
      </c>
      <c r="K501" s="1">
        <v>0</v>
      </c>
      <c r="L501" s="1" t="s">
        <v>41</v>
      </c>
      <c r="M501" s="1">
        <v>1</v>
      </c>
      <c r="N501" s="1">
        <v>2</v>
      </c>
      <c r="O501" s="1">
        <v>0</v>
      </c>
      <c r="P501" s="11" t="str">
        <f t="shared" si="7"/>
        <v>平</v>
      </c>
      <c r="Q501" s="11" t="str">
        <f t="shared" si="7"/>
        <v>胜</v>
      </c>
    </row>
    <row r="502" spans="4:17" customFormat="1" hidden="1" x14ac:dyDescent="0.15">
      <c r="D502" t="s">
        <v>6</v>
      </c>
      <c r="E502" s="1">
        <v>229683</v>
      </c>
      <c r="F502" s="1">
        <v>229683</v>
      </c>
      <c r="G502" s="8">
        <v>42561</v>
      </c>
      <c r="H502" s="1" t="s">
        <v>53</v>
      </c>
      <c r="I502" s="1">
        <v>1</v>
      </c>
      <c r="J502" s="1">
        <v>2</v>
      </c>
      <c r="K502" s="1">
        <v>0</v>
      </c>
      <c r="L502" s="1" t="s">
        <v>48</v>
      </c>
      <c r="M502" s="1">
        <v>1</v>
      </c>
      <c r="N502" s="1">
        <v>2</v>
      </c>
      <c r="O502" s="1">
        <v>0</v>
      </c>
      <c r="P502" s="11" t="str">
        <f t="shared" si="7"/>
        <v>平</v>
      </c>
      <c r="Q502" s="11" t="str">
        <f t="shared" si="7"/>
        <v>平</v>
      </c>
    </row>
    <row r="503" spans="4:17" customFormat="1" hidden="1" x14ac:dyDescent="0.15">
      <c r="D503" t="s">
        <v>6</v>
      </c>
      <c r="E503" s="1">
        <v>229684</v>
      </c>
      <c r="F503" s="1">
        <v>229684</v>
      </c>
      <c r="G503" s="8">
        <v>42561.083333333336</v>
      </c>
      <c r="H503" s="1" t="s">
        <v>35</v>
      </c>
      <c r="I503" s="1">
        <v>3</v>
      </c>
      <c r="J503" s="1">
        <v>4</v>
      </c>
      <c r="K503" s="1">
        <v>0</v>
      </c>
      <c r="L503" s="1" t="s">
        <v>38</v>
      </c>
      <c r="M503" s="1">
        <v>1</v>
      </c>
      <c r="N503" s="1">
        <v>3</v>
      </c>
      <c r="O503" s="1">
        <v>0</v>
      </c>
      <c r="P503" s="11" t="str">
        <f t="shared" si="7"/>
        <v>胜</v>
      </c>
      <c r="Q503" s="11" t="str">
        <f t="shared" si="7"/>
        <v>胜</v>
      </c>
    </row>
    <row r="504" spans="4:17" customFormat="1" hidden="1" x14ac:dyDescent="0.15">
      <c r="D504" t="s">
        <v>6</v>
      </c>
      <c r="E504" s="1">
        <v>229764</v>
      </c>
      <c r="F504" s="1">
        <v>229764</v>
      </c>
      <c r="G504" s="8">
        <v>42561.999305555553</v>
      </c>
      <c r="H504" s="1" t="s">
        <v>54</v>
      </c>
      <c r="I504" s="1">
        <v>2</v>
      </c>
      <c r="J504" s="1">
        <v>4</v>
      </c>
      <c r="K504" s="1">
        <v>0</v>
      </c>
      <c r="L504" s="1" t="s">
        <v>43</v>
      </c>
      <c r="M504" s="1">
        <v>0</v>
      </c>
      <c r="N504" s="1">
        <v>1</v>
      </c>
      <c r="O504" s="1">
        <v>0</v>
      </c>
      <c r="P504" s="11" t="str">
        <f t="shared" si="7"/>
        <v>胜</v>
      </c>
      <c r="Q504" s="11" t="str">
        <f t="shared" si="7"/>
        <v>胜</v>
      </c>
    </row>
    <row r="505" spans="4:17" customFormat="1" hidden="1" x14ac:dyDescent="0.15">
      <c r="D505" t="s">
        <v>6</v>
      </c>
      <c r="E505" s="1">
        <v>229765</v>
      </c>
      <c r="F505" s="1">
        <v>229765</v>
      </c>
      <c r="G505" s="8">
        <v>42562</v>
      </c>
      <c r="H505" s="1" t="s">
        <v>44</v>
      </c>
      <c r="I505" s="1">
        <v>0</v>
      </c>
      <c r="J505" s="1">
        <v>1</v>
      </c>
      <c r="K505" s="1">
        <v>0</v>
      </c>
      <c r="L505" s="1" t="s">
        <v>42</v>
      </c>
      <c r="M505" s="1">
        <v>1</v>
      </c>
      <c r="N505" s="1">
        <v>2</v>
      </c>
      <c r="O505" s="1">
        <v>0</v>
      </c>
      <c r="P505" s="11" t="str">
        <f t="shared" si="7"/>
        <v>负</v>
      </c>
      <c r="Q505" s="11" t="str">
        <f t="shared" si="7"/>
        <v>负</v>
      </c>
    </row>
    <row r="506" spans="4:17" customFormat="1" hidden="1" x14ac:dyDescent="0.15">
      <c r="D506" t="s">
        <v>6</v>
      </c>
      <c r="E506" s="1">
        <v>229841</v>
      </c>
      <c r="F506" s="1">
        <v>229841</v>
      </c>
      <c r="G506" s="8">
        <v>42560.041666666664</v>
      </c>
      <c r="H506" s="1" t="s">
        <v>36</v>
      </c>
      <c r="I506" s="1">
        <v>0</v>
      </c>
      <c r="J506" s="1">
        <v>1</v>
      </c>
      <c r="K506" s="1">
        <v>0</v>
      </c>
      <c r="L506" s="1" t="s">
        <v>32</v>
      </c>
      <c r="M506" s="1">
        <v>1</v>
      </c>
      <c r="N506" s="1">
        <v>4</v>
      </c>
      <c r="O506" s="1">
        <v>0</v>
      </c>
      <c r="P506" s="11" t="str">
        <f t="shared" si="7"/>
        <v>负</v>
      </c>
      <c r="Q506" s="11" t="str">
        <f t="shared" si="7"/>
        <v>负</v>
      </c>
    </row>
    <row r="507" spans="4:17" customFormat="1" hidden="1" x14ac:dyDescent="0.15">
      <c r="D507" t="s">
        <v>6</v>
      </c>
      <c r="E507" s="1">
        <v>231436</v>
      </c>
      <c r="F507" s="1">
        <v>231436</v>
      </c>
      <c r="G507" s="8">
        <v>42567.895833333336</v>
      </c>
      <c r="H507" s="1" t="s">
        <v>48</v>
      </c>
      <c r="I507" s="1">
        <v>1</v>
      </c>
      <c r="J507" s="1">
        <v>4</v>
      </c>
      <c r="K507" s="1">
        <v>0</v>
      </c>
      <c r="L507" s="1" t="s">
        <v>45</v>
      </c>
      <c r="M507" s="1">
        <v>1</v>
      </c>
      <c r="N507" s="1">
        <v>1</v>
      </c>
      <c r="O507" s="1">
        <v>0</v>
      </c>
      <c r="P507" s="11" t="str">
        <f t="shared" si="7"/>
        <v>平</v>
      </c>
      <c r="Q507" s="11" t="str">
        <f t="shared" si="7"/>
        <v>胜</v>
      </c>
    </row>
    <row r="508" spans="4:17" customFormat="1" hidden="1" x14ac:dyDescent="0.15">
      <c r="D508" t="s">
        <v>6</v>
      </c>
      <c r="E508" s="1">
        <v>231481</v>
      </c>
      <c r="F508" s="1">
        <v>231481</v>
      </c>
      <c r="G508" s="8">
        <v>42567.041666666664</v>
      </c>
      <c r="H508" s="1" t="s">
        <v>49</v>
      </c>
      <c r="I508" s="1">
        <v>1</v>
      </c>
      <c r="J508" s="1">
        <v>1</v>
      </c>
      <c r="K508" s="1">
        <v>0</v>
      </c>
      <c r="L508" s="1" t="s">
        <v>35</v>
      </c>
      <c r="M508" s="1">
        <v>0</v>
      </c>
      <c r="N508" s="1">
        <v>1</v>
      </c>
      <c r="O508" s="1">
        <v>0</v>
      </c>
      <c r="P508" s="11" t="str">
        <f t="shared" si="7"/>
        <v>胜</v>
      </c>
      <c r="Q508" s="11" t="str">
        <f t="shared" si="7"/>
        <v>平</v>
      </c>
    </row>
    <row r="509" spans="4:17" customFormat="1" hidden="1" x14ac:dyDescent="0.15">
      <c r="D509" t="s">
        <v>6</v>
      </c>
      <c r="E509" s="1">
        <v>231590</v>
      </c>
      <c r="F509" s="1">
        <v>231590</v>
      </c>
      <c r="G509" s="8">
        <v>42568.895138888889</v>
      </c>
      <c r="H509" s="1" t="s">
        <v>40</v>
      </c>
      <c r="I509" s="1">
        <v>0</v>
      </c>
      <c r="J509" s="1">
        <v>1</v>
      </c>
      <c r="K509" s="1">
        <v>0</v>
      </c>
      <c r="L509" s="1" t="s">
        <v>53</v>
      </c>
      <c r="M509" s="1">
        <v>0</v>
      </c>
      <c r="N509" s="1">
        <v>0</v>
      </c>
      <c r="O509" s="1">
        <v>0</v>
      </c>
      <c r="P509" s="11" t="str">
        <f t="shared" si="7"/>
        <v>平</v>
      </c>
      <c r="Q509" s="11" t="str">
        <f t="shared" si="7"/>
        <v>胜</v>
      </c>
    </row>
    <row r="510" spans="4:17" customFormat="1" hidden="1" x14ac:dyDescent="0.15">
      <c r="D510" t="s">
        <v>6</v>
      </c>
      <c r="E510" s="1">
        <v>231593</v>
      </c>
      <c r="F510" s="1">
        <v>231593</v>
      </c>
      <c r="G510" s="8">
        <v>42569.000694444447</v>
      </c>
      <c r="H510" s="1" t="s">
        <v>38</v>
      </c>
      <c r="I510" s="1">
        <v>1</v>
      </c>
      <c r="J510" s="1">
        <v>2</v>
      </c>
      <c r="K510" s="1">
        <v>0</v>
      </c>
      <c r="L510" s="1" t="s">
        <v>36</v>
      </c>
      <c r="M510" s="1">
        <v>1</v>
      </c>
      <c r="N510" s="1">
        <v>2</v>
      </c>
      <c r="O510" s="1">
        <v>0</v>
      </c>
      <c r="P510" s="11" t="str">
        <f t="shared" si="7"/>
        <v>平</v>
      </c>
      <c r="Q510" s="11" t="str">
        <f t="shared" si="7"/>
        <v>平</v>
      </c>
    </row>
    <row r="511" spans="4:17" customFormat="1" hidden="1" x14ac:dyDescent="0.15">
      <c r="D511" t="s">
        <v>6</v>
      </c>
      <c r="E511" s="1">
        <v>231594</v>
      </c>
      <c r="F511" s="1">
        <v>231594</v>
      </c>
      <c r="G511" s="8">
        <v>42569</v>
      </c>
      <c r="H511" s="1" t="s">
        <v>42</v>
      </c>
      <c r="I511" s="1">
        <v>0</v>
      </c>
      <c r="J511" s="1">
        <v>1</v>
      </c>
      <c r="K511" s="1">
        <v>0</v>
      </c>
      <c r="L511" s="1" t="s">
        <v>46</v>
      </c>
      <c r="M511" s="1">
        <v>0</v>
      </c>
      <c r="N511" s="1">
        <v>1</v>
      </c>
      <c r="O511" s="1">
        <v>0</v>
      </c>
      <c r="P511" s="11" t="str">
        <f t="shared" si="7"/>
        <v>平</v>
      </c>
      <c r="Q511" s="11" t="str">
        <f t="shared" si="7"/>
        <v>平</v>
      </c>
    </row>
    <row r="512" spans="4:17" x14ac:dyDescent="0.15">
      <c r="D512" s="2" t="s">
        <v>6</v>
      </c>
      <c r="E512" s="6">
        <v>231595</v>
      </c>
      <c r="F512" s="6">
        <v>231595</v>
      </c>
      <c r="G512" s="24">
        <v>42569</v>
      </c>
      <c r="H512" s="6" t="s">
        <v>32</v>
      </c>
      <c r="I512" s="6">
        <v>1</v>
      </c>
      <c r="J512" s="6">
        <v>2</v>
      </c>
      <c r="K512" s="6">
        <v>0</v>
      </c>
      <c r="L512" s="6" t="s">
        <v>54</v>
      </c>
      <c r="M512" s="6">
        <v>1</v>
      </c>
      <c r="N512" s="6">
        <v>1</v>
      </c>
      <c r="O512" s="6">
        <v>0</v>
      </c>
      <c r="P512" s="11" t="str">
        <f t="shared" si="7"/>
        <v>平</v>
      </c>
      <c r="Q512" s="11" t="str">
        <f t="shared" si="7"/>
        <v>胜</v>
      </c>
    </row>
    <row r="513" spans="4:17" customFormat="1" hidden="1" x14ac:dyDescent="0.15">
      <c r="D513" t="s">
        <v>6</v>
      </c>
      <c r="E513" s="1">
        <v>231596</v>
      </c>
      <c r="F513" s="1">
        <v>231596</v>
      </c>
      <c r="G513" s="8">
        <v>42569.083333333336</v>
      </c>
      <c r="H513" s="1" t="s">
        <v>41</v>
      </c>
      <c r="I513" s="1">
        <v>1</v>
      </c>
      <c r="J513" s="1">
        <v>3</v>
      </c>
      <c r="K513" s="1">
        <v>0</v>
      </c>
      <c r="L513" s="1" t="s">
        <v>44</v>
      </c>
      <c r="M513" s="1">
        <v>0</v>
      </c>
      <c r="N513" s="1">
        <v>0</v>
      </c>
      <c r="O513" s="1">
        <v>0</v>
      </c>
      <c r="P513" s="11" t="str">
        <f t="shared" si="7"/>
        <v>胜</v>
      </c>
      <c r="Q513" s="11" t="str">
        <f t="shared" si="7"/>
        <v>胜</v>
      </c>
    </row>
    <row r="514" spans="4:17" customFormat="1" hidden="1" x14ac:dyDescent="0.15">
      <c r="D514" t="s">
        <v>6</v>
      </c>
      <c r="E514" s="1">
        <v>232555</v>
      </c>
      <c r="F514" s="1">
        <v>232555</v>
      </c>
      <c r="G514" s="8">
        <v>42568.000694444447</v>
      </c>
      <c r="H514" s="1" t="s">
        <v>43</v>
      </c>
      <c r="I514" s="1">
        <v>0</v>
      </c>
      <c r="J514" s="1">
        <v>1</v>
      </c>
      <c r="K514" s="1">
        <v>0</v>
      </c>
      <c r="L514" s="1" t="s">
        <v>37</v>
      </c>
      <c r="M514" s="1">
        <v>1</v>
      </c>
      <c r="N514" s="1">
        <v>1</v>
      </c>
      <c r="O514" s="1">
        <v>0</v>
      </c>
      <c r="P514" s="11" t="str">
        <f t="shared" si="7"/>
        <v>负</v>
      </c>
      <c r="Q514" s="11" t="str">
        <f t="shared" si="7"/>
        <v>平</v>
      </c>
    </row>
    <row r="515" spans="4:17" customFormat="1" hidden="1" x14ac:dyDescent="0.15">
      <c r="D515" t="s">
        <v>6</v>
      </c>
      <c r="E515" s="1">
        <v>233298</v>
      </c>
      <c r="F515" s="1">
        <v>233298</v>
      </c>
      <c r="G515" s="8">
        <v>42574.043055555558</v>
      </c>
      <c r="H515" s="1" t="s">
        <v>46</v>
      </c>
      <c r="I515" s="1">
        <v>2</v>
      </c>
      <c r="J515" s="1">
        <v>6</v>
      </c>
      <c r="K515" s="1">
        <v>0</v>
      </c>
      <c r="L515" s="1" t="s">
        <v>43</v>
      </c>
      <c r="M515" s="1">
        <v>0</v>
      </c>
      <c r="N515" s="1">
        <v>0</v>
      </c>
      <c r="O515" s="1">
        <v>0</v>
      </c>
      <c r="P515" s="11" t="str">
        <f t="shared" si="7"/>
        <v>胜</v>
      </c>
      <c r="Q515" s="11" t="str">
        <f t="shared" si="7"/>
        <v>胜</v>
      </c>
    </row>
    <row r="516" spans="4:17" customFormat="1" hidden="1" x14ac:dyDescent="0.15">
      <c r="D516" t="s">
        <v>6</v>
      </c>
      <c r="E516" s="1">
        <v>233330</v>
      </c>
      <c r="F516" s="1">
        <v>233330</v>
      </c>
      <c r="G516" s="8">
        <v>42575.895138888889</v>
      </c>
      <c r="H516" s="1" t="s">
        <v>36</v>
      </c>
      <c r="I516" s="1">
        <v>0</v>
      </c>
      <c r="J516" s="1">
        <v>2</v>
      </c>
      <c r="K516" s="1">
        <v>0</v>
      </c>
      <c r="L516" s="1" t="s">
        <v>49</v>
      </c>
      <c r="M516" s="1">
        <v>1</v>
      </c>
      <c r="N516" s="1">
        <v>4</v>
      </c>
      <c r="O516" s="1">
        <v>0</v>
      </c>
      <c r="P516" s="11" t="str">
        <f t="shared" si="7"/>
        <v>负</v>
      </c>
      <c r="Q516" s="11" t="str">
        <f t="shared" si="7"/>
        <v>负</v>
      </c>
    </row>
    <row r="517" spans="4:17" customFormat="1" hidden="1" x14ac:dyDescent="0.15">
      <c r="D517" t="s">
        <v>6</v>
      </c>
      <c r="E517" s="1">
        <v>233345</v>
      </c>
      <c r="F517" s="1">
        <v>233345</v>
      </c>
      <c r="G517" s="8">
        <v>42576.003472222219</v>
      </c>
      <c r="H517" s="1" t="s">
        <v>35</v>
      </c>
      <c r="I517" s="1">
        <v>0</v>
      </c>
      <c r="J517" s="1">
        <v>2</v>
      </c>
      <c r="K517" s="1">
        <v>0</v>
      </c>
      <c r="L517" s="1" t="s">
        <v>32</v>
      </c>
      <c r="M517" s="1">
        <v>1</v>
      </c>
      <c r="N517" s="1">
        <v>2</v>
      </c>
      <c r="O517" s="1">
        <v>0</v>
      </c>
      <c r="P517" s="11" t="str">
        <f t="shared" si="7"/>
        <v>负</v>
      </c>
      <c r="Q517" s="11" t="str">
        <f t="shared" si="7"/>
        <v>平</v>
      </c>
    </row>
    <row r="518" spans="4:17" customFormat="1" hidden="1" x14ac:dyDescent="0.15">
      <c r="D518" t="s">
        <v>6</v>
      </c>
      <c r="E518" s="1">
        <v>233348</v>
      </c>
      <c r="F518" s="1">
        <v>233348</v>
      </c>
      <c r="G518" s="8">
        <v>42576</v>
      </c>
      <c r="H518" s="1" t="s">
        <v>54</v>
      </c>
      <c r="I518" s="1">
        <v>0</v>
      </c>
      <c r="J518" s="1">
        <v>2</v>
      </c>
      <c r="K518" s="1">
        <v>0</v>
      </c>
      <c r="L518" s="1" t="s">
        <v>45</v>
      </c>
      <c r="M518" s="1">
        <v>1</v>
      </c>
      <c r="N518" s="1">
        <v>2</v>
      </c>
      <c r="O518" s="1">
        <v>0</v>
      </c>
      <c r="P518" s="11" t="str">
        <f t="shared" si="7"/>
        <v>负</v>
      </c>
      <c r="Q518" s="11" t="str">
        <f t="shared" si="7"/>
        <v>平</v>
      </c>
    </row>
    <row r="519" spans="4:17" customFormat="1" hidden="1" x14ac:dyDescent="0.15">
      <c r="D519" t="s">
        <v>6</v>
      </c>
      <c r="E519" s="1">
        <v>233349</v>
      </c>
      <c r="F519" s="1">
        <v>233349</v>
      </c>
      <c r="G519" s="8">
        <v>42575.999305555553</v>
      </c>
      <c r="H519" s="1" t="s">
        <v>53</v>
      </c>
      <c r="I519" s="1">
        <v>0</v>
      </c>
      <c r="J519" s="1">
        <v>2</v>
      </c>
      <c r="K519" s="1">
        <v>0</v>
      </c>
      <c r="L519" s="1" t="s">
        <v>42</v>
      </c>
      <c r="M519" s="1">
        <v>1</v>
      </c>
      <c r="N519" s="1">
        <v>2</v>
      </c>
      <c r="O519" s="1">
        <v>0</v>
      </c>
      <c r="P519" s="11" t="str">
        <f t="shared" si="7"/>
        <v>负</v>
      </c>
      <c r="Q519" s="11" t="str">
        <f t="shared" si="7"/>
        <v>平</v>
      </c>
    </row>
    <row r="520" spans="4:17" customFormat="1" hidden="1" x14ac:dyDescent="0.15">
      <c r="D520" t="s">
        <v>6</v>
      </c>
      <c r="E520" s="1">
        <v>233352</v>
      </c>
      <c r="F520" s="1">
        <v>233352</v>
      </c>
      <c r="G520" s="8">
        <v>42576.084027777775</v>
      </c>
      <c r="H520" s="1" t="s">
        <v>44</v>
      </c>
      <c r="I520" s="1">
        <v>1</v>
      </c>
      <c r="J520" s="1">
        <v>2</v>
      </c>
      <c r="K520" s="1">
        <v>0</v>
      </c>
      <c r="L520" s="1" t="s">
        <v>40</v>
      </c>
      <c r="M520" s="1">
        <v>0</v>
      </c>
      <c r="N520" s="1">
        <v>0</v>
      </c>
      <c r="O520" s="1">
        <v>0</v>
      </c>
      <c r="P520" s="11" t="str">
        <f t="shared" si="7"/>
        <v>胜</v>
      </c>
      <c r="Q520" s="11" t="str">
        <f t="shared" si="7"/>
        <v>胜</v>
      </c>
    </row>
    <row r="521" spans="4:17" customFormat="1" hidden="1" x14ac:dyDescent="0.15">
      <c r="D521" t="s">
        <v>6</v>
      </c>
      <c r="E521" s="1">
        <v>233703</v>
      </c>
      <c r="F521" s="1">
        <v>233703</v>
      </c>
      <c r="G521" s="8">
        <v>42574.895833333336</v>
      </c>
      <c r="H521" s="1" t="s">
        <v>37</v>
      </c>
      <c r="I521" s="1">
        <v>1</v>
      </c>
      <c r="J521" s="1">
        <v>6</v>
      </c>
      <c r="K521" s="1">
        <v>0</v>
      </c>
      <c r="L521" s="1" t="s">
        <v>48</v>
      </c>
      <c r="M521" s="1">
        <v>0</v>
      </c>
      <c r="N521" s="1">
        <v>0</v>
      </c>
      <c r="O521" s="1">
        <v>0</v>
      </c>
      <c r="P521" s="11" t="str">
        <f t="shared" si="7"/>
        <v>胜</v>
      </c>
      <c r="Q521" s="11" t="str">
        <f t="shared" si="7"/>
        <v>胜</v>
      </c>
    </row>
    <row r="522" spans="4:17" customFormat="1" hidden="1" x14ac:dyDescent="0.15">
      <c r="D522" t="s">
        <v>6</v>
      </c>
      <c r="E522" s="1">
        <v>233714</v>
      </c>
      <c r="F522" s="1">
        <v>233714</v>
      </c>
      <c r="G522" s="8">
        <v>42575</v>
      </c>
      <c r="H522" s="1" t="s">
        <v>38</v>
      </c>
      <c r="I522" s="1">
        <v>0</v>
      </c>
      <c r="J522" s="1">
        <v>0</v>
      </c>
      <c r="K522" s="1">
        <v>0</v>
      </c>
      <c r="L522" s="1" t="s">
        <v>41</v>
      </c>
      <c r="M522" s="1">
        <v>1</v>
      </c>
      <c r="N522" s="1">
        <v>1</v>
      </c>
      <c r="O522" s="1">
        <v>0</v>
      </c>
      <c r="P522" s="11" t="str">
        <f t="shared" si="7"/>
        <v>负</v>
      </c>
      <c r="Q522" s="11" t="str">
        <f t="shared" si="7"/>
        <v>负</v>
      </c>
    </row>
    <row r="523" spans="4:17" customFormat="1" hidden="1" x14ac:dyDescent="0.15">
      <c r="D523" t="s">
        <v>6</v>
      </c>
      <c r="E523" s="1">
        <v>235046</v>
      </c>
      <c r="F523" s="1">
        <v>235046</v>
      </c>
      <c r="G523" s="8">
        <v>42581.041666666664</v>
      </c>
      <c r="H523" s="1" t="s">
        <v>41</v>
      </c>
      <c r="I523" s="1">
        <v>0</v>
      </c>
      <c r="J523" s="1">
        <v>1</v>
      </c>
      <c r="K523" s="1">
        <v>0</v>
      </c>
      <c r="L523" s="1" t="s">
        <v>36</v>
      </c>
      <c r="M523" s="1">
        <v>0</v>
      </c>
      <c r="N523" s="1">
        <v>0</v>
      </c>
      <c r="O523" s="1">
        <v>0</v>
      </c>
      <c r="P523" s="11" t="str">
        <f t="shared" si="7"/>
        <v>平</v>
      </c>
      <c r="Q523" s="11" t="str">
        <f t="shared" si="7"/>
        <v>胜</v>
      </c>
    </row>
    <row r="524" spans="4:17" x14ac:dyDescent="0.15">
      <c r="D524" s="2" t="s">
        <v>6</v>
      </c>
      <c r="E524" s="6">
        <v>235167</v>
      </c>
      <c r="F524" s="6">
        <v>235167</v>
      </c>
      <c r="G524" s="24">
        <v>42583</v>
      </c>
      <c r="H524" s="6" t="s">
        <v>32</v>
      </c>
      <c r="I524" s="6">
        <v>0</v>
      </c>
      <c r="J524" s="6">
        <v>0</v>
      </c>
      <c r="K524" s="6">
        <v>0</v>
      </c>
      <c r="L524" s="6" t="s">
        <v>53</v>
      </c>
      <c r="M524" s="6">
        <v>1</v>
      </c>
      <c r="N524" s="6">
        <v>3</v>
      </c>
      <c r="O524" s="6">
        <v>0</v>
      </c>
      <c r="P524" s="11" t="str">
        <f t="shared" si="7"/>
        <v>负</v>
      </c>
      <c r="Q524" s="11" t="str">
        <f t="shared" si="7"/>
        <v>负</v>
      </c>
    </row>
    <row r="525" spans="4:17" customFormat="1" hidden="1" x14ac:dyDescent="0.15">
      <c r="D525" t="s">
        <v>6</v>
      </c>
      <c r="E525" s="1">
        <v>235168</v>
      </c>
      <c r="F525" s="1">
        <v>235168</v>
      </c>
      <c r="G525" s="8">
        <v>42582.999305555553</v>
      </c>
      <c r="H525" s="1" t="s">
        <v>48</v>
      </c>
      <c r="I525" s="1">
        <v>0</v>
      </c>
      <c r="J525" s="1">
        <v>0</v>
      </c>
      <c r="K525" s="1">
        <v>0</v>
      </c>
      <c r="L525" s="1" t="s">
        <v>35</v>
      </c>
      <c r="M525" s="1">
        <v>0</v>
      </c>
      <c r="N525" s="1">
        <v>1</v>
      </c>
      <c r="O525" s="1">
        <v>0</v>
      </c>
      <c r="P525" s="11" t="str">
        <f t="shared" ref="P525:Q588" si="8">IF(I525=M525,"平",IF(I525&gt;M525,"胜","负"))</f>
        <v>平</v>
      </c>
      <c r="Q525" s="11" t="str">
        <f t="shared" si="8"/>
        <v>负</v>
      </c>
    </row>
    <row r="526" spans="4:17" customFormat="1" hidden="1" x14ac:dyDescent="0.15">
      <c r="D526" t="s">
        <v>6</v>
      </c>
      <c r="E526" s="1">
        <v>235169</v>
      </c>
      <c r="F526" s="1">
        <v>235169</v>
      </c>
      <c r="G526" s="8">
        <v>42582.999305555553</v>
      </c>
      <c r="H526" s="1" t="s">
        <v>54</v>
      </c>
      <c r="I526" s="1">
        <v>0</v>
      </c>
      <c r="J526" s="1">
        <v>1</v>
      </c>
      <c r="K526" s="1">
        <v>0</v>
      </c>
      <c r="L526" s="1" t="s">
        <v>46</v>
      </c>
      <c r="M526" s="1">
        <v>1</v>
      </c>
      <c r="N526" s="1">
        <v>3</v>
      </c>
      <c r="O526" s="1">
        <v>0</v>
      </c>
      <c r="P526" s="11" t="str">
        <f t="shared" si="8"/>
        <v>负</v>
      </c>
      <c r="Q526" s="11" t="str">
        <f t="shared" si="8"/>
        <v>负</v>
      </c>
    </row>
    <row r="527" spans="4:17" customFormat="1" hidden="1" x14ac:dyDescent="0.15">
      <c r="D527" t="s">
        <v>6</v>
      </c>
      <c r="E527" s="1">
        <v>235171</v>
      </c>
      <c r="F527" s="1">
        <v>235171</v>
      </c>
      <c r="G527" s="8">
        <v>42583.083333333336</v>
      </c>
      <c r="H527" s="1" t="s">
        <v>40</v>
      </c>
      <c r="I527" s="1">
        <v>2</v>
      </c>
      <c r="J527" s="1">
        <v>2</v>
      </c>
      <c r="K527" s="1">
        <v>0</v>
      </c>
      <c r="L527" s="1" t="s">
        <v>42</v>
      </c>
      <c r="M527" s="1">
        <v>2</v>
      </c>
      <c r="N527" s="1">
        <v>2</v>
      </c>
      <c r="O527" s="1">
        <v>0</v>
      </c>
      <c r="P527" s="11" t="str">
        <f t="shared" si="8"/>
        <v>平</v>
      </c>
      <c r="Q527" s="11" t="str">
        <f t="shared" si="8"/>
        <v>平</v>
      </c>
    </row>
    <row r="528" spans="4:17" customFormat="1" hidden="1" x14ac:dyDescent="0.15">
      <c r="D528" t="s">
        <v>6</v>
      </c>
      <c r="E528" s="1">
        <v>235181</v>
      </c>
      <c r="F528" s="1">
        <v>235181</v>
      </c>
      <c r="G528" s="8">
        <v>42582.895138888889</v>
      </c>
      <c r="H528" s="1" t="s">
        <v>43</v>
      </c>
      <c r="I528" s="1">
        <v>0</v>
      </c>
      <c r="J528" s="1">
        <v>2</v>
      </c>
      <c r="K528" s="1">
        <v>0</v>
      </c>
      <c r="L528" s="1" t="s">
        <v>44</v>
      </c>
      <c r="M528" s="1">
        <v>0</v>
      </c>
      <c r="N528" s="1">
        <v>0</v>
      </c>
      <c r="O528" s="1">
        <v>0</v>
      </c>
      <c r="P528" s="11" t="str">
        <f t="shared" si="8"/>
        <v>平</v>
      </c>
      <c r="Q528" s="11" t="str">
        <f t="shared" si="8"/>
        <v>胜</v>
      </c>
    </row>
    <row r="529" spans="4:17" customFormat="1" hidden="1" x14ac:dyDescent="0.15">
      <c r="D529" t="s">
        <v>6</v>
      </c>
      <c r="E529" s="1">
        <v>235375</v>
      </c>
      <c r="F529" s="1">
        <v>235375</v>
      </c>
      <c r="G529" s="8">
        <v>42584.041666666664</v>
      </c>
      <c r="H529" s="1" t="s">
        <v>49</v>
      </c>
      <c r="I529" s="1">
        <v>2</v>
      </c>
      <c r="J529" s="1">
        <v>3</v>
      </c>
      <c r="K529" s="1">
        <v>0</v>
      </c>
      <c r="L529" s="1" t="s">
        <v>38</v>
      </c>
      <c r="M529" s="1">
        <v>0</v>
      </c>
      <c r="N529" s="1">
        <v>0</v>
      </c>
      <c r="O529" s="1">
        <v>0</v>
      </c>
      <c r="P529" s="11" t="str">
        <f t="shared" si="8"/>
        <v>胜</v>
      </c>
      <c r="Q529" s="11" t="str">
        <f t="shared" si="8"/>
        <v>胜</v>
      </c>
    </row>
    <row r="530" spans="4:17" customFormat="1" hidden="1" x14ac:dyDescent="0.15">
      <c r="D530" t="s">
        <v>6</v>
      </c>
      <c r="E530" s="1">
        <v>237655</v>
      </c>
      <c r="F530" s="1">
        <v>237655</v>
      </c>
      <c r="G530" s="8">
        <v>42588.020833333336</v>
      </c>
      <c r="H530" s="1" t="s">
        <v>53</v>
      </c>
      <c r="I530" s="1">
        <v>1</v>
      </c>
      <c r="J530" s="1">
        <v>1</v>
      </c>
      <c r="K530" s="1">
        <v>0</v>
      </c>
      <c r="L530" s="1" t="s">
        <v>43</v>
      </c>
      <c r="M530" s="1">
        <v>2</v>
      </c>
      <c r="N530" s="1">
        <v>2</v>
      </c>
      <c r="O530" s="1">
        <v>0</v>
      </c>
      <c r="P530" s="11" t="str">
        <f t="shared" si="8"/>
        <v>负</v>
      </c>
      <c r="Q530" s="11" t="str">
        <f t="shared" si="8"/>
        <v>负</v>
      </c>
    </row>
    <row r="531" spans="4:17" customFormat="1" hidden="1" x14ac:dyDescent="0.15">
      <c r="D531" t="s">
        <v>6</v>
      </c>
      <c r="E531" s="1">
        <v>237705</v>
      </c>
      <c r="F531" s="1">
        <v>237705</v>
      </c>
      <c r="G531" s="8">
        <v>42590.003472222219</v>
      </c>
      <c r="H531" s="1" t="s">
        <v>36</v>
      </c>
      <c r="I531" s="1">
        <v>1</v>
      </c>
      <c r="J531" s="1">
        <v>1</v>
      </c>
      <c r="K531" s="1">
        <v>0</v>
      </c>
      <c r="L531" s="1" t="s">
        <v>54</v>
      </c>
      <c r="M531" s="1">
        <v>0</v>
      </c>
      <c r="N531" s="1">
        <v>2</v>
      </c>
      <c r="O531" s="1">
        <v>0</v>
      </c>
      <c r="P531" s="11" t="str">
        <f t="shared" si="8"/>
        <v>胜</v>
      </c>
      <c r="Q531" s="11" t="str">
        <f t="shared" si="8"/>
        <v>负</v>
      </c>
    </row>
    <row r="532" spans="4:17" customFormat="1" hidden="1" x14ac:dyDescent="0.15">
      <c r="D532" t="s">
        <v>6</v>
      </c>
      <c r="E532" s="1">
        <v>237710</v>
      </c>
      <c r="F532" s="1">
        <v>237710</v>
      </c>
      <c r="G532" s="8">
        <v>42590.000694444447</v>
      </c>
      <c r="H532" s="1" t="s">
        <v>46</v>
      </c>
      <c r="I532" s="1">
        <v>1</v>
      </c>
      <c r="J532" s="1">
        <v>1</v>
      </c>
      <c r="K532" s="1">
        <v>0</v>
      </c>
      <c r="L532" s="1" t="s">
        <v>40</v>
      </c>
      <c r="M532" s="1">
        <v>0</v>
      </c>
      <c r="N532" s="1">
        <v>0</v>
      </c>
      <c r="O532" s="1">
        <v>0</v>
      </c>
      <c r="P532" s="11" t="str">
        <f t="shared" si="8"/>
        <v>胜</v>
      </c>
      <c r="Q532" s="11" t="str">
        <f t="shared" si="8"/>
        <v>胜</v>
      </c>
    </row>
    <row r="533" spans="4:17" customFormat="1" hidden="1" x14ac:dyDescent="0.15">
      <c r="D533" t="s">
        <v>6</v>
      </c>
      <c r="E533" s="1">
        <v>237712</v>
      </c>
      <c r="F533" s="1">
        <v>237712</v>
      </c>
      <c r="G533" s="8">
        <v>42590</v>
      </c>
      <c r="H533" s="1" t="s">
        <v>41</v>
      </c>
      <c r="I533" s="1">
        <v>0</v>
      </c>
      <c r="J533" s="1">
        <v>0</v>
      </c>
      <c r="K533" s="1">
        <v>0</v>
      </c>
      <c r="L533" s="1" t="s">
        <v>49</v>
      </c>
      <c r="M533" s="1">
        <v>1</v>
      </c>
      <c r="N533" s="1">
        <v>2</v>
      </c>
      <c r="O533" s="1">
        <v>0</v>
      </c>
      <c r="P533" s="11" t="str">
        <f t="shared" si="8"/>
        <v>负</v>
      </c>
      <c r="Q533" s="11" t="str">
        <f t="shared" si="8"/>
        <v>负</v>
      </c>
    </row>
    <row r="534" spans="4:17" customFormat="1" hidden="1" x14ac:dyDescent="0.15">
      <c r="D534" t="s">
        <v>6</v>
      </c>
      <c r="E534" s="1">
        <v>237714</v>
      </c>
      <c r="F534" s="1">
        <v>237714</v>
      </c>
      <c r="G534" s="8">
        <v>42590.083333333336</v>
      </c>
      <c r="H534" s="1" t="s">
        <v>35</v>
      </c>
      <c r="I534" s="1">
        <v>0</v>
      </c>
      <c r="J534" s="1">
        <v>1</v>
      </c>
      <c r="K534" s="1">
        <v>0</v>
      </c>
      <c r="L534" s="1" t="s">
        <v>45</v>
      </c>
      <c r="M534" s="1">
        <v>1</v>
      </c>
      <c r="N534" s="1">
        <v>2</v>
      </c>
      <c r="O534" s="1">
        <v>0</v>
      </c>
      <c r="P534" s="11" t="str">
        <f t="shared" si="8"/>
        <v>负</v>
      </c>
      <c r="Q534" s="11" t="str">
        <f t="shared" si="8"/>
        <v>负</v>
      </c>
    </row>
    <row r="535" spans="4:17" customFormat="1" hidden="1" x14ac:dyDescent="0.15">
      <c r="D535" t="s">
        <v>6</v>
      </c>
      <c r="E535" s="1">
        <v>237725</v>
      </c>
      <c r="F535" s="1">
        <v>237725</v>
      </c>
      <c r="G535" s="8">
        <v>42588.895833333336</v>
      </c>
      <c r="H535" s="1" t="s">
        <v>38</v>
      </c>
      <c r="I535" s="1">
        <v>2</v>
      </c>
      <c r="J535" s="1">
        <v>3</v>
      </c>
      <c r="K535" s="1">
        <v>0</v>
      </c>
      <c r="L535" s="1" t="s">
        <v>32</v>
      </c>
      <c r="M535" s="1">
        <v>1</v>
      </c>
      <c r="N535" s="1">
        <v>2</v>
      </c>
      <c r="O535" s="1">
        <v>0</v>
      </c>
      <c r="P535" s="11" t="str">
        <f t="shared" si="8"/>
        <v>胜</v>
      </c>
      <c r="Q535" s="11" t="str">
        <f t="shared" si="8"/>
        <v>胜</v>
      </c>
    </row>
    <row r="536" spans="4:17" customFormat="1" hidden="1" x14ac:dyDescent="0.15">
      <c r="D536" t="s">
        <v>6</v>
      </c>
      <c r="E536" s="1">
        <v>237781</v>
      </c>
      <c r="F536" s="1">
        <v>237781</v>
      </c>
      <c r="G536" s="8">
        <v>42589.000694444447</v>
      </c>
      <c r="H536" s="1" t="s">
        <v>44</v>
      </c>
      <c r="I536" s="1">
        <v>0</v>
      </c>
      <c r="J536" s="1">
        <v>3</v>
      </c>
      <c r="K536" s="1">
        <v>0</v>
      </c>
      <c r="L536" s="1" t="s">
        <v>37</v>
      </c>
      <c r="M536" s="1">
        <v>4</v>
      </c>
      <c r="N536" s="1">
        <v>4</v>
      </c>
      <c r="O536" s="1">
        <v>0</v>
      </c>
      <c r="P536" s="11" t="str">
        <f t="shared" si="8"/>
        <v>负</v>
      </c>
      <c r="Q536" s="11" t="str">
        <f t="shared" si="8"/>
        <v>负</v>
      </c>
    </row>
    <row r="537" spans="4:17" customFormat="1" hidden="1" x14ac:dyDescent="0.15">
      <c r="D537" t="s">
        <v>6</v>
      </c>
      <c r="E537" s="1">
        <v>237812</v>
      </c>
      <c r="F537" s="1">
        <v>237812</v>
      </c>
      <c r="G537" s="8">
        <v>42589.895833333336</v>
      </c>
      <c r="H537" s="1" t="s">
        <v>42</v>
      </c>
      <c r="I537" s="1">
        <v>0</v>
      </c>
      <c r="J537" s="1">
        <v>0</v>
      </c>
      <c r="K537" s="1">
        <v>0</v>
      </c>
      <c r="L537" s="1" t="s">
        <v>48</v>
      </c>
      <c r="M537" s="1">
        <v>1</v>
      </c>
      <c r="N537" s="1">
        <v>1</v>
      </c>
      <c r="O537" s="1">
        <v>0</v>
      </c>
      <c r="P537" s="11" t="str">
        <f t="shared" si="8"/>
        <v>负</v>
      </c>
      <c r="Q537" s="11" t="str">
        <f t="shared" si="8"/>
        <v>负</v>
      </c>
    </row>
    <row r="538" spans="4:17" x14ac:dyDescent="0.15">
      <c r="D538" s="2" t="s">
        <v>6</v>
      </c>
      <c r="E538" s="6">
        <v>240041</v>
      </c>
      <c r="F538" s="6">
        <v>240041</v>
      </c>
      <c r="G538" s="24">
        <v>42595.896527777775</v>
      </c>
      <c r="H538" s="6" t="s">
        <v>32</v>
      </c>
      <c r="I538" s="6">
        <v>0</v>
      </c>
      <c r="J538" s="6">
        <v>1</v>
      </c>
      <c r="K538" s="6">
        <v>0</v>
      </c>
      <c r="L538" s="6" t="s">
        <v>44</v>
      </c>
      <c r="M538" s="6">
        <v>0</v>
      </c>
      <c r="N538" s="6">
        <v>1</v>
      </c>
      <c r="O538" s="6">
        <v>0</v>
      </c>
      <c r="P538" s="11" t="str">
        <f t="shared" si="8"/>
        <v>平</v>
      </c>
      <c r="Q538" s="11" t="str">
        <f t="shared" si="8"/>
        <v>平</v>
      </c>
    </row>
    <row r="539" spans="4:17" customFormat="1" hidden="1" x14ac:dyDescent="0.15">
      <c r="D539" t="s">
        <v>6</v>
      </c>
      <c r="E539" s="1">
        <v>240061</v>
      </c>
      <c r="F539" s="1">
        <v>240061</v>
      </c>
      <c r="G539" s="8">
        <v>42596.999305555553</v>
      </c>
      <c r="H539" s="1" t="s">
        <v>48</v>
      </c>
      <c r="I539" s="1">
        <v>1</v>
      </c>
      <c r="J539" s="1">
        <v>2</v>
      </c>
      <c r="K539" s="1">
        <v>0</v>
      </c>
      <c r="L539" s="1" t="s">
        <v>53</v>
      </c>
      <c r="M539" s="1">
        <v>0</v>
      </c>
      <c r="N539" s="1">
        <v>1</v>
      </c>
      <c r="O539" s="1">
        <v>0</v>
      </c>
      <c r="P539" s="11" t="str">
        <f t="shared" si="8"/>
        <v>胜</v>
      </c>
      <c r="Q539" s="11" t="str">
        <f t="shared" si="8"/>
        <v>胜</v>
      </c>
    </row>
    <row r="540" spans="4:17" customFormat="1" hidden="1" x14ac:dyDescent="0.15">
      <c r="D540" t="s">
        <v>6</v>
      </c>
      <c r="E540" s="1">
        <v>240071</v>
      </c>
      <c r="F540" s="1">
        <v>240071</v>
      </c>
      <c r="G540" s="8">
        <v>42596.999305555553</v>
      </c>
      <c r="H540" s="1" t="s">
        <v>54</v>
      </c>
      <c r="I540" s="1">
        <v>0</v>
      </c>
      <c r="J540" s="1">
        <v>0</v>
      </c>
      <c r="K540" s="1">
        <v>0</v>
      </c>
      <c r="L540" s="1" t="s">
        <v>41</v>
      </c>
      <c r="M540" s="1">
        <v>0</v>
      </c>
      <c r="N540" s="1">
        <v>0</v>
      </c>
      <c r="O540" s="1">
        <v>0</v>
      </c>
      <c r="P540" s="11" t="str">
        <f t="shared" si="8"/>
        <v>平</v>
      </c>
      <c r="Q540" s="11" t="str">
        <f t="shared" si="8"/>
        <v>平</v>
      </c>
    </row>
    <row r="541" spans="4:17" customFormat="1" hidden="1" x14ac:dyDescent="0.15">
      <c r="D541" t="s">
        <v>6</v>
      </c>
      <c r="E541" s="1">
        <v>240072</v>
      </c>
      <c r="F541" s="1">
        <v>240072</v>
      </c>
      <c r="G541" s="8">
        <v>42597</v>
      </c>
      <c r="H541" s="1" t="s">
        <v>40</v>
      </c>
      <c r="I541" s="1">
        <v>1</v>
      </c>
      <c r="J541" s="1">
        <v>1</v>
      </c>
      <c r="K541" s="1">
        <v>0</v>
      </c>
      <c r="L541" s="1" t="s">
        <v>36</v>
      </c>
      <c r="M541" s="1">
        <v>0</v>
      </c>
      <c r="N541" s="1">
        <v>1</v>
      </c>
      <c r="O541" s="1">
        <v>0</v>
      </c>
      <c r="P541" s="11" t="str">
        <f t="shared" si="8"/>
        <v>胜</v>
      </c>
      <c r="Q541" s="11" t="str">
        <f t="shared" si="8"/>
        <v>平</v>
      </c>
    </row>
    <row r="542" spans="4:17" customFormat="1" hidden="1" x14ac:dyDescent="0.15">
      <c r="D542" t="s">
        <v>6</v>
      </c>
      <c r="E542" s="1">
        <v>240073</v>
      </c>
      <c r="F542" s="1">
        <v>240073</v>
      </c>
      <c r="G542" s="8">
        <v>42597</v>
      </c>
      <c r="H542" s="1" t="s">
        <v>37</v>
      </c>
      <c r="I542" s="1">
        <v>3</v>
      </c>
      <c r="J542" s="1">
        <v>3</v>
      </c>
      <c r="K542" s="1">
        <v>0</v>
      </c>
      <c r="L542" s="1" t="s">
        <v>35</v>
      </c>
      <c r="M542" s="1">
        <v>0</v>
      </c>
      <c r="N542" s="1">
        <v>1</v>
      </c>
      <c r="O542" s="1">
        <v>0</v>
      </c>
      <c r="P542" s="11" t="str">
        <f t="shared" si="8"/>
        <v>胜</v>
      </c>
      <c r="Q542" s="11" t="str">
        <f t="shared" si="8"/>
        <v>胜</v>
      </c>
    </row>
    <row r="543" spans="4:17" customFormat="1" hidden="1" x14ac:dyDescent="0.15">
      <c r="D543" t="s">
        <v>6</v>
      </c>
      <c r="E543" s="1">
        <v>240084</v>
      </c>
      <c r="F543" s="1">
        <v>240084</v>
      </c>
      <c r="G543" s="8">
        <v>42597.084027777775</v>
      </c>
      <c r="H543" s="1" t="s">
        <v>45</v>
      </c>
      <c r="I543" s="1">
        <v>0</v>
      </c>
      <c r="J543" s="1">
        <v>2</v>
      </c>
      <c r="K543" s="1">
        <v>0</v>
      </c>
      <c r="L543" s="1" t="s">
        <v>42</v>
      </c>
      <c r="M543" s="1">
        <v>1</v>
      </c>
      <c r="N543" s="1">
        <v>2</v>
      </c>
      <c r="O543" s="1">
        <v>0</v>
      </c>
      <c r="P543" s="11" t="str">
        <f t="shared" si="8"/>
        <v>负</v>
      </c>
      <c r="Q543" s="11" t="str">
        <f t="shared" si="8"/>
        <v>平</v>
      </c>
    </row>
    <row r="544" spans="4:17" customFormat="1" hidden="1" x14ac:dyDescent="0.15">
      <c r="D544" t="s">
        <v>6</v>
      </c>
      <c r="E544" s="1">
        <v>240090</v>
      </c>
      <c r="F544" s="1">
        <v>240090</v>
      </c>
      <c r="G544" s="8">
        <v>42594.041666666664</v>
      </c>
      <c r="H544" s="1" t="s">
        <v>45</v>
      </c>
      <c r="I544" s="1">
        <v>0</v>
      </c>
      <c r="J544" s="1">
        <v>0</v>
      </c>
      <c r="K544" s="1">
        <v>0</v>
      </c>
      <c r="L544" s="1" t="s">
        <v>37</v>
      </c>
      <c r="M544" s="1">
        <v>0</v>
      </c>
      <c r="N544" s="1">
        <v>2</v>
      </c>
      <c r="O544" s="1">
        <v>0</v>
      </c>
      <c r="P544" s="11" t="str">
        <f t="shared" si="8"/>
        <v>平</v>
      </c>
      <c r="Q544" s="11" t="str">
        <f t="shared" si="8"/>
        <v>负</v>
      </c>
    </row>
    <row r="545" spans="4:17" customFormat="1" hidden="1" x14ac:dyDescent="0.15">
      <c r="D545" t="s">
        <v>6</v>
      </c>
      <c r="E545" s="1">
        <v>240180</v>
      </c>
      <c r="F545" s="1">
        <v>240180</v>
      </c>
      <c r="G545" s="8">
        <v>42596</v>
      </c>
      <c r="H545" s="1" t="s">
        <v>49</v>
      </c>
      <c r="I545" s="1">
        <v>2</v>
      </c>
      <c r="J545" s="1">
        <v>3</v>
      </c>
      <c r="K545" s="1">
        <v>0</v>
      </c>
      <c r="L545" s="1" t="s">
        <v>46</v>
      </c>
      <c r="M545" s="1">
        <v>1</v>
      </c>
      <c r="N545" s="1">
        <v>2</v>
      </c>
      <c r="O545" s="1">
        <v>0</v>
      </c>
      <c r="P545" s="11" t="str">
        <f t="shared" si="8"/>
        <v>胜</v>
      </c>
      <c r="Q545" s="11" t="str">
        <f t="shared" si="8"/>
        <v>胜</v>
      </c>
    </row>
    <row r="546" spans="4:17" customFormat="1" hidden="1" x14ac:dyDescent="0.15">
      <c r="D546" t="s">
        <v>6</v>
      </c>
      <c r="E546" s="1">
        <v>240220</v>
      </c>
      <c r="F546" s="1">
        <v>240220</v>
      </c>
      <c r="G546" s="8">
        <v>42596.895833333336</v>
      </c>
      <c r="H546" s="1" t="s">
        <v>43</v>
      </c>
      <c r="I546" s="1">
        <v>0</v>
      </c>
      <c r="J546" s="1">
        <v>0</v>
      </c>
      <c r="K546" s="1">
        <v>0</v>
      </c>
      <c r="L546" s="1" t="s">
        <v>38</v>
      </c>
      <c r="M546" s="1">
        <v>1</v>
      </c>
      <c r="N546" s="1">
        <v>2</v>
      </c>
      <c r="O546" s="1">
        <v>0</v>
      </c>
      <c r="P546" s="11" t="str">
        <f t="shared" si="8"/>
        <v>负</v>
      </c>
      <c r="Q546" s="11" t="str">
        <f t="shared" si="8"/>
        <v>负</v>
      </c>
    </row>
    <row r="547" spans="4:17" customFormat="1" hidden="1" x14ac:dyDescent="0.15">
      <c r="D547" t="s">
        <v>6</v>
      </c>
      <c r="E547" s="1">
        <v>242999</v>
      </c>
      <c r="F547" s="1">
        <v>242999</v>
      </c>
      <c r="G547" s="8">
        <v>42602.041666666664</v>
      </c>
      <c r="H547" s="1" t="s">
        <v>49</v>
      </c>
      <c r="I547" s="1">
        <v>0</v>
      </c>
      <c r="J547" s="1">
        <v>1</v>
      </c>
      <c r="K547" s="1">
        <v>0</v>
      </c>
      <c r="L547" s="1" t="s">
        <v>32</v>
      </c>
      <c r="M547" s="1">
        <v>1</v>
      </c>
      <c r="N547" s="1">
        <v>1</v>
      </c>
      <c r="O547" s="1">
        <v>0</v>
      </c>
      <c r="P547" s="11" t="str">
        <f t="shared" si="8"/>
        <v>负</v>
      </c>
      <c r="Q547" s="11" t="str">
        <f t="shared" si="8"/>
        <v>平</v>
      </c>
    </row>
    <row r="548" spans="4:17" customFormat="1" hidden="1" x14ac:dyDescent="0.15">
      <c r="D548" t="s">
        <v>6</v>
      </c>
      <c r="E548" s="1">
        <v>243183</v>
      </c>
      <c r="F548" s="1">
        <v>243183</v>
      </c>
      <c r="G548" s="8">
        <v>42602.896527777775</v>
      </c>
      <c r="H548" s="1" t="s">
        <v>44</v>
      </c>
      <c r="I548" s="1">
        <v>0</v>
      </c>
      <c r="J548" s="1">
        <v>1</v>
      </c>
      <c r="K548" s="1">
        <v>0</v>
      </c>
      <c r="L548" s="1" t="s">
        <v>48</v>
      </c>
      <c r="M548" s="1">
        <v>1</v>
      </c>
      <c r="N548" s="1">
        <v>1</v>
      </c>
      <c r="O548" s="1">
        <v>0</v>
      </c>
      <c r="P548" s="11" t="str">
        <f t="shared" si="8"/>
        <v>负</v>
      </c>
      <c r="Q548" s="11" t="str">
        <f t="shared" si="8"/>
        <v>平</v>
      </c>
    </row>
    <row r="549" spans="4:17" customFormat="1" hidden="1" x14ac:dyDescent="0.15">
      <c r="D549" t="s">
        <v>6</v>
      </c>
      <c r="E549" s="1">
        <v>243253</v>
      </c>
      <c r="F549" s="1">
        <v>243253</v>
      </c>
      <c r="G549" s="8">
        <v>42603.895833333336</v>
      </c>
      <c r="H549" s="1" t="s">
        <v>41</v>
      </c>
      <c r="I549" s="1">
        <v>0</v>
      </c>
      <c r="J549" s="1">
        <v>1</v>
      </c>
      <c r="K549" s="1">
        <v>0</v>
      </c>
      <c r="L549" s="1" t="s">
        <v>40</v>
      </c>
      <c r="M549" s="1">
        <v>0</v>
      </c>
      <c r="N549" s="1">
        <v>0</v>
      </c>
      <c r="O549" s="1">
        <v>0</v>
      </c>
      <c r="P549" s="11" t="str">
        <f t="shared" si="8"/>
        <v>平</v>
      </c>
      <c r="Q549" s="11" t="str">
        <f t="shared" si="8"/>
        <v>胜</v>
      </c>
    </row>
    <row r="550" spans="4:17" customFormat="1" hidden="1" x14ac:dyDescent="0.15">
      <c r="D550" t="s">
        <v>6</v>
      </c>
      <c r="E550" s="1">
        <v>243338</v>
      </c>
      <c r="F550" s="1">
        <v>243338</v>
      </c>
      <c r="G550" s="8">
        <v>42604.002083333333</v>
      </c>
      <c r="H550" s="1" t="s">
        <v>46</v>
      </c>
      <c r="I550" s="1">
        <v>1</v>
      </c>
      <c r="J550" s="1">
        <v>1</v>
      </c>
      <c r="K550" s="1">
        <v>0</v>
      </c>
      <c r="L550" s="1" t="s">
        <v>37</v>
      </c>
      <c r="M550" s="1">
        <v>0</v>
      </c>
      <c r="N550" s="1">
        <v>1</v>
      </c>
      <c r="O550" s="1">
        <v>0</v>
      </c>
      <c r="P550" s="11" t="str">
        <f t="shared" si="8"/>
        <v>胜</v>
      </c>
      <c r="Q550" s="11" t="str">
        <f t="shared" si="8"/>
        <v>平</v>
      </c>
    </row>
    <row r="551" spans="4:17" customFormat="1" hidden="1" x14ac:dyDescent="0.15">
      <c r="D551" t="s">
        <v>6</v>
      </c>
      <c r="E551" s="1">
        <v>243342</v>
      </c>
      <c r="F551" s="1">
        <v>243342</v>
      </c>
      <c r="G551" s="8">
        <v>42604</v>
      </c>
      <c r="H551" s="1" t="s">
        <v>36</v>
      </c>
      <c r="I551" s="1">
        <v>0</v>
      </c>
      <c r="J551" s="1">
        <v>1</v>
      </c>
      <c r="K551" s="1">
        <v>0</v>
      </c>
      <c r="L551" s="1" t="s">
        <v>35</v>
      </c>
      <c r="M551" s="1">
        <v>1</v>
      </c>
      <c r="N551" s="1">
        <v>1</v>
      </c>
      <c r="O551" s="1">
        <v>0</v>
      </c>
      <c r="P551" s="11" t="str">
        <f t="shared" si="8"/>
        <v>负</v>
      </c>
      <c r="Q551" s="11" t="str">
        <f t="shared" si="8"/>
        <v>平</v>
      </c>
    </row>
    <row r="552" spans="4:17" customFormat="1" hidden="1" x14ac:dyDescent="0.15">
      <c r="D552" t="s">
        <v>6</v>
      </c>
      <c r="E552" s="1">
        <v>243343</v>
      </c>
      <c r="F552" s="1">
        <v>243343</v>
      </c>
      <c r="G552" s="8">
        <v>42604</v>
      </c>
      <c r="H552" s="1" t="s">
        <v>38</v>
      </c>
      <c r="I552" s="1">
        <v>1</v>
      </c>
      <c r="J552" s="1">
        <v>4</v>
      </c>
      <c r="K552" s="1">
        <v>0</v>
      </c>
      <c r="L552" s="1" t="s">
        <v>54</v>
      </c>
      <c r="M552" s="1">
        <v>0</v>
      </c>
      <c r="N552" s="1">
        <v>2</v>
      </c>
      <c r="O552" s="1">
        <v>0</v>
      </c>
      <c r="P552" s="11" t="str">
        <f t="shared" si="8"/>
        <v>胜</v>
      </c>
      <c r="Q552" s="11" t="str">
        <f t="shared" si="8"/>
        <v>胜</v>
      </c>
    </row>
    <row r="553" spans="4:17" customFormat="1" hidden="1" x14ac:dyDescent="0.15">
      <c r="D553" t="s">
        <v>6</v>
      </c>
      <c r="E553" s="1">
        <v>243346</v>
      </c>
      <c r="F553" s="1">
        <v>243346</v>
      </c>
      <c r="G553" s="8">
        <v>42604</v>
      </c>
      <c r="H553" s="1" t="s">
        <v>42</v>
      </c>
      <c r="I553" s="1">
        <v>2</v>
      </c>
      <c r="J553" s="1">
        <v>3</v>
      </c>
      <c r="K553" s="1">
        <v>0</v>
      </c>
      <c r="L553" s="1" t="s">
        <v>43</v>
      </c>
      <c r="M553" s="1">
        <v>0</v>
      </c>
      <c r="N553" s="1">
        <v>0</v>
      </c>
      <c r="O553" s="1">
        <v>0</v>
      </c>
      <c r="P553" s="11" t="str">
        <f t="shared" si="8"/>
        <v>胜</v>
      </c>
      <c r="Q553" s="11" t="str">
        <f t="shared" si="8"/>
        <v>胜</v>
      </c>
    </row>
    <row r="554" spans="4:17" customFormat="1" hidden="1" x14ac:dyDescent="0.15">
      <c r="D554" t="s">
        <v>6</v>
      </c>
      <c r="E554" s="1">
        <v>243375</v>
      </c>
      <c r="F554" s="1">
        <v>243375</v>
      </c>
      <c r="G554" s="8">
        <v>42604.082638888889</v>
      </c>
      <c r="H554" s="1" t="s">
        <v>53</v>
      </c>
      <c r="I554" s="1">
        <v>1</v>
      </c>
      <c r="J554" s="1">
        <v>2</v>
      </c>
      <c r="K554" s="1">
        <v>0</v>
      </c>
      <c r="L554" s="1" t="s">
        <v>45</v>
      </c>
      <c r="M554" s="1">
        <v>0</v>
      </c>
      <c r="N554" s="1">
        <v>1</v>
      </c>
      <c r="O554" s="1">
        <v>0</v>
      </c>
      <c r="P554" s="11" t="str">
        <f t="shared" si="8"/>
        <v>胜</v>
      </c>
      <c r="Q554" s="11" t="str">
        <f t="shared" si="8"/>
        <v>胜</v>
      </c>
    </row>
    <row r="555" spans="4:17" customFormat="1" hidden="1" x14ac:dyDescent="0.15">
      <c r="D555" t="s">
        <v>6</v>
      </c>
      <c r="E555" s="1">
        <v>245119</v>
      </c>
      <c r="F555" s="1">
        <v>245119</v>
      </c>
      <c r="G555" s="8">
        <v>42609.041666666664</v>
      </c>
      <c r="H555" s="1" t="s">
        <v>43</v>
      </c>
      <c r="I555" s="1">
        <v>1</v>
      </c>
      <c r="J555" s="1">
        <v>2</v>
      </c>
      <c r="K555" s="1">
        <v>0</v>
      </c>
      <c r="L555" s="1" t="s">
        <v>41</v>
      </c>
      <c r="M555" s="1">
        <v>2</v>
      </c>
      <c r="N555" s="1">
        <v>2</v>
      </c>
      <c r="O555" s="1">
        <v>0</v>
      </c>
      <c r="P555" s="11" t="str">
        <f t="shared" si="8"/>
        <v>负</v>
      </c>
      <c r="Q555" s="11" t="str">
        <f t="shared" si="8"/>
        <v>平</v>
      </c>
    </row>
    <row r="556" spans="4:17" customFormat="1" hidden="1" x14ac:dyDescent="0.15">
      <c r="D556" t="s">
        <v>6</v>
      </c>
      <c r="E556" s="1">
        <v>245120</v>
      </c>
      <c r="F556" s="1">
        <v>245120</v>
      </c>
      <c r="G556" s="8">
        <v>42609.895833333336</v>
      </c>
      <c r="H556" s="1" t="s">
        <v>40</v>
      </c>
      <c r="I556" s="1">
        <v>0</v>
      </c>
      <c r="J556" s="1">
        <v>0</v>
      </c>
      <c r="K556" s="1">
        <v>0</v>
      </c>
      <c r="L556" s="1" t="s">
        <v>38</v>
      </c>
      <c r="M556" s="1">
        <v>1</v>
      </c>
      <c r="N556" s="1">
        <v>2</v>
      </c>
      <c r="O556" s="1">
        <v>0</v>
      </c>
      <c r="P556" s="11" t="str">
        <f t="shared" si="8"/>
        <v>负</v>
      </c>
      <c r="Q556" s="11" t="str">
        <f t="shared" si="8"/>
        <v>负</v>
      </c>
    </row>
    <row r="557" spans="4:17" customFormat="1" hidden="1" x14ac:dyDescent="0.15">
      <c r="D557" t="s">
        <v>6</v>
      </c>
      <c r="E557" s="1">
        <v>245121</v>
      </c>
      <c r="F557" s="1">
        <v>245121</v>
      </c>
      <c r="G557" s="8">
        <v>42610</v>
      </c>
      <c r="H557" s="1" t="s">
        <v>48</v>
      </c>
      <c r="I557" s="1">
        <v>2</v>
      </c>
      <c r="J557" s="1">
        <v>3</v>
      </c>
      <c r="K557" s="1">
        <v>0</v>
      </c>
      <c r="L557" s="1" t="s">
        <v>46</v>
      </c>
      <c r="M557" s="1">
        <v>2</v>
      </c>
      <c r="N557" s="1">
        <v>2</v>
      </c>
      <c r="O557" s="1">
        <v>0</v>
      </c>
      <c r="P557" s="11" t="str">
        <f t="shared" si="8"/>
        <v>平</v>
      </c>
      <c r="Q557" s="11" t="str">
        <f t="shared" si="8"/>
        <v>胜</v>
      </c>
    </row>
    <row r="558" spans="4:17" customFormat="1" hidden="1" x14ac:dyDescent="0.15">
      <c r="D558" t="s">
        <v>6</v>
      </c>
      <c r="E558" s="1">
        <v>245122</v>
      </c>
      <c r="F558" s="1">
        <v>245122</v>
      </c>
      <c r="G558" s="8">
        <v>42610.896527777775</v>
      </c>
      <c r="H558" s="1" t="s">
        <v>35</v>
      </c>
      <c r="I558" s="1">
        <v>0</v>
      </c>
      <c r="J558" s="1">
        <v>1</v>
      </c>
      <c r="K558" s="1">
        <v>0</v>
      </c>
      <c r="L558" s="1" t="s">
        <v>42</v>
      </c>
      <c r="M558" s="1">
        <v>0</v>
      </c>
      <c r="N558" s="1">
        <v>1</v>
      </c>
      <c r="O558" s="1">
        <v>0</v>
      </c>
      <c r="P558" s="11" t="str">
        <f t="shared" si="8"/>
        <v>平</v>
      </c>
      <c r="Q558" s="11" t="str">
        <f t="shared" si="8"/>
        <v>平</v>
      </c>
    </row>
    <row r="559" spans="4:17" x14ac:dyDescent="0.15">
      <c r="D559" s="2" t="s">
        <v>6</v>
      </c>
      <c r="E559" s="6">
        <v>245123</v>
      </c>
      <c r="F559" s="6">
        <v>245123</v>
      </c>
      <c r="G559" s="24">
        <v>42610.999305555553</v>
      </c>
      <c r="H559" s="6" t="s">
        <v>32</v>
      </c>
      <c r="I559" s="6">
        <v>0</v>
      </c>
      <c r="J559" s="6">
        <v>2</v>
      </c>
      <c r="K559" s="6">
        <v>0</v>
      </c>
      <c r="L559" s="6" t="s">
        <v>36</v>
      </c>
      <c r="M559" s="6">
        <v>0</v>
      </c>
      <c r="N559" s="6">
        <v>0</v>
      </c>
      <c r="O559" s="6">
        <v>0</v>
      </c>
      <c r="P559" s="11" t="str">
        <f t="shared" si="8"/>
        <v>平</v>
      </c>
      <c r="Q559" s="11" t="str">
        <f t="shared" si="8"/>
        <v>胜</v>
      </c>
    </row>
    <row r="560" spans="4:17" customFormat="1" hidden="1" x14ac:dyDescent="0.15">
      <c r="D560" t="s">
        <v>6</v>
      </c>
      <c r="E560" s="1">
        <v>245124</v>
      </c>
      <c r="F560" s="1">
        <v>245124</v>
      </c>
      <c r="G560" s="8">
        <v>42611</v>
      </c>
      <c r="H560" s="1" t="s">
        <v>37</v>
      </c>
      <c r="I560" s="1">
        <v>1</v>
      </c>
      <c r="J560" s="1">
        <v>3</v>
      </c>
      <c r="K560" s="1">
        <v>0</v>
      </c>
      <c r="L560" s="1" t="s">
        <v>53</v>
      </c>
      <c r="M560" s="1">
        <v>0</v>
      </c>
      <c r="N560" s="1">
        <v>1</v>
      </c>
      <c r="O560" s="1">
        <v>0</v>
      </c>
      <c r="P560" s="11" t="str">
        <f t="shared" si="8"/>
        <v>胜</v>
      </c>
      <c r="Q560" s="11" t="str">
        <f t="shared" si="8"/>
        <v>胜</v>
      </c>
    </row>
    <row r="561" spans="4:17" customFormat="1" hidden="1" x14ac:dyDescent="0.15">
      <c r="D561" t="s">
        <v>6</v>
      </c>
      <c r="E561" s="1">
        <v>245125</v>
      </c>
      <c r="F561" s="1">
        <v>245125</v>
      </c>
      <c r="G561" s="8">
        <v>42611</v>
      </c>
      <c r="H561" s="1" t="s">
        <v>45</v>
      </c>
      <c r="I561" s="1">
        <v>1</v>
      </c>
      <c r="J561" s="1">
        <v>2</v>
      </c>
      <c r="K561" s="1">
        <v>0</v>
      </c>
      <c r="L561" s="1" t="s">
        <v>44</v>
      </c>
      <c r="M561" s="1">
        <v>1</v>
      </c>
      <c r="N561" s="1">
        <v>2</v>
      </c>
      <c r="O561" s="1">
        <v>0</v>
      </c>
      <c r="P561" s="11" t="str">
        <f t="shared" si="8"/>
        <v>平</v>
      </c>
      <c r="Q561" s="11" t="str">
        <f t="shared" si="8"/>
        <v>平</v>
      </c>
    </row>
    <row r="562" spans="4:17" customFormat="1" hidden="1" x14ac:dyDescent="0.15">
      <c r="D562" t="s">
        <v>6</v>
      </c>
      <c r="E562" s="1">
        <v>245126</v>
      </c>
      <c r="F562" s="1">
        <v>245126</v>
      </c>
      <c r="G562" s="8">
        <v>42611.083333333336</v>
      </c>
      <c r="H562" s="1" t="s">
        <v>54</v>
      </c>
      <c r="I562" s="1">
        <v>0</v>
      </c>
      <c r="J562" s="1">
        <v>1</v>
      </c>
      <c r="K562" s="1">
        <v>0</v>
      </c>
      <c r="L562" s="1" t="s">
        <v>49</v>
      </c>
      <c r="M562" s="1">
        <v>1</v>
      </c>
      <c r="N562" s="1">
        <v>2</v>
      </c>
      <c r="O562" s="1">
        <v>0</v>
      </c>
      <c r="P562" s="11" t="str">
        <f t="shared" si="8"/>
        <v>负</v>
      </c>
      <c r="Q562" s="11" t="str">
        <f t="shared" si="8"/>
        <v>负</v>
      </c>
    </row>
    <row r="563" spans="4:17" customFormat="1" hidden="1" x14ac:dyDescent="0.15">
      <c r="D563" t="s">
        <v>6</v>
      </c>
      <c r="E563" s="1">
        <v>247833</v>
      </c>
      <c r="F563" s="1">
        <v>247833</v>
      </c>
      <c r="G563" s="8">
        <v>42623.041666666664</v>
      </c>
      <c r="H563" s="1" t="s">
        <v>36</v>
      </c>
      <c r="I563" s="1">
        <v>1</v>
      </c>
      <c r="J563" s="1">
        <v>1</v>
      </c>
      <c r="K563" s="1">
        <v>0</v>
      </c>
      <c r="L563" s="1" t="s">
        <v>43</v>
      </c>
      <c r="M563" s="1">
        <v>0</v>
      </c>
      <c r="N563" s="1">
        <v>4</v>
      </c>
      <c r="O563" s="1">
        <v>0</v>
      </c>
      <c r="P563" s="11" t="str">
        <f t="shared" si="8"/>
        <v>胜</v>
      </c>
      <c r="Q563" s="11" t="str">
        <f t="shared" si="8"/>
        <v>负</v>
      </c>
    </row>
    <row r="564" spans="4:17" customFormat="1" hidden="1" x14ac:dyDescent="0.15">
      <c r="D564" t="s">
        <v>6</v>
      </c>
      <c r="E564" s="1">
        <v>247834</v>
      </c>
      <c r="F564" s="1">
        <v>247834</v>
      </c>
      <c r="G564" s="8">
        <v>42623.895138888889</v>
      </c>
      <c r="H564" s="1" t="s">
        <v>49</v>
      </c>
      <c r="I564" s="1">
        <v>0</v>
      </c>
      <c r="J564" s="1">
        <v>1</v>
      </c>
      <c r="K564" s="1">
        <v>0</v>
      </c>
      <c r="L564" s="1" t="s">
        <v>40</v>
      </c>
      <c r="M564" s="1">
        <v>0</v>
      </c>
      <c r="N564" s="1">
        <v>1</v>
      </c>
      <c r="O564" s="1">
        <v>0</v>
      </c>
      <c r="P564" s="11" t="str">
        <f t="shared" si="8"/>
        <v>平</v>
      </c>
      <c r="Q564" s="11" t="str">
        <f t="shared" si="8"/>
        <v>平</v>
      </c>
    </row>
    <row r="565" spans="4:17" customFormat="1" hidden="1" x14ac:dyDescent="0.15">
      <c r="D565" t="s">
        <v>6</v>
      </c>
      <c r="E565" s="1">
        <v>247835</v>
      </c>
      <c r="F565" s="1">
        <v>247835</v>
      </c>
      <c r="G565" s="8">
        <v>42624.000694444447</v>
      </c>
      <c r="H565" s="1" t="s">
        <v>46</v>
      </c>
      <c r="I565" s="1">
        <v>0</v>
      </c>
      <c r="J565" s="1">
        <v>0</v>
      </c>
      <c r="K565" s="1">
        <v>0</v>
      </c>
      <c r="L565" s="1" t="s">
        <v>45</v>
      </c>
      <c r="M565" s="1">
        <v>0</v>
      </c>
      <c r="N565" s="1">
        <v>0</v>
      </c>
      <c r="O565" s="1">
        <v>0</v>
      </c>
      <c r="P565" s="11" t="str">
        <f t="shared" si="8"/>
        <v>平</v>
      </c>
      <c r="Q565" s="11" t="str">
        <f t="shared" si="8"/>
        <v>平</v>
      </c>
    </row>
    <row r="566" spans="4:17" customFormat="1" hidden="1" x14ac:dyDescent="0.15">
      <c r="D566" t="s">
        <v>6</v>
      </c>
      <c r="E566" s="1">
        <v>247836</v>
      </c>
      <c r="F566" s="1">
        <v>247836</v>
      </c>
      <c r="G566" s="8">
        <v>42624.895833333336</v>
      </c>
      <c r="H566" s="1" t="s">
        <v>53</v>
      </c>
      <c r="I566" s="1">
        <v>2</v>
      </c>
      <c r="J566" s="1">
        <v>2</v>
      </c>
      <c r="K566" s="1">
        <v>0</v>
      </c>
      <c r="L566" s="1" t="s">
        <v>35</v>
      </c>
      <c r="M566" s="1">
        <v>0</v>
      </c>
      <c r="N566" s="1">
        <v>0</v>
      </c>
      <c r="O566" s="1">
        <v>0</v>
      </c>
      <c r="P566" s="11" t="str">
        <f t="shared" si="8"/>
        <v>胜</v>
      </c>
      <c r="Q566" s="11" t="str">
        <f t="shared" si="8"/>
        <v>胜</v>
      </c>
    </row>
    <row r="567" spans="4:17" customFormat="1" hidden="1" x14ac:dyDescent="0.15">
      <c r="D567" t="s">
        <v>6</v>
      </c>
      <c r="E567" s="1">
        <v>247837</v>
      </c>
      <c r="F567" s="1">
        <v>247837</v>
      </c>
      <c r="G567" s="8">
        <v>42625</v>
      </c>
      <c r="H567" s="1" t="s">
        <v>44</v>
      </c>
      <c r="I567" s="1">
        <v>1</v>
      </c>
      <c r="J567" s="1">
        <v>2</v>
      </c>
      <c r="K567" s="1">
        <v>0</v>
      </c>
      <c r="L567" s="1" t="s">
        <v>54</v>
      </c>
      <c r="M567" s="1">
        <v>1</v>
      </c>
      <c r="N567" s="1">
        <v>4</v>
      </c>
      <c r="O567" s="1">
        <v>0</v>
      </c>
      <c r="P567" s="11" t="str">
        <f t="shared" si="8"/>
        <v>平</v>
      </c>
      <c r="Q567" s="11" t="str">
        <f t="shared" si="8"/>
        <v>负</v>
      </c>
    </row>
    <row r="568" spans="4:17" customFormat="1" hidden="1" x14ac:dyDescent="0.15">
      <c r="D568" t="s">
        <v>6</v>
      </c>
      <c r="E568" s="1">
        <v>247838</v>
      </c>
      <c r="F568" s="1">
        <v>247838</v>
      </c>
      <c r="G568" s="8">
        <v>42625</v>
      </c>
      <c r="H568" s="1" t="s">
        <v>41</v>
      </c>
      <c r="I568" s="1">
        <v>1</v>
      </c>
      <c r="J568" s="1">
        <v>1</v>
      </c>
      <c r="K568" s="1">
        <v>0</v>
      </c>
      <c r="L568" s="1" t="s">
        <v>32</v>
      </c>
      <c r="M568" s="1">
        <v>1</v>
      </c>
      <c r="N568" s="1">
        <v>2</v>
      </c>
      <c r="O568" s="1">
        <v>0</v>
      </c>
      <c r="P568" s="11" t="str">
        <f t="shared" si="8"/>
        <v>平</v>
      </c>
      <c r="Q568" s="11" t="str">
        <f t="shared" si="8"/>
        <v>负</v>
      </c>
    </row>
    <row r="569" spans="4:17" customFormat="1" hidden="1" x14ac:dyDescent="0.15">
      <c r="D569" t="s">
        <v>6</v>
      </c>
      <c r="E569" s="1">
        <v>247839</v>
      </c>
      <c r="F569" s="1">
        <v>247839</v>
      </c>
      <c r="G569" s="8">
        <v>42625.000694444447</v>
      </c>
      <c r="H569" s="1" t="s">
        <v>42</v>
      </c>
      <c r="I569" s="1">
        <v>0</v>
      </c>
      <c r="J569" s="1">
        <v>0</v>
      </c>
      <c r="K569" s="1">
        <v>0</v>
      </c>
      <c r="L569" s="1" t="s">
        <v>37</v>
      </c>
      <c r="M569" s="1">
        <v>0</v>
      </c>
      <c r="N569" s="1">
        <v>2</v>
      </c>
      <c r="O569" s="1">
        <v>0</v>
      </c>
      <c r="P569" s="11" t="str">
        <f t="shared" si="8"/>
        <v>平</v>
      </c>
      <c r="Q569" s="11" t="str">
        <f t="shared" si="8"/>
        <v>负</v>
      </c>
    </row>
    <row r="570" spans="4:17" customFormat="1" hidden="1" x14ac:dyDescent="0.15">
      <c r="D570" t="s">
        <v>6</v>
      </c>
      <c r="E570" s="1">
        <v>247840</v>
      </c>
      <c r="F570" s="1">
        <v>247840</v>
      </c>
      <c r="G570" s="8">
        <v>42625.083333333336</v>
      </c>
      <c r="H570" s="1" t="s">
        <v>38</v>
      </c>
      <c r="I570" s="1">
        <v>0</v>
      </c>
      <c r="J570" s="1">
        <v>0</v>
      </c>
      <c r="K570" s="1">
        <v>0</v>
      </c>
      <c r="L570" s="1" t="s">
        <v>48</v>
      </c>
      <c r="M570" s="1">
        <v>0</v>
      </c>
      <c r="N570" s="1">
        <v>0</v>
      </c>
      <c r="O570" s="1">
        <v>0</v>
      </c>
      <c r="P570" s="11" t="str">
        <f t="shared" si="8"/>
        <v>平</v>
      </c>
      <c r="Q570" s="11" t="str">
        <f t="shared" si="8"/>
        <v>平</v>
      </c>
    </row>
    <row r="571" spans="4:17" customFormat="1" hidden="1" x14ac:dyDescent="0.15">
      <c r="D571" t="s">
        <v>6</v>
      </c>
      <c r="E571" s="1">
        <v>252905</v>
      </c>
      <c r="F571" s="1">
        <v>252905</v>
      </c>
      <c r="G571" s="8">
        <v>42630.040972222225</v>
      </c>
      <c r="H571" s="1" t="s">
        <v>48</v>
      </c>
      <c r="I571" s="1">
        <v>1</v>
      </c>
      <c r="J571" s="1">
        <v>1</v>
      </c>
      <c r="K571" s="1">
        <v>0</v>
      </c>
      <c r="L571" s="1" t="s">
        <v>49</v>
      </c>
      <c r="M571" s="1">
        <v>0</v>
      </c>
      <c r="N571" s="1">
        <v>1</v>
      </c>
      <c r="O571" s="1">
        <v>0</v>
      </c>
      <c r="P571" s="11" t="str">
        <f t="shared" si="8"/>
        <v>胜</v>
      </c>
      <c r="Q571" s="11" t="str">
        <f t="shared" si="8"/>
        <v>平</v>
      </c>
    </row>
    <row r="572" spans="4:17" customFormat="1" hidden="1" x14ac:dyDescent="0.15">
      <c r="D572" t="s">
        <v>6</v>
      </c>
      <c r="E572" s="1">
        <v>252906</v>
      </c>
      <c r="F572" s="1">
        <v>252906</v>
      </c>
      <c r="G572" s="8">
        <v>42630.895833333336</v>
      </c>
      <c r="H572" s="1" t="s">
        <v>53</v>
      </c>
      <c r="I572" s="1">
        <v>1</v>
      </c>
      <c r="J572" s="1">
        <v>2</v>
      </c>
      <c r="K572" s="1">
        <v>0</v>
      </c>
      <c r="L572" s="1" t="s">
        <v>44</v>
      </c>
      <c r="M572" s="1">
        <v>0</v>
      </c>
      <c r="N572" s="1">
        <v>1</v>
      </c>
      <c r="O572" s="1">
        <v>0</v>
      </c>
      <c r="P572" s="11" t="str">
        <f t="shared" si="8"/>
        <v>胜</v>
      </c>
      <c r="Q572" s="11" t="str">
        <f t="shared" si="8"/>
        <v>胜</v>
      </c>
    </row>
    <row r="573" spans="4:17" customFormat="1" hidden="1" x14ac:dyDescent="0.15">
      <c r="D573" t="s">
        <v>6</v>
      </c>
      <c r="E573" s="1">
        <v>252907</v>
      </c>
      <c r="F573" s="1">
        <v>252907</v>
      </c>
      <c r="G573" s="8">
        <v>42631</v>
      </c>
      <c r="H573" s="1" t="s">
        <v>45</v>
      </c>
      <c r="I573" s="1">
        <v>1</v>
      </c>
      <c r="J573" s="1">
        <v>1</v>
      </c>
      <c r="K573" s="1">
        <v>0</v>
      </c>
      <c r="L573" s="1" t="s">
        <v>38</v>
      </c>
      <c r="M573" s="1">
        <v>0</v>
      </c>
      <c r="N573" s="1">
        <v>0</v>
      </c>
      <c r="O573" s="1">
        <v>0</v>
      </c>
      <c r="P573" s="11" t="str">
        <f t="shared" si="8"/>
        <v>胜</v>
      </c>
      <c r="Q573" s="11" t="str">
        <f t="shared" si="8"/>
        <v>胜</v>
      </c>
    </row>
    <row r="574" spans="4:17" customFormat="1" hidden="1" x14ac:dyDescent="0.15">
      <c r="D574" t="s">
        <v>6</v>
      </c>
      <c r="E574" s="1">
        <v>252908</v>
      </c>
      <c r="F574" s="1">
        <v>252908</v>
      </c>
      <c r="G574" s="8">
        <v>42631.895833333336</v>
      </c>
      <c r="H574" s="1" t="s">
        <v>35</v>
      </c>
      <c r="I574" s="1">
        <v>1</v>
      </c>
      <c r="J574" s="1">
        <v>3</v>
      </c>
      <c r="K574" s="1">
        <v>0</v>
      </c>
      <c r="L574" s="1" t="s">
        <v>41</v>
      </c>
      <c r="M574" s="1">
        <v>0</v>
      </c>
      <c r="N574" s="1">
        <v>0</v>
      </c>
      <c r="O574" s="1">
        <v>0</v>
      </c>
      <c r="P574" s="11" t="str">
        <f t="shared" si="8"/>
        <v>胜</v>
      </c>
      <c r="Q574" s="11" t="str">
        <f t="shared" si="8"/>
        <v>胜</v>
      </c>
    </row>
    <row r="575" spans="4:17" customFormat="1" hidden="1" x14ac:dyDescent="0.15">
      <c r="D575" t="s">
        <v>6</v>
      </c>
      <c r="E575" s="1">
        <v>252909</v>
      </c>
      <c r="F575" s="1">
        <v>252909</v>
      </c>
      <c r="G575" s="8">
        <v>42632</v>
      </c>
      <c r="H575" s="1" t="s">
        <v>43</v>
      </c>
      <c r="I575" s="1">
        <v>1</v>
      </c>
      <c r="J575" s="1">
        <v>4</v>
      </c>
      <c r="K575" s="1">
        <v>0</v>
      </c>
      <c r="L575" s="1" t="s">
        <v>40</v>
      </c>
      <c r="M575" s="1">
        <v>1</v>
      </c>
      <c r="N575" s="1">
        <v>2</v>
      </c>
      <c r="O575" s="1">
        <v>0</v>
      </c>
      <c r="P575" s="11" t="str">
        <f t="shared" si="8"/>
        <v>平</v>
      </c>
      <c r="Q575" s="11" t="str">
        <f t="shared" si="8"/>
        <v>胜</v>
      </c>
    </row>
    <row r="576" spans="4:17" x14ac:dyDescent="0.15">
      <c r="D576" s="2" t="s">
        <v>6</v>
      </c>
      <c r="E576" s="6">
        <v>252910</v>
      </c>
      <c r="F576" s="6">
        <v>252910</v>
      </c>
      <c r="G576" s="24">
        <v>42632.003472222219</v>
      </c>
      <c r="H576" s="6" t="s">
        <v>32</v>
      </c>
      <c r="I576" s="6">
        <v>1</v>
      </c>
      <c r="J576" s="6">
        <v>1</v>
      </c>
      <c r="K576" s="6">
        <v>0</v>
      </c>
      <c r="L576" s="6" t="s">
        <v>46</v>
      </c>
      <c r="M576" s="6">
        <v>1</v>
      </c>
      <c r="N576" s="6">
        <v>3</v>
      </c>
      <c r="O576" s="6">
        <v>0</v>
      </c>
      <c r="P576" s="11" t="str">
        <f t="shared" si="8"/>
        <v>平</v>
      </c>
      <c r="Q576" s="11" t="str">
        <f t="shared" si="8"/>
        <v>负</v>
      </c>
    </row>
    <row r="577" spans="4:17" customFormat="1" hidden="1" x14ac:dyDescent="0.15">
      <c r="D577" t="s">
        <v>6</v>
      </c>
      <c r="E577" s="1">
        <v>252911</v>
      </c>
      <c r="F577" s="1">
        <v>252911</v>
      </c>
      <c r="G577" s="8">
        <v>42632</v>
      </c>
      <c r="H577" s="1" t="s">
        <v>54</v>
      </c>
      <c r="I577" s="1">
        <v>0</v>
      </c>
      <c r="J577" s="1">
        <v>0</v>
      </c>
      <c r="K577" s="1">
        <v>0</v>
      </c>
      <c r="L577" s="1" t="s">
        <v>42</v>
      </c>
      <c r="M577" s="1">
        <v>0</v>
      </c>
      <c r="N577" s="1">
        <v>1</v>
      </c>
      <c r="O577" s="1">
        <v>0</v>
      </c>
      <c r="P577" s="11" t="str">
        <f t="shared" si="8"/>
        <v>平</v>
      </c>
      <c r="Q577" s="11" t="str">
        <f t="shared" si="8"/>
        <v>负</v>
      </c>
    </row>
    <row r="578" spans="4:17" customFormat="1" hidden="1" x14ac:dyDescent="0.15">
      <c r="D578" t="s">
        <v>6</v>
      </c>
      <c r="E578" s="1">
        <v>252932</v>
      </c>
      <c r="F578" s="1">
        <v>252932</v>
      </c>
      <c r="G578" s="8">
        <v>42632.099305555559</v>
      </c>
      <c r="H578" s="1" t="s">
        <v>37</v>
      </c>
      <c r="I578" s="1">
        <v>0</v>
      </c>
      <c r="J578" s="1">
        <v>2</v>
      </c>
      <c r="K578" s="1">
        <v>0</v>
      </c>
      <c r="L578" s="1" t="s">
        <v>36</v>
      </c>
      <c r="M578" s="1">
        <v>0</v>
      </c>
      <c r="N578" s="1">
        <v>0</v>
      </c>
      <c r="O578" s="1">
        <v>0</v>
      </c>
      <c r="P578" s="11" t="str">
        <f t="shared" si="8"/>
        <v>平</v>
      </c>
      <c r="Q578" s="11" t="str">
        <f t="shared" si="8"/>
        <v>胜</v>
      </c>
    </row>
    <row r="579" spans="4:17" customFormat="1" hidden="1" x14ac:dyDescent="0.15">
      <c r="D579" t="s">
        <v>6</v>
      </c>
      <c r="E579" s="1">
        <v>255727</v>
      </c>
      <c r="F579" s="1">
        <v>255727</v>
      </c>
      <c r="G579" s="8">
        <v>42637.895833333336</v>
      </c>
      <c r="H579" s="1" t="s">
        <v>41</v>
      </c>
      <c r="I579" s="1">
        <v>1</v>
      </c>
      <c r="J579" s="1">
        <v>1</v>
      </c>
      <c r="K579" s="1">
        <v>0</v>
      </c>
      <c r="L579" s="1" t="s">
        <v>45</v>
      </c>
      <c r="M579" s="1">
        <v>0</v>
      </c>
      <c r="N579" s="1">
        <v>0</v>
      </c>
      <c r="O579" s="1">
        <v>0</v>
      </c>
      <c r="P579" s="11" t="str">
        <f t="shared" si="8"/>
        <v>胜</v>
      </c>
      <c r="Q579" s="11" t="str">
        <f t="shared" si="8"/>
        <v>胜</v>
      </c>
    </row>
    <row r="580" spans="4:17" customFormat="1" hidden="1" x14ac:dyDescent="0.15">
      <c r="D580" t="s">
        <v>6</v>
      </c>
      <c r="E580" s="1">
        <v>255728</v>
      </c>
      <c r="F580" s="1">
        <v>255728</v>
      </c>
      <c r="G580" s="8">
        <v>42638</v>
      </c>
      <c r="H580" s="1" t="s">
        <v>38</v>
      </c>
      <c r="I580" s="1">
        <v>1</v>
      </c>
      <c r="J580" s="1">
        <v>1</v>
      </c>
      <c r="K580" s="1">
        <v>0</v>
      </c>
      <c r="L580" s="1" t="s">
        <v>37</v>
      </c>
      <c r="M580" s="1">
        <v>0</v>
      </c>
      <c r="N580" s="1">
        <v>3</v>
      </c>
      <c r="O580" s="1">
        <v>0</v>
      </c>
      <c r="P580" s="11" t="str">
        <f t="shared" si="8"/>
        <v>胜</v>
      </c>
      <c r="Q580" s="11" t="str">
        <f t="shared" si="8"/>
        <v>负</v>
      </c>
    </row>
    <row r="581" spans="4:17" customFormat="1" hidden="1" x14ac:dyDescent="0.15">
      <c r="D581" t="s">
        <v>6</v>
      </c>
      <c r="E581" s="1">
        <v>255729</v>
      </c>
      <c r="F581" s="1">
        <v>255729</v>
      </c>
      <c r="G581" s="8">
        <v>42638.895833333336</v>
      </c>
      <c r="H581" s="1" t="s">
        <v>44</v>
      </c>
      <c r="I581" s="1">
        <v>0</v>
      </c>
      <c r="J581" s="1">
        <v>1</v>
      </c>
      <c r="K581" s="1">
        <v>0</v>
      </c>
      <c r="L581" s="1" t="s">
        <v>35</v>
      </c>
      <c r="M581" s="1">
        <v>0</v>
      </c>
      <c r="N581" s="1">
        <v>2</v>
      </c>
      <c r="O581" s="1">
        <v>0</v>
      </c>
      <c r="P581" s="11" t="str">
        <f t="shared" si="8"/>
        <v>平</v>
      </c>
      <c r="Q581" s="11" t="str">
        <f t="shared" si="8"/>
        <v>负</v>
      </c>
    </row>
    <row r="582" spans="4:17" customFormat="1" hidden="1" x14ac:dyDescent="0.15">
      <c r="D582" t="s">
        <v>6</v>
      </c>
      <c r="E582" s="1">
        <v>255730</v>
      </c>
      <c r="F582" s="1">
        <v>255730</v>
      </c>
      <c r="G582" s="8">
        <v>42639</v>
      </c>
      <c r="H582" s="1" t="s">
        <v>40</v>
      </c>
      <c r="I582" s="1">
        <v>1</v>
      </c>
      <c r="J582" s="1">
        <v>1</v>
      </c>
      <c r="K582" s="1">
        <v>0</v>
      </c>
      <c r="L582" s="1" t="s">
        <v>54</v>
      </c>
      <c r="M582" s="1">
        <v>1</v>
      </c>
      <c r="N582" s="1">
        <v>1</v>
      </c>
      <c r="O582" s="1">
        <v>0</v>
      </c>
      <c r="P582" s="11" t="str">
        <f t="shared" si="8"/>
        <v>平</v>
      </c>
      <c r="Q582" s="11" t="str">
        <f t="shared" si="8"/>
        <v>平</v>
      </c>
    </row>
    <row r="583" spans="4:17" customFormat="1" hidden="1" x14ac:dyDescent="0.15">
      <c r="D583" t="s">
        <v>6</v>
      </c>
      <c r="E583" s="1">
        <v>255731</v>
      </c>
      <c r="F583" s="1">
        <v>255731</v>
      </c>
      <c r="G583" s="8">
        <v>42639</v>
      </c>
      <c r="H583" s="1" t="s">
        <v>36</v>
      </c>
      <c r="I583" s="1">
        <v>0</v>
      </c>
      <c r="J583" s="1">
        <v>1</v>
      </c>
      <c r="K583" s="1">
        <v>0</v>
      </c>
      <c r="L583" s="1" t="s">
        <v>48</v>
      </c>
      <c r="M583" s="1">
        <v>0</v>
      </c>
      <c r="N583" s="1">
        <v>0</v>
      </c>
      <c r="O583" s="1">
        <v>0</v>
      </c>
      <c r="P583" s="11" t="str">
        <f t="shared" si="8"/>
        <v>平</v>
      </c>
      <c r="Q583" s="11" t="str">
        <f t="shared" si="8"/>
        <v>胜</v>
      </c>
    </row>
    <row r="584" spans="4:17" customFormat="1" hidden="1" x14ac:dyDescent="0.15">
      <c r="D584" t="s">
        <v>6</v>
      </c>
      <c r="E584" s="1">
        <v>255732</v>
      </c>
      <c r="F584" s="1">
        <v>255732</v>
      </c>
      <c r="G584" s="8">
        <v>42638.999305555553</v>
      </c>
      <c r="H584" s="1" t="s">
        <v>49</v>
      </c>
      <c r="I584" s="1">
        <v>0</v>
      </c>
      <c r="J584" s="1">
        <v>0</v>
      </c>
      <c r="K584" s="1">
        <v>0</v>
      </c>
      <c r="L584" s="1" t="s">
        <v>43</v>
      </c>
      <c r="M584" s="1">
        <v>1</v>
      </c>
      <c r="N584" s="1">
        <v>1</v>
      </c>
      <c r="O584" s="1">
        <v>0</v>
      </c>
      <c r="P584" s="11" t="str">
        <f t="shared" si="8"/>
        <v>负</v>
      </c>
      <c r="Q584" s="11" t="str">
        <f t="shared" si="8"/>
        <v>负</v>
      </c>
    </row>
    <row r="585" spans="4:17" customFormat="1" hidden="1" x14ac:dyDescent="0.15">
      <c r="D585" t="s">
        <v>6</v>
      </c>
      <c r="E585" s="1">
        <v>255733</v>
      </c>
      <c r="F585" s="1">
        <v>255733</v>
      </c>
      <c r="G585" s="8">
        <v>42639.083333333336</v>
      </c>
      <c r="H585" s="1" t="s">
        <v>46</v>
      </c>
      <c r="I585" s="1">
        <v>1</v>
      </c>
      <c r="J585" s="1">
        <v>1</v>
      </c>
      <c r="K585" s="1">
        <v>0</v>
      </c>
      <c r="L585" s="1" t="s">
        <v>53</v>
      </c>
      <c r="M585" s="1">
        <v>0</v>
      </c>
      <c r="N585" s="1">
        <v>0</v>
      </c>
      <c r="O585" s="1">
        <v>0</v>
      </c>
      <c r="P585" s="11" t="str">
        <f t="shared" si="8"/>
        <v>胜</v>
      </c>
      <c r="Q585" s="11" t="str">
        <f t="shared" si="8"/>
        <v>胜</v>
      </c>
    </row>
    <row r="586" spans="4:17" customFormat="1" hidden="1" x14ac:dyDescent="0.15">
      <c r="D586" t="s">
        <v>6</v>
      </c>
      <c r="E586" s="1">
        <v>255734</v>
      </c>
      <c r="F586" s="1">
        <v>255734</v>
      </c>
      <c r="G586" s="8">
        <v>42640.041666666664</v>
      </c>
      <c r="H586" s="1" t="s">
        <v>42</v>
      </c>
      <c r="I586" s="1">
        <v>0</v>
      </c>
      <c r="J586" s="1">
        <v>1</v>
      </c>
      <c r="K586" s="1">
        <v>0</v>
      </c>
      <c r="L586" s="1" t="s">
        <v>32</v>
      </c>
      <c r="M586" s="1">
        <v>0</v>
      </c>
      <c r="N586" s="1">
        <v>0</v>
      </c>
      <c r="O586" s="1">
        <v>0</v>
      </c>
      <c r="P586" s="11" t="str">
        <f t="shared" si="8"/>
        <v>平</v>
      </c>
      <c r="Q586" s="11" t="str">
        <f t="shared" si="8"/>
        <v>胜</v>
      </c>
    </row>
    <row r="587" spans="4:17" x14ac:dyDescent="0.15">
      <c r="D587" s="2" t="s">
        <v>6</v>
      </c>
      <c r="E587" s="6">
        <v>258649</v>
      </c>
      <c r="F587" s="6">
        <v>258649</v>
      </c>
      <c r="G587" s="24">
        <v>42644.041666666664</v>
      </c>
      <c r="H587" s="6" t="s">
        <v>32</v>
      </c>
      <c r="I587" s="6">
        <v>0</v>
      </c>
      <c r="J587" s="6">
        <v>4</v>
      </c>
      <c r="K587" s="6">
        <v>0</v>
      </c>
      <c r="L587" s="6" t="s">
        <v>40</v>
      </c>
      <c r="M587" s="6">
        <v>1</v>
      </c>
      <c r="N587" s="6">
        <v>2</v>
      </c>
      <c r="O587" s="6">
        <v>0</v>
      </c>
      <c r="P587" s="11" t="str">
        <f t="shared" si="8"/>
        <v>负</v>
      </c>
      <c r="Q587" s="11" t="str">
        <f t="shared" si="8"/>
        <v>胜</v>
      </c>
    </row>
    <row r="588" spans="4:17" customFormat="1" hidden="1" x14ac:dyDescent="0.15">
      <c r="D588" t="s">
        <v>6</v>
      </c>
      <c r="E588" s="1">
        <v>258650</v>
      </c>
      <c r="F588" s="1">
        <v>258650</v>
      </c>
      <c r="G588" s="8">
        <v>42644.895833333336</v>
      </c>
      <c r="H588" s="1" t="s">
        <v>42</v>
      </c>
      <c r="I588" s="1">
        <v>0</v>
      </c>
      <c r="J588" s="1">
        <v>1</v>
      </c>
      <c r="K588" s="1">
        <v>0</v>
      </c>
      <c r="L588" s="1" t="s">
        <v>44</v>
      </c>
      <c r="M588" s="1">
        <v>1</v>
      </c>
      <c r="N588" s="1">
        <v>2</v>
      </c>
      <c r="O588" s="1">
        <v>0</v>
      </c>
      <c r="P588" s="11" t="str">
        <f t="shared" si="8"/>
        <v>负</v>
      </c>
      <c r="Q588" s="11" t="str">
        <f t="shared" si="8"/>
        <v>负</v>
      </c>
    </row>
    <row r="589" spans="4:17" customFormat="1" hidden="1" x14ac:dyDescent="0.15">
      <c r="D589" t="s">
        <v>6</v>
      </c>
      <c r="E589" s="1">
        <v>258651</v>
      </c>
      <c r="F589" s="1">
        <v>258651</v>
      </c>
      <c r="G589" s="8">
        <v>42645</v>
      </c>
      <c r="H589" s="1" t="s">
        <v>35</v>
      </c>
      <c r="I589" s="1">
        <v>0</v>
      </c>
      <c r="J589" s="1">
        <v>0</v>
      </c>
      <c r="K589" s="1">
        <v>0</v>
      </c>
      <c r="L589" s="1" t="s">
        <v>46</v>
      </c>
      <c r="M589" s="1">
        <v>0</v>
      </c>
      <c r="N589" s="1">
        <v>0</v>
      </c>
      <c r="O589" s="1">
        <v>0</v>
      </c>
      <c r="P589" s="11" t="str">
        <f t="shared" ref="P589:Q652" si="9">IF(I589=M589,"平",IF(I589&gt;M589,"胜","负"))</f>
        <v>平</v>
      </c>
      <c r="Q589" s="11" t="str">
        <f t="shared" si="9"/>
        <v>平</v>
      </c>
    </row>
    <row r="590" spans="4:17" customFormat="1" hidden="1" x14ac:dyDescent="0.15">
      <c r="D590" t="s">
        <v>6</v>
      </c>
      <c r="E590" s="1">
        <v>258652</v>
      </c>
      <c r="F590" s="1">
        <v>258652</v>
      </c>
      <c r="G590" s="8">
        <v>42645.895138888889</v>
      </c>
      <c r="H590" s="1" t="s">
        <v>48</v>
      </c>
      <c r="I590" s="1">
        <v>0</v>
      </c>
      <c r="J590" s="1">
        <v>1</v>
      </c>
      <c r="K590" s="1">
        <v>0</v>
      </c>
      <c r="L590" s="1" t="s">
        <v>41</v>
      </c>
      <c r="M590" s="1">
        <v>0</v>
      </c>
      <c r="N590" s="1">
        <v>1</v>
      </c>
      <c r="O590" s="1">
        <v>0</v>
      </c>
      <c r="P590" s="11" t="str">
        <f t="shared" si="9"/>
        <v>平</v>
      </c>
      <c r="Q590" s="11" t="str">
        <f t="shared" si="9"/>
        <v>平</v>
      </c>
    </row>
    <row r="591" spans="4:17" customFormat="1" hidden="1" x14ac:dyDescent="0.15">
      <c r="D591" t="s">
        <v>6</v>
      </c>
      <c r="E591" s="1">
        <v>258653</v>
      </c>
      <c r="F591" s="1">
        <v>258653</v>
      </c>
      <c r="G591" s="8">
        <v>42645.999305555553</v>
      </c>
      <c r="H591" s="1" t="s">
        <v>43</v>
      </c>
      <c r="I591" s="1">
        <v>0</v>
      </c>
      <c r="J591" s="1">
        <v>1</v>
      </c>
      <c r="K591" s="1">
        <v>0</v>
      </c>
      <c r="L591" s="1" t="s">
        <v>54</v>
      </c>
      <c r="M591" s="1">
        <v>0</v>
      </c>
      <c r="N591" s="1">
        <v>0</v>
      </c>
      <c r="O591" s="1">
        <v>0</v>
      </c>
      <c r="P591" s="11" t="str">
        <f t="shared" si="9"/>
        <v>平</v>
      </c>
      <c r="Q591" s="11" t="str">
        <f t="shared" si="9"/>
        <v>胜</v>
      </c>
    </row>
    <row r="592" spans="4:17" customFormat="1" hidden="1" x14ac:dyDescent="0.15">
      <c r="D592" t="s">
        <v>6</v>
      </c>
      <c r="E592" s="1">
        <v>258654</v>
      </c>
      <c r="F592" s="1">
        <v>258654</v>
      </c>
      <c r="G592" s="8">
        <v>42646</v>
      </c>
      <c r="H592" s="1" t="s">
        <v>37</v>
      </c>
      <c r="I592" s="1">
        <v>3</v>
      </c>
      <c r="J592" s="1">
        <v>3</v>
      </c>
      <c r="K592" s="1">
        <v>0</v>
      </c>
      <c r="L592" s="1" t="s">
        <v>49</v>
      </c>
      <c r="M592" s="1">
        <v>1</v>
      </c>
      <c r="N592" s="1">
        <v>1</v>
      </c>
      <c r="O592" s="1">
        <v>0</v>
      </c>
      <c r="P592" s="11" t="str">
        <f t="shared" si="9"/>
        <v>胜</v>
      </c>
      <c r="Q592" s="11" t="str">
        <f t="shared" si="9"/>
        <v>胜</v>
      </c>
    </row>
    <row r="593" spans="4:17" customFormat="1" hidden="1" x14ac:dyDescent="0.15">
      <c r="D593" t="s">
        <v>6</v>
      </c>
      <c r="E593" s="1">
        <v>258655</v>
      </c>
      <c r="F593" s="1">
        <v>258655</v>
      </c>
      <c r="G593" s="8">
        <v>42645.999305555553</v>
      </c>
      <c r="H593" s="1" t="s">
        <v>53</v>
      </c>
      <c r="I593" s="1">
        <v>0</v>
      </c>
      <c r="J593" s="1">
        <v>0</v>
      </c>
      <c r="K593" s="1">
        <v>0</v>
      </c>
      <c r="L593" s="1" t="s">
        <v>38</v>
      </c>
      <c r="M593" s="1">
        <v>0</v>
      </c>
      <c r="N593" s="1">
        <v>2</v>
      </c>
      <c r="O593" s="1">
        <v>0</v>
      </c>
      <c r="P593" s="11" t="str">
        <f t="shared" si="9"/>
        <v>平</v>
      </c>
      <c r="Q593" s="11" t="str">
        <f t="shared" si="9"/>
        <v>负</v>
      </c>
    </row>
    <row r="594" spans="4:17" customFormat="1" hidden="1" x14ac:dyDescent="0.15">
      <c r="D594" t="s">
        <v>6</v>
      </c>
      <c r="E594" s="1">
        <v>258656</v>
      </c>
      <c r="F594" s="1">
        <v>258656</v>
      </c>
      <c r="G594" s="8">
        <v>42646.083333333336</v>
      </c>
      <c r="H594" s="1" t="s">
        <v>45</v>
      </c>
      <c r="I594" s="1">
        <v>1</v>
      </c>
      <c r="J594" s="1">
        <v>2</v>
      </c>
      <c r="K594" s="1">
        <v>0</v>
      </c>
      <c r="L594" s="1" t="s">
        <v>36</v>
      </c>
      <c r="M594" s="1">
        <v>0</v>
      </c>
      <c r="N594" s="1">
        <v>0</v>
      </c>
      <c r="O594" s="1">
        <v>0</v>
      </c>
      <c r="P594" s="11" t="str">
        <f t="shared" si="9"/>
        <v>胜</v>
      </c>
      <c r="Q594" s="11" t="str">
        <f t="shared" si="9"/>
        <v>胜</v>
      </c>
    </row>
    <row r="595" spans="4:17" customFormat="1" hidden="1" x14ac:dyDescent="0.15">
      <c r="D595" t="s">
        <v>6</v>
      </c>
      <c r="E595" s="1">
        <v>261020</v>
      </c>
      <c r="F595" s="1">
        <v>261020</v>
      </c>
      <c r="G595" s="8">
        <v>42658.041666666664</v>
      </c>
      <c r="H595" s="1" t="s">
        <v>40</v>
      </c>
      <c r="I595" s="1">
        <v>1</v>
      </c>
      <c r="J595" s="1">
        <v>1</v>
      </c>
      <c r="K595" s="1">
        <v>0</v>
      </c>
      <c r="L595" s="1" t="s">
        <v>45</v>
      </c>
      <c r="M595" s="1">
        <v>0</v>
      </c>
      <c r="N595" s="1">
        <v>1</v>
      </c>
      <c r="O595" s="1">
        <v>0</v>
      </c>
      <c r="P595" s="11" t="str">
        <f t="shared" si="9"/>
        <v>胜</v>
      </c>
      <c r="Q595" s="11" t="str">
        <f t="shared" si="9"/>
        <v>平</v>
      </c>
    </row>
    <row r="596" spans="4:17" customFormat="1" hidden="1" x14ac:dyDescent="0.15">
      <c r="D596" t="s">
        <v>6</v>
      </c>
      <c r="E596" s="1">
        <v>261021</v>
      </c>
      <c r="F596" s="1">
        <v>261021</v>
      </c>
      <c r="G596" s="8">
        <v>42658.895833333336</v>
      </c>
      <c r="H596" s="1" t="s">
        <v>43</v>
      </c>
      <c r="I596" s="1">
        <v>0</v>
      </c>
      <c r="J596" s="1">
        <v>1</v>
      </c>
      <c r="K596" s="1">
        <v>0</v>
      </c>
      <c r="L596" s="1" t="s">
        <v>32</v>
      </c>
      <c r="M596" s="1">
        <v>0</v>
      </c>
      <c r="N596" s="1">
        <v>0</v>
      </c>
      <c r="O596" s="1">
        <v>0</v>
      </c>
      <c r="P596" s="11" t="str">
        <f t="shared" si="9"/>
        <v>平</v>
      </c>
      <c r="Q596" s="11" t="str">
        <f t="shared" si="9"/>
        <v>胜</v>
      </c>
    </row>
    <row r="597" spans="4:17" customFormat="1" hidden="1" x14ac:dyDescent="0.15">
      <c r="D597" t="s">
        <v>6</v>
      </c>
      <c r="E597" s="1">
        <v>261022</v>
      </c>
      <c r="F597" s="1">
        <v>261022</v>
      </c>
      <c r="G597" s="8">
        <v>42659</v>
      </c>
      <c r="H597" s="1" t="s">
        <v>41</v>
      </c>
      <c r="I597" s="1">
        <v>1</v>
      </c>
      <c r="J597" s="1">
        <v>2</v>
      </c>
      <c r="K597" s="1">
        <v>0</v>
      </c>
      <c r="L597" s="1" t="s">
        <v>37</v>
      </c>
      <c r="M597" s="1">
        <v>1</v>
      </c>
      <c r="N597" s="1">
        <v>2</v>
      </c>
      <c r="O597" s="1">
        <v>0</v>
      </c>
      <c r="P597" s="11" t="str">
        <f t="shared" si="9"/>
        <v>平</v>
      </c>
      <c r="Q597" s="11" t="str">
        <f t="shared" si="9"/>
        <v>平</v>
      </c>
    </row>
    <row r="598" spans="4:17" customFormat="1" hidden="1" x14ac:dyDescent="0.15">
      <c r="D598" t="s">
        <v>6</v>
      </c>
      <c r="E598" s="1">
        <v>261023</v>
      </c>
      <c r="F598" s="1">
        <v>261023</v>
      </c>
      <c r="G598" s="8">
        <v>42659.895833333336</v>
      </c>
      <c r="H598" s="1" t="s">
        <v>36</v>
      </c>
      <c r="I598" s="1">
        <v>2</v>
      </c>
      <c r="J598" s="1">
        <v>2</v>
      </c>
      <c r="K598" s="1">
        <v>0</v>
      </c>
      <c r="L598" s="1" t="s">
        <v>53</v>
      </c>
      <c r="M598" s="1">
        <v>1</v>
      </c>
      <c r="N598" s="1">
        <v>1</v>
      </c>
      <c r="O598" s="1">
        <v>0</v>
      </c>
      <c r="P598" s="11" t="str">
        <f t="shared" si="9"/>
        <v>胜</v>
      </c>
      <c r="Q598" s="11" t="str">
        <f t="shared" si="9"/>
        <v>胜</v>
      </c>
    </row>
    <row r="599" spans="4:17" customFormat="1" hidden="1" x14ac:dyDescent="0.15">
      <c r="D599" t="s">
        <v>6</v>
      </c>
      <c r="E599" s="1">
        <v>261024</v>
      </c>
      <c r="F599" s="1">
        <v>261024</v>
      </c>
      <c r="G599" s="8">
        <v>42660.000694444447</v>
      </c>
      <c r="H599" s="1" t="s">
        <v>38</v>
      </c>
      <c r="I599" s="1">
        <v>0</v>
      </c>
      <c r="J599" s="1">
        <v>0</v>
      </c>
      <c r="K599" s="1">
        <v>0</v>
      </c>
      <c r="L599" s="1" t="s">
        <v>35</v>
      </c>
      <c r="M599" s="1">
        <v>0</v>
      </c>
      <c r="N599" s="1">
        <v>0</v>
      </c>
      <c r="O599" s="1">
        <v>0</v>
      </c>
      <c r="P599" s="11" t="str">
        <f t="shared" si="9"/>
        <v>平</v>
      </c>
      <c r="Q599" s="11" t="str">
        <f t="shared" si="9"/>
        <v>平</v>
      </c>
    </row>
    <row r="600" spans="4:17" customFormat="1" hidden="1" x14ac:dyDescent="0.15">
      <c r="D600" t="s">
        <v>6</v>
      </c>
      <c r="E600" s="1">
        <v>261025</v>
      </c>
      <c r="F600" s="1">
        <v>261025</v>
      </c>
      <c r="G600" s="8">
        <v>42660</v>
      </c>
      <c r="H600" s="1" t="s">
        <v>54</v>
      </c>
      <c r="I600" s="1">
        <v>2</v>
      </c>
      <c r="J600" s="1">
        <v>2</v>
      </c>
      <c r="K600" s="1">
        <v>0</v>
      </c>
      <c r="L600" s="1" t="s">
        <v>48</v>
      </c>
      <c r="M600" s="1">
        <v>0</v>
      </c>
      <c r="N600" s="1">
        <v>1</v>
      </c>
      <c r="O600" s="1">
        <v>0</v>
      </c>
      <c r="P600" s="11" t="str">
        <f t="shared" si="9"/>
        <v>胜</v>
      </c>
      <c r="Q600" s="11" t="str">
        <f t="shared" si="9"/>
        <v>胜</v>
      </c>
    </row>
    <row r="601" spans="4:17" customFormat="1" hidden="1" x14ac:dyDescent="0.15">
      <c r="D601" t="s">
        <v>6</v>
      </c>
      <c r="E601" s="1">
        <v>261026</v>
      </c>
      <c r="F601" s="1">
        <v>261026</v>
      </c>
      <c r="G601" s="8">
        <v>42660</v>
      </c>
      <c r="H601" s="1" t="s">
        <v>46</v>
      </c>
      <c r="I601" s="1">
        <v>0</v>
      </c>
      <c r="J601" s="1">
        <v>1</v>
      </c>
      <c r="K601" s="1">
        <v>0</v>
      </c>
      <c r="L601" s="1" t="s">
        <v>44</v>
      </c>
      <c r="M601" s="1">
        <v>1</v>
      </c>
      <c r="N601" s="1">
        <v>2</v>
      </c>
      <c r="O601" s="1">
        <v>0</v>
      </c>
      <c r="P601" s="11" t="str">
        <f t="shared" si="9"/>
        <v>负</v>
      </c>
      <c r="Q601" s="11" t="str">
        <f t="shared" si="9"/>
        <v>负</v>
      </c>
    </row>
    <row r="602" spans="4:17" customFormat="1" hidden="1" x14ac:dyDescent="0.15">
      <c r="D602" t="s">
        <v>6</v>
      </c>
      <c r="E602" s="1">
        <v>261027</v>
      </c>
      <c r="F602" s="1">
        <v>261027</v>
      </c>
      <c r="G602" s="8">
        <v>42660.083333333336</v>
      </c>
      <c r="H602" s="1" t="s">
        <v>49</v>
      </c>
      <c r="I602" s="1">
        <v>0</v>
      </c>
      <c r="J602" s="1">
        <v>1</v>
      </c>
      <c r="K602" s="1">
        <v>0</v>
      </c>
      <c r="L602" s="1" t="s">
        <v>42</v>
      </c>
      <c r="M602" s="1">
        <v>1</v>
      </c>
      <c r="N602" s="1">
        <v>1</v>
      </c>
      <c r="O602" s="1">
        <v>0</v>
      </c>
      <c r="P602" s="11" t="str">
        <f t="shared" si="9"/>
        <v>负</v>
      </c>
      <c r="Q602" s="11" t="str">
        <f t="shared" si="9"/>
        <v>平</v>
      </c>
    </row>
    <row r="603" spans="4:17" customFormat="1" hidden="1" x14ac:dyDescent="0.15">
      <c r="D603" t="s">
        <v>6</v>
      </c>
      <c r="E603" s="1">
        <v>265522</v>
      </c>
      <c r="F603" s="1">
        <v>265522</v>
      </c>
      <c r="G603" s="8">
        <v>42665.041666666664</v>
      </c>
      <c r="H603" s="1" t="s">
        <v>45</v>
      </c>
      <c r="I603" s="1">
        <v>1</v>
      </c>
      <c r="J603" s="1">
        <v>2</v>
      </c>
      <c r="K603" s="1">
        <v>0</v>
      </c>
      <c r="L603" s="1" t="s">
        <v>43</v>
      </c>
      <c r="M603" s="1">
        <v>1</v>
      </c>
      <c r="N603" s="1">
        <v>3</v>
      </c>
      <c r="O603" s="1">
        <v>0</v>
      </c>
      <c r="P603" s="11" t="str">
        <f t="shared" si="9"/>
        <v>平</v>
      </c>
      <c r="Q603" s="11" t="str">
        <f t="shared" si="9"/>
        <v>负</v>
      </c>
    </row>
    <row r="604" spans="4:17" customFormat="1" hidden="1" x14ac:dyDescent="0.15">
      <c r="D604" t="s">
        <v>6</v>
      </c>
      <c r="E604" s="1">
        <v>265709</v>
      </c>
      <c r="F604" s="1">
        <v>265709</v>
      </c>
      <c r="G604" s="8">
        <v>42665.895833333336</v>
      </c>
      <c r="H604" s="1" t="s">
        <v>42</v>
      </c>
      <c r="I604" s="1">
        <v>1</v>
      </c>
      <c r="J604" s="1">
        <v>1</v>
      </c>
      <c r="K604" s="1">
        <v>0</v>
      </c>
      <c r="L604" s="1" t="s">
        <v>41</v>
      </c>
      <c r="M604" s="1">
        <v>0</v>
      </c>
      <c r="N604" s="1">
        <v>2</v>
      </c>
      <c r="O604" s="1">
        <v>0</v>
      </c>
      <c r="P604" s="11" t="str">
        <f t="shared" si="9"/>
        <v>胜</v>
      </c>
      <c r="Q604" s="11" t="str">
        <f t="shared" si="9"/>
        <v>负</v>
      </c>
    </row>
    <row r="605" spans="4:17" customFormat="1" hidden="1" x14ac:dyDescent="0.15">
      <c r="D605" t="s">
        <v>6</v>
      </c>
      <c r="E605" s="1">
        <v>265710</v>
      </c>
      <c r="F605" s="1">
        <v>265710</v>
      </c>
      <c r="G605" s="8">
        <v>42666.001388888886</v>
      </c>
      <c r="H605" s="1" t="s">
        <v>46</v>
      </c>
      <c r="I605" s="1">
        <v>1</v>
      </c>
      <c r="J605" s="1">
        <v>2</v>
      </c>
      <c r="K605" s="1">
        <v>0</v>
      </c>
      <c r="L605" s="1" t="s">
        <v>38</v>
      </c>
      <c r="M605" s="1">
        <v>1</v>
      </c>
      <c r="N605" s="1">
        <v>1</v>
      </c>
      <c r="O605" s="1">
        <v>0</v>
      </c>
      <c r="P605" s="11" t="str">
        <f t="shared" si="9"/>
        <v>平</v>
      </c>
      <c r="Q605" s="11" t="str">
        <f t="shared" si="9"/>
        <v>胜</v>
      </c>
    </row>
    <row r="606" spans="4:17" customFormat="1" hidden="1" x14ac:dyDescent="0.15">
      <c r="D606" t="s">
        <v>6</v>
      </c>
      <c r="E606" s="1">
        <v>265711</v>
      </c>
      <c r="F606" s="1">
        <v>265711</v>
      </c>
      <c r="G606" s="8">
        <v>42666.895138888889</v>
      </c>
      <c r="H606" s="1" t="s">
        <v>53</v>
      </c>
      <c r="I606" s="1">
        <v>0</v>
      </c>
      <c r="J606" s="1">
        <v>0</v>
      </c>
      <c r="K606" s="1">
        <v>0</v>
      </c>
      <c r="L606" s="1" t="s">
        <v>49</v>
      </c>
      <c r="M606" s="1">
        <v>0</v>
      </c>
      <c r="N606" s="1">
        <v>3</v>
      </c>
      <c r="O606" s="1">
        <v>0</v>
      </c>
      <c r="P606" s="11" t="str">
        <f t="shared" si="9"/>
        <v>平</v>
      </c>
      <c r="Q606" s="11" t="str">
        <f t="shared" si="9"/>
        <v>负</v>
      </c>
    </row>
    <row r="607" spans="4:17" customFormat="1" hidden="1" x14ac:dyDescent="0.15">
      <c r="D607" t="s">
        <v>6</v>
      </c>
      <c r="E607" s="1">
        <v>265712</v>
      </c>
      <c r="F607" s="1">
        <v>265712</v>
      </c>
      <c r="G607" s="8">
        <v>42666.999305555553</v>
      </c>
      <c r="H607" s="1" t="s">
        <v>48</v>
      </c>
      <c r="I607" s="1">
        <v>1</v>
      </c>
      <c r="J607" s="1">
        <v>2</v>
      </c>
      <c r="K607" s="1">
        <v>0</v>
      </c>
      <c r="L607" s="1" t="s">
        <v>32</v>
      </c>
      <c r="M607" s="1">
        <v>1</v>
      </c>
      <c r="N607" s="1">
        <v>1</v>
      </c>
      <c r="O607" s="1">
        <v>0</v>
      </c>
      <c r="P607" s="11" t="str">
        <f t="shared" si="9"/>
        <v>平</v>
      </c>
      <c r="Q607" s="11" t="str">
        <f t="shared" si="9"/>
        <v>胜</v>
      </c>
    </row>
    <row r="608" spans="4:17" customFormat="1" hidden="1" x14ac:dyDescent="0.15">
      <c r="D608" t="s">
        <v>6</v>
      </c>
      <c r="E608" s="1">
        <v>265713</v>
      </c>
      <c r="F608" s="1">
        <v>265713</v>
      </c>
      <c r="G608" s="8">
        <v>42667.000694444447</v>
      </c>
      <c r="H608" s="1" t="s">
        <v>44</v>
      </c>
      <c r="I608" s="1">
        <v>0</v>
      </c>
      <c r="J608" s="1">
        <v>1</v>
      </c>
      <c r="K608" s="1">
        <v>0</v>
      </c>
      <c r="L608" s="1" t="s">
        <v>36</v>
      </c>
      <c r="M608" s="1">
        <v>1</v>
      </c>
      <c r="N608" s="1">
        <v>1</v>
      </c>
      <c r="O608" s="1">
        <v>0</v>
      </c>
      <c r="P608" s="11" t="str">
        <f t="shared" si="9"/>
        <v>负</v>
      </c>
      <c r="Q608" s="11" t="str">
        <f t="shared" si="9"/>
        <v>平</v>
      </c>
    </row>
    <row r="609" spans="4:17" customFormat="1" hidden="1" x14ac:dyDescent="0.15">
      <c r="D609" t="s">
        <v>6</v>
      </c>
      <c r="E609" s="1">
        <v>265714</v>
      </c>
      <c r="F609" s="1">
        <v>265714</v>
      </c>
      <c r="G609" s="8">
        <v>42667</v>
      </c>
      <c r="H609" s="1" t="s">
        <v>37</v>
      </c>
      <c r="I609" s="1">
        <v>1</v>
      </c>
      <c r="J609" s="1">
        <v>1</v>
      </c>
      <c r="K609" s="1">
        <v>0</v>
      </c>
      <c r="L609" s="1" t="s">
        <v>54</v>
      </c>
      <c r="M609" s="1">
        <v>1</v>
      </c>
      <c r="N609" s="1">
        <v>2</v>
      </c>
      <c r="O609" s="1">
        <v>0</v>
      </c>
      <c r="P609" s="11" t="str">
        <f t="shared" si="9"/>
        <v>平</v>
      </c>
      <c r="Q609" s="11" t="str">
        <f t="shared" si="9"/>
        <v>负</v>
      </c>
    </row>
    <row r="610" spans="4:17" customFormat="1" hidden="1" x14ac:dyDescent="0.15">
      <c r="D610" t="s">
        <v>6</v>
      </c>
      <c r="E610" s="1">
        <v>265715</v>
      </c>
      <c r="F610" s="1">
        <v>265715</v>
      </c>
      <c r="G610" s="8">
        <v>42667.083333333336</v>
      </c>
      <c r="H610" s="1" t="s">
        <v>35</v>
      </c>
      <c r="I610" s="1">
        <v>0</v>
      </c>
      <c r="J610" s="1">
        <v>0</v>
      </c>
      <c r="K610" s="1">
        <v>0</v>
      </c>
      <c r="L610" s="1" t="s">
        <v>40</v>
      </c>
      <c r="M610" s="1">
        <v>0</v>
      </c>
      <c r="N610" s="1">
        <v>1</v>
      </c>
      <c r="O610" s="1">
        <v>0</v>
      </c>
      <c r="P610" s="11" t="str">
        <f t="shared" si="9"/>
        <v>平</v>
      </c>
      <c r="Q610" s="11" t="str">
        <f t="shared" si="9"/>
        <v>负</v>
      </c>
    </row>
    <row r="611" spans="4:17" customFormat="1" hidden="1" x14ac:dyDescent="0.15">
      <c r="D611" t="s">
        <v>6</v>
      </c>
      <c r="E611" s="1">
        <v>268032</v>
      </c>
      <c r="F611" s="1">
        <v>268032</v>
      </c>
      <c r="G611" s="8">
        <v>42674.041666666664</v>
      </c>
      <c r="H611" s="1" t="s">
        <v>40</v>
      </c>
      <c r="I611" s="1">
        <v>0</v>
      </c>
      <c r="J611" s="1">
        <v>2</v>
      </c>
      <c r="K611" s="1">
        <v>0</v>
      </c>
      <c r="L611" s="1" t="s">
        <v>37</v>
      </c>
      <c r="M611" s="1">
        <v>0</v>
      </c>
      <c r="N611" s="1">
        <v>0</v>
      </c>
      <c r="O611" s="1">
        <v>0</v>
      </c>
      <c r="P611" s="11" t="str">
        <f t="shared" si="9"/>
        <v>平</v>
      </c>
      <c r="Q611" s="11" t="str">
        <f t="shared" si="9"/>
        <v>胜</v>
      </c>
    </row>
    <row r="612" spans="4:17" customFormat="1" hidden="1" x14ac:dyDescent="0.15">
      <c r="D612" t="s">
        <v>6</v>
      </c>
      <c r="E612" s="1">
        <v>268033</v>
      </c>
      <c r="F612" s="1">
        <v>268033</v>
      </c>
      <c r="G612" s="8">
        <v>42674.041666666664</v>
      </c>
      <c r="H612" s="1" t="s">
        <v>36</v>
      </c>
      <c r="I612" s="1">
        <v>0</v>
      </c>
      <c r="J612" s="1">
        <v>1</v>
      </c>
      <c r="K612" s="1">
        <v>0</v>
      </c>
      <c r="L612" s="1" t="s">
        <v>46</v>
      </c>
      <c r="M612" s="1">
        <v>0</v>
      </c>
      <c r="N612" s="1">
        <v>2</v>
      </c>
      <c r="O612" s="1">
        <v>0</v>
      </c>
      <c r="P612" s="11" t="str">
        <f t="shared" si="9"/>
        <v>平</v>
      </c>
      <c r="Q612" s="11" t="str">
        <f t="shared" si="9"/>
        <v>负</v>
      </c>
    </row>
    <row r="613" spans="4:17" customFormat="1" hidden="1" x14ac:dyDescent="0.15">
      <c r="D613" t="s">
        <v>6</v>
      </c>
      <c r="E613" s="1">
        <v>268034</v>
      </c>
      <c r="F613" s="1">
        <v>268034</v>
      </c>
      <c r="G613" s="8">
        <v>42674.041666666664</v>
      </c>
      <c r="H613" s="1" t="s">
        <v>54</v>
      </c>
      <c r="I613" s="1">
        <v>0</v>
      </c>
      <c r="J613" s="1">
        <v>3</v>
      </c>
      <c r="K613" s="1">
        <v>0</v>
      </c>
      <c r="L613" s="1" t="s">
        <v>35</v>
      </c>
      <c r="M613" s="1">
        <v>1</v>
      </c>
      <c r="N613" s="1">
        <v>1</v>
      </c>
      <c r="O613" s="1">
        <v>0</v>
      </c>
      <c r="P613" s="11" t="str">
        <f t="shared" si="9"/>
        <v>负</v>
      </c>
      <c r="Q613" s="11" t="str">
        <f t="shared" si="9"/>
        <v>胜</v>
      </c>
    </row>
    <row r="614" spans="4:17" x14ac:dyDescent="0.15">
      <c r="D614" s="2" t="s">
        <v>6</v>
      </c>
      <c r="E614" s="6">
        <v>268035</v>
      </c>
      <c r="F614" s="6">
        <v>268035</v>
      </c>
      <c r="G614" s="24">
        <v>42674.041666666664</v>
      </c>
      <c r="H614" s="6" t="s">
        <v>32</v>
      </c>
      <c r="I614" s="6">
        <v>0</v>
      </c>
      <c r="J614" s="6">
        <v>0</v>
      </c>
      <c r="K614" s="6">
        <v>0</v>
      </c>
      <c r="L614" s="6" t="s">
        <v>45</v>
      </c>
      <c r="M614" s="6">
        <v>1</v>
      </c>
      <c r="N614" s="6">
        <v>2</v>
      </c>
      <c r="O614" s="6">
        <v>0</v>
      </c>
      <c r="P614" s="11" t="str">
        <f t="shared" si="9"/>
        <v>负</v>
      </c>
      <c r="Q614" s="11" t="str">
        <f t="shared" si="9"/>
        <v>负</v>
      </c>
    </row>
    <row r="615" spans="4:17" customFormat="1" hidden="1" x14ac:dyDescent="0.15">
      <c r="D615" t="s">
        <v>6</v>
      </c>
      <c r="E615" s="1">
        <v>268036</v>
      </c>
      <c r="F615" s="1">
        <v>268036</v>
      </c>
      <c r="G615" s="8">
        <v>42674.041666666664</v>
      </c>
      <c r="H615" s="1" t="s">
        <v>49</v>
      </c>
      <c r="I615" s="1">
        <v>0</v>
      </c>
      <c r="J615" s="1">
        <v>1</v>
      </c>
      <c r="K615" s="1">
        <v>0</v>
      </c>
      <c r="L615" s="1" t="s">
        <v>44</v>
      </c>
      <c r="M615" s="1">
        <v>1</v>
      </c>
      <c r="N615" s="1">
        <v>1</v>
      </c>
      <c r="O615" s="1">
        <v>0</v>
      </c>
      <c r="P615" s="11" t="str">
        <f t="shared" si="9"/>
        <v>负</v>
      </c>
      <c r="Q615" s="11" t="str">
        <f t="shared" si="9"/>
        <v>平</v>
      </c>
    </row>
    <row r="616" spans="4:17" customFormat="1" hidden="1" x14ac:dyDescent="0.15">
      <c r="D616" t="s">
        <v>6</v>
      </c>
      <c r="E616" s="1">
        <v>268037</v>
      </c>
      <c r="F616" s="1">
        <v>268037</v>
      </c>
      <c r="G616" s="8">
        <v>42674.041666666664</v>
      </c>
      <c r="H616" s="1" t="s">
        <v>38</v>
      </c>
      <c r="I616" s="1">
        <v>2</v>
      </c>
      <c r="J616" s="1">
        <v>3</v>
      </c>
      <c r="K616" s="1">
        <v>0</v>
      </c>
      <c r="L616" s="1" t="s">
        <v>42</v>
      </c>
      <c r="M616" s="1">
        <v>0</v>
      </c>
      <c r="N616" s="1">
        <v>0</v>
      </c>
      <c r="O616" s="1">
        <v>0</v>
      </c>
      <c r="P616" s="11" t="str">
        <f t="shared" si="9"/>
        <v>胜</v>
      </c>
      <c r="Q616" s="11" t="str">
        <f t="shared" si="9"/>
        <v>胜</v>
      </c>
    </row>
    <row r="617" spans="4:17" customFormat="1" hidden="1" x14ac:dyDescent="0.15">
      <c r="D617" t="s">
        <v>6</v>
      </c>
      <c r="E617" s="1">
        <v>268038</v>
      </c>
      <c r="F617" s="1">
        <v>268038</v>
      </c>
      <c r="G617" s="8">
        <v>42674.042361111111</v>
      </c>
      <c r="H617" s="1" t="s">
        <v>41</v>
      </c>
      <c r="I617" s="1">
        <v>0</v>
      </c>
      <c r="J617" s="1">
        <v>2</v>
      </c>
      <c r="K617" s="1">
        <v>0</v>
      </c>
      <c r="L617" s="1" t="s">
        <v>53</v>
      </c>
      <c r="M617" s="1">
        <v>1</v>
      </c>
      <c r="N617" s="1">
        <v>2</v>
      </c>
      <c r="O617" s="1">
        <v>0</v>
      </c>
      <c r="P617" s="11" t="str">
        <f t="shared" si="9"/>
        <v>负</v>
      </c>
      <c r="Q617" s="11" t="str">
        <f t="shared" si="9"/>
        <v>平</v>
      </c>
    </row>
    <row r="618" spans="4:17" customFormat="1" hidden="1" x14ac:dyDescent="0.15">
      <c r="D618" t="s">
        <v>6</v>
      </c>
      <c r="E618" s="1">
        <v>268039</v>
      </c>
      <c r="F618" s="1">
        <v>268039</v>
      </c>
      <c r="G618" s="8">
        <v>42674.041666666664</v>
      </c>
      <c r="H618" s="1" t="s">
        <v>43</v>
      </c>
      <c r="I618" s="1">
        <v>1</v>
      </c>
      <c r="J618" s="1">
        <v>3</v>
      </c>
      <c r="K618" s="1">
        <v>0</v>
      </c>
      <c r="L618" s="1" t="s">
        <v>48</v>
      </c>
      <c r="M618" s="1">
        <v>2</v>
      </c>
      <c r="N618" s="1">
        <v>3</v>
      </c>
      <c r="O618" s="1">
        <v>0</v>
      </c>
      <c r="P618" s="11" t="str">
        <f t="shared" si="9"/>
        <v>负</v>
      </c>
      <c r="Q618" s="11" t="str">
        <f t="shared" si="9"/>
        <v>平</v>
      </c>
    </row>
    <row r="619" spans="4:17" customFormat="1" hidden="1" x14ac:dyDescent="0.15">
      <c r="D619" t="s">
        <v>6</v>
      </c>
      <c r="E619" s="1">
        <v>270735</v>
      </c>
      <c r="F619" s="1">
        <v>270735</v>
      </c>
      <c r="G619" s="8">
        <v>42681.040972222225</v>
      </c>
      <c r="H619" s="1" t="s">
        <v>48</v>
      </c>
      <c r="I619" s="1">
        <v>1</v>
      </c>
      <c r="J619" s="1">
        <v>1</v>
      </c>
      <c r="K619" s="1">
        <v>0</v>
      </c>
      <c r="L619" s="1" t="s">
        <v>40</v>
      </c>
      <c r="M619" s="1">
        <v>1</v>
      </c>
      <c r="N619" s="1">
        <v>1</v>
      </c>
      <c r="O619" s="1">
        <v>0</v>
      </c>
      <c r="P619" s="11" t="str">
        <f t="shared" si="9"/>
        <v>平</v>
      </c>
      <c r="Q619" s="11" t="str">
        <f t="shared" si="9"/>
        <v>平</v>
      </c>
    </row>
    <row r="620" spans="4:17" customFormat="1" hidden="1" x14ac:dyDescent="0.15">
      <c r="D620" t="s">
        <v>6</v>
      </c>
      <c r="E620" s="1">
        <v>270736</v>
      </c>
      <c r="F620" s="1">
        <v>270736</v>
      </c>
      <c r="G620" s="8">
        <v>42681.041666666664</v>
      </c>
      <c r="H620" s="1" t="s">
        <v>44</v>
      </c>
      <c r="I620" s="1">
        <v>0</v>
      </c>
      <c r="J620" s="1">
        <v>1</v>
      </c>
      <c r="K620" s="1">
        <v>0</v>
      </c>
      <c r="L620" s="1" t="s">
        <v>38</v>
      </c>
      <c r="M620" s="1">
        <v>0</v>
      </c>
      <c r="N620" s="1">
        <v>0</v>
      </c>
      <c r="O620" s="1">
        <v>0</v>
      </c>
      <c r="P620" s="11" t="str">
        <f t="shared" si="9"/>
        <v>平</v>
      </c>
      <c r="Q620" s="11" t="str">
        <f t="shared" si="9"/>
        <v>胜</v>
      </c>
    </row>
    <row r="621" spans="4:17" customFormat="1" hidden="1" x14ac:dyDescent="0.15">
      <c r="D621" t="s">
        <v>6</v>
      </c>
      <c r="E621" s="1">
        <v>270737</v>
      </c>
      <c r="F621" s="1">
        <v>270737</v>
      </c>
      <c r="G621" s="8">
        <v>42681.041666666664</v>
      </c>
      <c r="H621" s="1" t="s">
        <v>42</v>
      </c>
      <c r="I621" s="1">
        <v>2</v>
      </c>
      <c r="J621" s="1">
        <v>3</v>
      </c>
      <c r="K621" s="1">
        <v>0</v>
      </c>
      <c r="L621" s="1" t="s">
        <v>36</v>
      </c>
      <c r="M621" s="1">
        <v>0</v>
      </c>
      <c r="N621" s="1">
        <v>0</v>
      </c>
      <c r="O621" s="1">
        <v>0</v>
      </c>
      <c r="P621" s="11" t="str">
        <f t="shared" si="9"/>
        <v>胜</v>
      </c>
      <c r="Q621" s="11" t="str">
        <f t="shared" si="9"/>
        <v>胜</v>
      </c>
    </row>
    <row r="622" spans="4:17" customFormat="1" hidden="1" x14ac:dyDescent="0.15">
      <c r="D622" t="s">
        <v>6</v>
      </c>
      <c r="E622" s="1">
        <v>270738</v>
      </c>
      <c r="F622" s="1">
        <v>270738</v>
      </c>
      <c r="G622" s="8">
        <v>42681.042361111111</v>
      </c>
      <c r="H622" s="1" t="s">
        <v>46</v>
      </c>
      <c r="I622" s="1">
        <v>2</v>
      </c>
      <c r="J622" s="1">
        <v>2</v>
      </c>
      <c r="K622" s="1">
        <v>0</v>
      </c>
      <c r="L622" s="1" t="s">
        <v>41</v>
      </c>
      <c r="M622" s="1">
        <v>0</v>
      </c>
      <c r="N622" s="1">
        <v>1</v>
      </c>
      <c r="O622" s="1">
        <v>0</v>
      </c>
      <c r="P622" s="11" t="str">
        <f t="shared" si="9"/>
        <v>胜</v>
      </c>
      <c r="Q622" s="11" t="str">
        <f t="shared" si="9"/>
        <v>胜</v>
      </c>
    </row>
    <row r="623" spans="4:17" customFormat="1" hidden="1" x14ac:dyDescent="0.15">
      <c r="D623" t="s">
        <v>6</v>
      </c>
      <c r="E623" s="1">
        <v>270739</v>
      </c>
      <c r="F623" s="1">
        <v>270739</v>
      </c>
      <c r="G623" s="8">
        <v>42681.042361111111</v>
      </c>
      <c r="H623" s="1" t="s">
        <v>35</v>
      </c>
      <c r="I623" s="1">
        <v>2</v>
      </c>
      <c r="J623" s="1">
        <v>2</v>
      </c>
      <c r="K623" s="1">
        <v>0</v>
      </c>
      <c r="L623" s="1" t="s">
        <v>43</v>
      </c>
      <c r="M623" s="1">
        <v>3</v>
      </c>
      <c r="N623" s="1">
        <v>4</v>
      </c>
      <c r="O623" s="1">
        <v>0</v>
      </c>
      <c r="P623" s="11" t="str">
        <f t="shared" si="9"/>
        <v>负</v>
      </c>
      <c r="Q623" s="11" t="str">
        <f t="shared" si="9"/>
        <v>负</v>
      </c>
    </row>
    <row r="624" spans="4:17" customFormat="1" hidden="1" x14ac:dyDescent="0.15">
      <c r="D624" t="s">
        <v>6</v>
      </c>
      <c r="E624" s="1">
        <v>270740</v>
      </c>
      <c r="F624" s="1">
        <v>270740</v>
      </c>
      <c r="G624" s="8">
        <v>42681.041666666664</v>
      </c>
      <c r="H624" s="1" t="s">
        <v>53</v>
      </c>
      <c r="I624" s="1">
        <v>2</v>
      </c>
      <c r="J624" s="1">
        <v>3</v>
      </c>
      <c r="K624" s="1">
        <v>0</v>
      </c>
      <c r="L624" s="1" t="s">
        <v>54</v>
      </c>
      <c r="M624" s="1">
        <v>0</v>
      </c>
      <c r="N624" s="1">
        <v>1</v>
      </c>
      <c r="O624" s="1">
        <v>0</v>
      </c>
      <c r="P624" s="11" t="str">
        <f t="shared" si="9"/>
        <v>胜</v>
      </c>
      <c r="Q624" s="11" t="str">
        <f t="shared" si="9"/>
        <v>胜</v>
      </c>
    </row>
    <row r="625" spans="4:17" customFormat="1" hidden="1" x14ac:dyDescent="0.15">
      <c r="D625" t="s">
        <v>6</v>
      </c>
      <c r="E625" s="1">
        <v>270741</v>
      </c>
      <c r="F625" s="1">
        <v>270741</v>
      </c>
      <c r="G625" s="8">
        <v>42681.042361111111</v>
      </c>
      <c r="H625" s="1" t="s">
        <v>45</v>
      </c>
      <c r="I625" s="1">
        <v>0</v>
      </c>
      <c r="J625" s="1">
        <v>0</v>
      </c>
      <c r="K625" s="1">
        <v>0</v>
      </c>
      <c r="L625" s="1" t="s">
        <v>49</v>
      </c>
      <c r="M625" s="1">
        <v>1</v>
      </c>
      <c r="N625" s="1">
        <v>2</v>
      </c>
      <c r="O625" s="1">
        <v>0</v>
      </c>
      <c r="P625" s="11" t="str">
        <f t="shared" si="9"/>
        <v>负</v>
      </c>
      <c r="Q625" s="11" t="str">
        <f t="shared" si="9"/>
        <v>负</v>
      </c>
    </row>
    <row r="626" spans="4:17" customFormat="1" hidden="1" x14ac:dyDescent="0.15">
      <c r="D626" t="s">
        <v>6</v>
      </c>
      <c r="E626" s="1">
        <v>270742</v>
      </c>
      <c r="F626" s="1">
        <v>270742</v>
      </c>
      <c r="G626" s="8">
        <v>42681.041666666664</v>
      </c>
      <c r="H626" s="1" t="s">
        <v>37</v>
      </c>
      <c r="I626" s="1">
        <v>1</v>
      </c>
      <c r="J626" s="1">
        <v>2</v>
      </c>
      <c r="K626" s="1">
        <v>0</v>
      </c>
      <c r="L626" s="1" t="s">
        <v>32</v>
      </c>
      <c r="M626" s="1">
        <v>0</v>
      </c>
      <c r="N626" s="1">
        <v>1</v>
      </c>
      <c r="O626" s="1">
        <v>0</v>
      </c>
      <c r="P626" s="11" t="str">
        <f t="shared" si="9"/>
        <v>胜</v>
      </c>
      <c r="Q626" s="11" t="str">
        <f t="shared" si="9"/>
        <v>胜</v>
      </c>
    </row>
    <row r="627" spans="4:17" customFormat="1" hidden="1" x14ac:dyDescent="0.15">
      <c r="D627" t="s">
        <v>6</v>
      </c>
      <c r="E627" s="1">
        <v>307979</v>
      </c>
      <c r="F627" s="1">
        <v>307979</v>
      </c>
      <c r="G627" s="8">
        <v>42827.899305555555</v>
      </c>
      <c r="H627" s="1" t="s">
        <v>44</v>
      </c>
      <c r="I627" s="1">
        <v>0</v>
      </c>
      <c r="J627" s="1">
        <v>2</v>
      </c>
      <c r="K627" s="1">
        <v>0</v>
      </c>
      <c r="L627" s="1" t="s">
        <v>52</v>
      </c>
      <c r="M627" s="1">
        <v>1</v>
      </c>
      <c r="N627" s="1">
        <v>1</v>
      </c>
      <c r="O627" s="1">
        <v>0</v>
      </c>
      <c r="P627" s="11" t="str">
        <f t="shared" si="9"/>
        <v>负</v>
      </c>
      <c r="Q627" s="11" t="str">
        <f t="shared" si="9"/>
        <v>胜</v>
      </c>
    </row>
    <row r="628" spans="4:17" customFormat="1" hidden="1" x14ac:dyDescent="0.15">
      <c r="D628" t="s">
        <v>6</v>
      </c>
      <c r="E628" s="1">
        <v>307980</v>
      </c>
      <c r="F628" s="1">
        <v>307980</v>
      </c>
      <c r="G628" s="8">
        <v>42828.001388888886</v>
      </c>
      <c r="H628" s="1" t="s">
        <v>41</v>
      </c>
      <c r="I628" s="1">
        <v>1</v>
      </c>
      <c r="J628" s="1">
        <v>3</v>
      </c>
      <c r="K628" s="1">
        <v>0</v>
      </c>
      <c r="L628" s="1" t="s">
        <v>35</v>
      </c>
      <c r="M628" s="1">
        <v>1</v>
      </c>
      <c r="N628" s="1">
        <v>1</v>
      </c>
      <c r="O628" s="1">
        <v>0</v>
      </c>
      <c r="P628" s="11" t="str">
        <f t="shared" si="9"/>
        <v>平</v>
      </c>
      <c r="Q628" s="11" t="str">
        <f t="shared" si="9"/>
        <v>胜</v>
      </c>
    </row>
    <row r="629" spans="4:17" customFormat="1" hidden="1" x14ac:dyDescent="0.15">
      <c r="D629" t="s">
        <v>6</v>
      </c>
      <c r="E629" s="1">
        <v>307981</v>
      </c>
      <c r="F629" s="1">
        <v>307981</v>
      </c>
      <c r="G629" s="8">
        <v>42828.003472222219</v>
      </c>
      <c r="H629" s="1" t="s">
        <v>42</v>
      </c>
      <c r="I629" s="1">
        <v>2</v>
      </c>
      <c r="J629" s="1">
        <v>3</v>
      </c>
      <c r="K629" s="1">
        <v>0</v>
      </c>
      <c r="L629" s="1" t="s">
        <v>43</v>
      </c>
      <c r="M629" s="1">
        <v>0</v>
      </c>
      <c r="N629" s="1">
        <v>1</v>
      </c>
      <c r="O629" s="1">
        <v>0</v>
      </c>
      <c r="P629" s="11" t="str">
        <f t="shared" si="9"/>
        <v>胜</v>
      </c>
      <c r="Q629" s="11" t="str">
        <f t="shared" si="9"/>
        <v>胜</v>
      </c>
    </row>
    <row r="630" spans="4:17" customFormat="1" hidden="1" x14ac:dyDescent="0.15">
      <c r="D630" t="s">
        <v>6</v>
      </c>
      <c r="E630" s="1">
        <v>307982</v>
      </c>
      <c r="F630" s="1">
        <v>307982</v>
      </c>
      <c r="G630" s="8">
        <v>42828.001388888886</v>
      </c>
      <c r="H630" s="1" t="s">
        <v>40</v>
      </c>
      <c r="I630" s="1">
        <v>1</v>
      </c>
      <c r="J630" s="1">
        <v>3</v>
      </c>
      <c r="K630" s="1">
        <v>0</v>
      </c>
      <c r="L630" s="1" t="s">
        <v>48</v>
      </c>
      <c r="M630" s="1">
        <v>1</v>
      </c>
      <c r="N630" s="1">
        <v>1</v>
      </c>
      <c r="O630" s="1">
        <v>0</v>
      </c>
      <c r="P630" s="11" t="str">
        <f t="shared" si="9"/>
        <v>平</v>
      </c>
      <c r="Q630" s="11" t="str">
        <f t="shared" si="9"/>
        <v>胜</v>
      </c>
    </row>
    <row r="631" spans="4:17" customFormat="1" hidden="1" x14ac:dyDescent="0.15">
      <c r="D631" t="s">
        <v>6</v>
      </c>
      <c r="E631" s="1">
        <v>307983</v>
      </c>
      <c r="F631" s="1">
        <v>307983</v>
      </c>
      <c r="G631" s="8">
        <v>42828.002083333333</v>
      </c>
      <c r="H631" s="1" t="s">
        <v>53</v>
      </c>
      <c r="I631" s="1">
        <v>0</v>
      </c>
      <c r="J631" s="1">
        <v>1</v>
      </c>
      <c r="K631" s="1">
        <v>0</v>
      </c>
      <c r="L631" s="1" t="s">
        <v>46</v>
      </c>
      <c r="M631" s="1">
        <v>0</v>
      </c>
      <c r="N631" s="1">
        <v>1</v>
      </c>
      <c r="O631" s="1">
        <v>0</v>
      </c>
      <c r="P631" s="11" t="str">
        <f t="shared" si="9"/>
        <v>平</v>
      </c>
      <c r="Q631" s="11" t="str">
        <f t="shared" si="9"/>
        <v>平</v>
      </c>
    </row>
    <row r="632" spans="4:17" customFormat="1" hidden="1" x14ac:dyDescent="0.15">
      <c r="D632" t="s">
        <v>6</v>
      </c>
      <c r="E632" s="1">
        <v>307984</v>
      </c>
      <c r="F632" s="1">
        <v>307984</v>
      </c>
      <c r="G632" s="8">
        <v>42828.083333333336</v>
      </c>
      <c r="H632" s="1" t="s">
        <v>37</v>
      </c>
      <c r="I632" s="1">
        <v>0</v>
      </c>
      <c r="J632" s="1">
        <v>3</v>
      </c>
      <c r="K632" s="1">
        <v>0</v>
      </c>
      <c r="L632" s="1" t="s">
        <v>54</v>
      </c>
      <c r="M632" s="1">
        <v>0</v>
      </c>
      <c r="N632" s="1">
        <v>0</v>
      </c>
      <c r="O632" s="1">
        <v>0</v>
      </c>
      <c r="P632" s="11" t="str">
        <f t="shared" si="9"/>
        <v>平</v>
      </c>
      <c r="Q632" s="11" t="str">
        <f t="shared" si="9"/>
        <v>胜</v>
      </c>
    </row>
    <row r="633" spans="4:17" customFormat="1" hidden="1" x14ac:dyDescent="0.15">
      <c r="D633" t="s">
        <v>6</v>
      </c>
      <c r="E633" s="1">
        <v>307985</v>
      </c>
      <c r="F633" s="1">
        <v>307985</v>
      </c>
      <c r="G633" s="8">
        <v>42829.045138888891</v>
      </c>
      <c r="H633" s="1" t="s">
        <v>49</v>
      </c>
      <c r="I633" s="1">
        <v>0</v>
      </c>
      <c r="J633" s="1">
        <v>1</v>
      </c>
      <c r="K633" s="1">
        <v>0</v>
      </c>
      <c r="L633" s="1" t="s">
        <v>45</v>
      </c>
      <c r="M633" s="1">
        <v>0</v>
      </c>
      <c r="N633" s="1">
        <v>0</v>
      </c>
      <c r="O633" s="1">
        <v>0</v>
      </c>
      <c r="P633" s="11" t="str">
        <f t="shared" si="9"/>
        <v>平</v>
      </c>
      <c r="Q633" s="11" t="str">
        <f t="shared" si="9"/>
        <v>胜</v>
      </c>
    </row>
    <row r="634" spans="4:17" customFormat="1" hidden="1" x14ac:dyDescent="0.15">
      <c r="D634" t="s">
        <v>6</v>
      </c>
      <c r="E634" s="1">
        <v>307986</v>
      </c>
      <c r="F634" s="1">
        <v>307986</v>
      </c>
      <c r="G634" s="8">
        <v>42827.001388888886</v>
      </c>
      <c r="H634" s="1" t="s">
        <v>56</v>
      </c>
      <c r="I634" s="1">
        <v>0</v>
      </c>
      <c r="J634" s="1">
        <v>0</v>
      </c>
      <c r="K634" s="1">
        <v>0</v>
      </c>
      <c r="L634" s="1" t="s">
        <v>38</v>
      </c>
      <c r="M634" s="1">
        <v>0</v>
      </c>
      <c r="N634" s="1">
        <v>1</v>
      </c>
      <c r="O634" s="1">
        <v>0</v>
      </c>
      <c r="P634" s="11" t="str">
        <f t="shared" si="9"/>
        <v>平</v>
      </c>
      <c r="Q634" s="11" t="str">
        <f t="shared" si="9"/>
        <v>负</v>
      </c>
    </row>
    <row r="635" spans="4:17" customFormat="1" hidden="1" x14ac:dyDescent="0.15">
      <c r="D635" t="s">
        <v>6</v>
      </c>
      <c r="E635" s="1">
        <v>314294</v>
      </c>
      <c r="F635" s="1">
        <v>314294</v>
      </c>
      <c r="G635" s="8">
        <v>42831.045138888891</v>
      </c>
      <c r="H635" s="1" t="s">
        <v>35</v>
      </c>
      <c r="I635" s="1">
        <v>1</v>
      </c>
      <c r="J635" s="1">
        <v>4</v>
      </c>
      <c r="K635" s="1">
        <v>0</v>
      </c>
      <c r="L635" s="1" t="s">
        <v>42</v>
      </c>
      <c r="M635" s="1">
        <v>0</v>
      </c>
      <c r="N635" s="1">
        <v>1</v>
      </c>
      <c r="O635" s="1">
        <v>0</v>
      </c>
      <c r="P635" s="11" t="str">
        <f t="shared" si="9"/>
        <v>胜</v>
      </c>
      <c r="Q635" s="11" t="str">
        <f t="shared" si="9"/>
        <v>胜</v>
      </c>
    </row>
    <row r="636" spans="4:17" customFormat="1" hidden="1" x14ac:dyDescent="0.15">
      <c r="D636" t="s">
        <v>6</v>
      </c>
      <c r="E636" s="1">
        <v>314295</v>
      </c>
      <c r="F636" s="1">
        <v>314295</v>
      </c>
      <c r="G636" s="8">
        <v>42831.042361111111</v>
      </c>
      <c r="H636" s="1" t="s">
        <v>38</v>
      </c>
      <c r="I636" s="1">
        <v>1</v>
      </c>
      <c r="J636" s="1">
        <v>2</v>
      </c>
      <c r="K636" s="1">
        <v>0</v>
      </c>
      <c r="L636" s="1" t="s">
        <v>44</v>
      </c>
      <c r="M636" s="1">
        <v>0</v>
      </c>
      <c r="N636" s="1">
        <v>1</v>
      </c>
      <c r="O636" s="1">
        <v>0</v>
      </c>
      <c r="P636" s="11" t="str">
        <f t="shared" si="9"/>
        <v>胜</v>
      </c>
      <c r="Q636" s="11" t="str">
        <f t="shared" si="9"/>
        <v>胜</v>
      </c>
    </row>
    <row r="637" spans="4:17" customFormat="1" hidden="1" x14ac:dyDescent="0.15">
      <c r="D637" t="s">
        <v>6</v>
      </c>
      <c r="E637" s="1">
        <v>314296</v>
      </c>
      <c r="F637" s="1">
        <v>314296</v>
      </c>
      <c r="G637" s="8">
        <v>42831.043055555558</v>
      </c>
      <c r="H637" s="1" t="s">
        <v>54</v>
      </c>
      <c r="I637" s="1">
        <v>1</v>
      </c>
      <c r="J637" s="1">
        <v>2</v>
      </c>
      <c r="K637" s="1">
        <v>0</v>
      </c>
      <c r="L637" s="1" t="s">
        <v>56</v>
      </c>
      <c r="M637" s="1">
        <v>0</v>
      </c>
      <c r="N637" s="1">
        <v>0</v>
      </c>
      <c r="O637" s="1">
        <v>0</v>
      </c>
      <c r="P637" s="11" t="str">
        <f t="shared" si="9"/>
        <v>胜</v>
      </c>
      <c r="Q637" s="11" t="str">
        <f t="shared" si="9"/>
        <v>胜</v>
      </c>
    </row>
    <row r="638" spans="4:17" customFormat="1" hidden="1" x14ac:dyDescent="0.15">
      <c r="D638" t="s">
        <v>6</v>
      </c>
      <c r="E638" s="1">
        <v>314297</v>
      </c>
      <c r="F638" s="1">
        <v>314297</v>
      </c>
      <c r="G638" s="8">
        <v>42831.045138888891</v>
      </c>
      <c r="H638" s="1" t="s">
        <v>52</v>
      </c>
      <c r="I638" s="1">
        <v>0</v>
      </c>
      <c r="J638" s="1">
        <v>0</v>
      </c>
      <c r="K638" s="1">
        <v>0</v>
      </c>
      <c r="L638" s="1" t="s">
        <v>37</v>
      </c>
      <c r="M638" s="1">
        <v>0</v>
      </c>
      <c r="N638" s="1">
        <v>3</v>
      </c>
      <c r="O638" s="1">
        <v>0</v>
      </c>
      <c r="P638" s="11" t="str">
        <f t="shared" si="9"/>
        <v>平</v>
      </c>
      <c r="Q638" s="11" t="str">
        <f t="shared" si="9"/>
        <v>负</v>
      </c>
    </row>
    <row r="639" spans="4:17" customFormat="1" hidden="1" x14ac:dyDescent="0.15">
      <c r="D639" t="s">
        <v>6</v>
      </c>
      <c r="E639" s="1">
        <v>314298</v>
      </c>
      <c r="F639" s="1">
        <v>314298</v>
      </c>
      <c r="G639" s="8">
        <v>42831.042361111111</v>
      </c>
      <c r="H639" s="1" t="s">
        <v>43</v>
      </c>
      <c r="I639" s="1">
        <v>1</v>
      </c>
      <c r="J639" s="1">
        <v>1</v>
      </c>
      <c r="K639" s="1">
        <v>0</v>
      </c>
      <c r="L639" s="1" t="s">
        <v>41</v>
      </c>
      <c r="M639" s="1">
        <v>3</v>
      </c>
      <c r="N639" s="1">
        <v>3</v>
      </c>
      <c r="O639" s="1">
        <v>0</v>
      </c>
      <c r="P639" s="11" t="str">
        <f t="shared" si="9"/>
        <v>负</v>
      </c>
      <c r="Q639" s="11" t="str">
        <f t="shared" si="9"/>
        <v>负</v>
      </c>
    </row>
    <row r="640" spans="4:17" customFormat="1" hidden="1" x14ac:dyDescent="0.15">
      <c r="D640" t="s">
        <v>6</v>
      </c>
      <c r="E640" s="1">
        <v>314397</v>
      </c>
      <c r="F640" s="1">
        <v>314397</v>
      </c>
      <c r="G640" s="8">
        <v>42832.043055555558</v>
      </c>
      <c r="H640" s="1" t="s">
        <v>46</v>
      </c>
      <c r="I640" s="1">
        <v>1</v>
      </c>
      <c r="J640" s="1">
        <v>3</v>
      </c>
      <c r="K640" s="1">
        <v>0</v>
      </c>
      <c r="L640" s="1" t="s">
        <v>40</v>
      </c>
      <c r="M640" s="1">
        <v>0</v>
      </c>
      <c r="N640" s="1">
        <v>0</v>
      </c>
      <c r="O640" s="1">
        <v>0</v>
      </c>
      <c r="P640" s="11" t="str">
        <f t="shared" si="9"/>
        <v>胜</v>
      </c>
      <c r="Q640" s="11" t="str">
        <f t="shared" si="9"/>
        <v>胜</v>
      </c>
    </row>
    <row r="641" spans="4:17" customFormat="1" hidden="1" x14ac:dyDescent="0.15">
      <c r="D641" t="s">
        <v>6</v>
      </c>
      <c r="E641" s="1">
        <v>314398</v>
      </c>
      <c r="F641" s="1">
        <v>314398</v>
      </c>
      <c r="G641" s="8">
        <v>42832.045138888891</v>
      </c>
      <c r="H641" s="1" t="s">
        <v>48</v>
      </c>
      <c r="I641" s="1">
        <v>2</v>
      </c>
      <c r="J641" s="1">
        <v>4</v>
      </c>
      <c r="K641" s="1">
        <v>0</v>
      </c>
      <c r="L641" s="1" t="s">
        <v>49</v>
      </c>
      <c r="M641" s="1">
        <v>1</v>
      </c>
      <c r="N641" s="1">
        <v>3</v>
      </c>
      <c r="O641" s="1">
        <v>0</v>
      </c>
      <c r="P641" s="11" t="str">
        <f t="shared" si="9"/>
        <v>胜</v>
      </c>
      <c r="Q641" s="11" t="str">
        <f t="shared" si="9"/>
        <v>胜</v>
      </c>
    </row>
    <row r="642" spans="4:17" customFormat="1" hidden="1" x14ac:dyDescent="0.15">
      <c r="D642" t="s">
        <v>6</v>
      </c>
      <c r="E642" s="1">
        <v>315048</v>
      </c>
      <c r="F642" s="1">
        <v>315048</v>
      </c>
      <c r="G642" s="8">
        <v>42832.041666666664</v>
      </c>
      <c r="H642" s="1" t="s">
        <v>45</v>
      </c>
      <c r="I642" s="1">
        <v>0</v>
      </c>
      <c r="J642" s="1">
        <v>1</v>
      </c>
      <c r="K642" s="1">
        <v>0</v>
      </c>
      <c r="L642" s="1" t="s">
        <v>53</v>
      </c>
      <c r="M642" s="1">
        <v>1</v>
      </c>
      <c r="N642" s="1">
        <v>2</v>
      </c>
      <c r="O642" s="1">
        <v>0</v>
      </c>
      <c r="P642" s="11" t="str">
        <f t="shared" si="9"/>
        <v>负</v>
      </c>
      <c r="Q642" s="11" t="str">
        <f t="shared" si="9"/>
        <v>负</v>
      </c>
    </row>
    <row r="643" spans="4:17" customFormat="1" hidden="1" x14ac:dyDescent="0.15">
      <c r="D643" t="s">
        <v>6</v>
      </c>
      <c r="E643" s="1">
        <v>315296</v>
      </c>
      <c r="F643" s="1">
        <v>315296</v>
      </c>
      <c r="G643" s="8">
        <v>42836.042361111111</v>
      </c>
      <c r="H643" s="1" t="s">
        <v>56</v>
      </c>
      <c r="I643" s="1">
        <v>0</v>
      </c>
      <c r="J643" s="1">
        <v>1</v>
      </c>
      <c r="K643" s="1">
        <v>0</v>
      </c>
      <c r="L643" s="1" t="s">
        <v>46</v>
      </c>
      <c r="M643" s="1">
        <v>0</v>
      </c>
      <c r="N643" s="1">
        <v>0</v>
      </c>
      <c r="O643" s="1">
        <v>0</v>
      </c>
      <c r="P643" s="11" t="str">
        <f t="shared" si="9"/>
        <v>平</v>
      </c>
      <c r="Q643" s="11" t="str">
        <f t="shared" si="9"/>
        <v>胜</v>
      </c>
    </row>
    <row r="644" spans="4:17" customFormat="1" hidden="1" x14ac:dyDescent="0.15">
      <c r="D644" t="s">
        <v>6</v>
      </c>
      <c r="E644" s="1">
        <v>315299</v>
      </c>
      <c r="F644" s="1">
        <v>315299</v>
      </c>
      <c r="G644" s="8">
        <v>42835.003472222219</v>
      </c>
      <c r="H644" s="1" t="s">
        <v>49</v>
      </c>
      <c r="I644" s="1">
        <v>0</v>
      </c>
      <c r="J644" s="1">
        <v>1</v>
      </c>
      <c r="K644" s="1">
        <v>0</v>
      </c>
      <c r="L644" s="1" t="s">
        <v>52</v>
      </c>
      <c r="M644" s="1">
        <v>1</v>
      </c>
      <c r="N644" s="1">
        <v>2</v>
      </c>
      <c r="O644" s="1">
        <v>0</v>
      </c>
      <c r="P644" s="11" t="str">
        <f t="shared" si="9"/>
        <v>负</v>
      </c>
      <c r="Q644" s="11" t="str">
        <f t="shared" si="9"/>
        <v>负</v>
      </c>
    </row>
    <row r="645" spans="4:17" customFormat="1" hidden="1" x14ac:dyDescent="0.15">
      <c r="D645" t="s">
        <v>6</v>
      </c>
      <c r="E645" s="1">
        <v>315300</v>
      </c>
      <c r="F645" s="1">
        <v>315300</v>
      </c>
      <c r="G645" s="8">
        <v>42835.003472222219</v>
      </c>
      <c r="H645" s="1" t="s">
        <v>42</v>
      </c>
      <c r="I645" s="1">
        <v>0</v>
      </c>
      <c r="J645" s="1">
        <v>2</v>
      </c>
      <c r="K645" s="1">
        <v>0</v>
      </c>
      <c r="L645" s="1" t="s">
        <v>54</v>
      </c>
      <c r="M645" s="1">
        <v>0</v>
      </c>
      <c r="N645" s="1">
        <v>0</v>
      </c>
      <c r="O645" s="1">
        <v>0</v>
      </c>
      <c r="P645" s="11" t="str">
        <f t="shared" si="9"/>
        <v>平</v>
      </c>
      <c r="Q645" s="11" t="str">
        <f t="shared" si="9"/>
        <v>胜</v>
      </c>
    </row>
    <row r="646" spans="4:17" customFormat="1" hidden="1" x14ac:dyDescent="0.15">
      <c r="D646" t="s">
        <v>6</v>
      </c>
      <c r="E646" s="1">
        <v>315361</v>
      </c>
      <c r="F646" s="1">
        <v>315361</v>
      </c>
      <c r="G646" s="8">
        <v>42834.003472222219</v>
      </c>
      <c r="H646" s="1" t="s">
        <v>37</v>
      </c>
      <c r="I646" s="1">
        <v>2</v>
      </c>
      <c r="J646" s="1">
        <v>2</v>
      </c>
      <c r="K646" s="1">
        <v>0</v>
      </c>
      <c r="L646" s="1" t="s">
        <v>38</v>
      </c>
      <c r="M646" s="1">
        <v>1</v>
      </c>
      <c r="N646" s="1">
        <v>1</v>
      </c>
      <c r="O646" s="1">
        <v>0</v>
      </c>
      <c r="P646" s="11" t="str">
        <f t="shared" si="9"/>
        <v>胜</v>
      </c>
      <c r="Q646" s="11" t="str">
        <f t="shared" si="9"/>
        <v>胜</v>
      </c>
    </row>
    <row r="647" spans="4:17" customFormat="1" hidden="1" x14ac:dyDescent="0.15">
      <c r="D647" t="s">
        <v>6</v>
      </c>
      <c r="E647" s="1">
        <v>315495</v>
      </c>
      <c r="F647" s="1">
        <v>315495</v>
      </c>
      <c r="G647" s="8">
        <v>42835.000694444447</v>
      </c>
      <c r="H647" s="1" t="s">
        <v>41</v>
      </c>
      <c r="I647" s="1">
        <v>1</v>
      </c>
      <c r="J647" s="1">
        <v>3</v>
      </c>
      <c r="K647" s="1">
        <v>0</v>
      </c>
      <c r="L647" s="1" t="s">
        <v>45</v>
      </c>
      <c r="M647" s="1">
        <v>0</v>
      </c>
      <c r="N647" s="1">
        <v>0</v>
      </c>
      <c r="O647" s="1">
        <v>0</v>
      </c>
      <c r="P647" s="11" t="str">
        <f t="shared" si="9"/>
        <v>胜</v>
      </c>
      <c r="Q647" s="11" t="str">
        <f t="shared" si="9"/>
        <v>胜</v>
      </c>
    </row>
    <row r="648" spans="4:17" customFormat="1" hidden="1" x14ac:dyDescent="0.15">
      <c r="D648" t="s">
        <v>6</v>
      </c>
      <c r="E648" s="1">
        <v>315496</v>
      </c>
      <c r="F648" s="1">
        <v>315496</v>
      </c>
      <c r="G648" s="8">
        <v>42835.001388888886</v>
      </c>
      <c r="H648" s="1" t="s">
        <v>53</v>
      </c>
      <c r="I648" s="1">
        <v>0</v>
      </c>
      <c r="J648" s="1">
        <v>3</v>
      </c>
      <c r="K648" s="1">
        <v>0</v>
      </c>
      <c r="L648" s="1" t="s">
        <v>35</v>
      </c>
      <c r="M648" s="1">
        <v>0</v>
      </c>
      <c r="N648" s="1">
        <v>0</v>
      </c>
      <c r="O648" s="1">
        <v>0</v>
      </c>
      <c r="P648" s="11" t="str">
        <f t="shared" si="9"/>
        <v>平</v>
      </c>
      <c r="Q648" s="11" t="str">
        <f t="shared" si="9"/>
        <v>胜</v>
      </c>
    </row>
    <row r="649" spans="4:17" customFormat="1" hidden="1" x14ac:dyDescent="0.15">
      <c r="D649" t="s">
        <v>6</v>
      </c>
      <c r="E649" s="1">
        <v>315497</v>
      </c>
      <c r="F649" s="1">
        <v>315497</v>
      </c>
      <c r="G649" s="8">
        <v>42835.001388888886</v>
      </c>
      <c r="H649" s="1" t="s">
        <v>44</v>
      </c>
      <c r="I649" s="1">
        <v>0</v>
      </c>
      <c r="J649" s="1">
        <v>0</v>
      </c>
      <c r="K649" s="1">
        <v>0</v>
      </c>
      <c r="L649" s="1" t="s">
        <v>48</v>
      </c>
      <c r="M649" s="1">
        <v>1</v>
      </c>
      <c r="N649" s="1">
        <v>2</v>
      </c>
      <c r="O649" s="1">
        <v>0</v>
      </c>
      <c r="P649" s="11" t="str">
        <f t="shared" si="9"/>
        <v>负</v>
      </c>
      <c r="Q649" s="11" t="str">
        <f t="shared" si="9"/>
        <v>负</v>
      </c>
    </row>
    <row r="650" spans="4:17" customFormat="1" hidden="1" x14ac:dyDescent="0.15">
      <c r="D650" t="s">
        <v>6</v>
      </c>
      <c r="E650" s="1">
        <v>315499</v>
      </c>
      <c r="F650" s="1">
        <v>315499</v>
      </c>
      <c r="G650" s="8">
        <v>42835.083333333336</v>
      </c>
      <c r="H650" s="1" t="s">
        <v>40</v>
      </c>
      <c r="I650" s="1">
        <v>1</v>
      </c>
      <c r="J650" s="1">
        <v>1</v>
      </c>
      <c r="K650" s="1">
        <v>0</v>
      </c>
      <c r="L650" s="1" t="s">
        <v>43</v>
      </c>
      <c r="M650" s="1">
        <v>1</v>
      </c>
      <c r="N650" s="1">
        <v>1</v>
      </c>
      <c r="O650" s="1">
        <v>0</v>
      </c>
      <c r="P650" s="11" t="str">
        <f t="shared" si="9"/>
        <v>平</v>
      </c>
      <c r="Q650" s="11" t="str">
        <f t="shared" si="9"/>
        <v>平</v>
      </c>
    </row>
    <row r="651" spans="4:17" customFormat="1" hidden="1" x14ac:dyDescent="0.15">
      <c r="D651" t="s">
        <v>6</v>
      </c>
      <c r="E651" s="1">
        <v>317330</v>
      </c>
      <c r="F651" s="1">
        <v>317330</v>
      </c>
      <c r="G651" s="8">
        <v>42843</v>
      </c>
      <c r="H651" s="1" t="s">
        <v>43</v>
      </c>
      <c r="I651" s="1">
        <v>2</v>
      </c>
      <c r="J651" s="1">
        <v>3</v>
      </c>
      <c r="K651" s="1">
        <v>0</v>
      </c>
      <c r="L651" s="1" t="s">
        <v>44</v>
      </c>
      <c r="M651" s="1">
        <v>0</v>
      </c>
      <c r="N651" s="1">
        <v>1</v>
      </c>
      <c r="O651" s="1">
        <v>0</v>
      </c>
      <c r="P651" s="11" t="str">
        <f t="shared" si="9"/>
        <v>胜</v>
      </c>
      <c r="Q651" s="11" t="str">
        <f t="shared" si="9"/>
        <v>胜</v>
      </c>
    </row>
    <row r="652" spans="4:17" customFormat="1" hidden="1" x14ac:dyDescent="0.15">
      <c r="D652" t="s">
        <v>6</v>
      </c>
      <c r="E652" s="1">
        <v>317331</v>
      </c>
      <c r="F652" s="1">
        <v>317331</v>
      </c>
      <c r="G652" s="8">
        <v>42843.003472222219</v>
      </c>
      <c r="H652" s="1" t="s">
        <v>38</v>
      </c>
      <c r="I652" s="1">
        <v>3</v>
      </c>
      <c r="J652" s="1">
        <v>4</v>
      </c>
      <c r="K652" s="1">
        <v>0</v>
      </c>
      <c r="L652" s="1" t="s">
        <v>49</v>
      </c>
      <c r="M652" s="1">
        <v>0</v>
      </c>
      <c r="N652" s="1">
        <v>0</v>
      </c>
      <c r="O652" s="1">
        <v>0</v>
      </c>
      <c r="P652" s="11" t="str">
        <f t="shared" si="9"/>
        <v>胜</v>
      </c>
      <c r="Q652" s="11" t="str">
        <f t="shared" si="9"/>
        <v>胜</v>
      </c>
    </row>
    <row r="653" spans="4:17" customFormat="1" hidden="1" x14ac:dyDescent="0.15">
      <c r="D653" t="s">
        <v>6</v>
      </c>
      <c r="E653" s="1">
        <v>317332</v>
      </c>
      <c r="F653" s="1">
        <v>317332</v>
      </c>
      <c r="G653" s="8">
        <v>42842.995833333334</v>
      </c>
      <c r="H653" s="1" t="s">
        <v>52</v>
      </c>
      <c r="I653" s="1">
        <v>0</v>
      </c>
      <c r="J653" s="1">
        <v>2</v>
      </c>
      <c r="K653" s="1">
        <v>0</v>
      </c>
      <c r="L653" s="1" t="s">
        <v>56</v>
      </c>
      <c r="M653" s="1">
        <v>0</v>
      </c>
      <c r="N653" s="1">
        <v>0</v>
      </c>
      <c r="O653" s="1">
        <v>0</v>
      </c>
      <c r="P653" s="11" t="str">
        <f t="shared" ref="P653:Q716" si="10">IF(I653=M653,"平",IF(I653&gt;M653,"胜","负"))</f>
        <v>平</v>
      </c>
      <c r="Q653" s="11" t="str">
        <f t="shared" si="10"/>
        <v>胜</v>
      </c>
    </row>
    <row r="654" spans="4:17" customFormat="1" hidden="1" x14ac:dyDescent="0.15">
      <c r="D654" t="s">
        <v>6</v>
      </c>
      <c r="E654" s="1">
        <v>317333</v>
      </c>
      <c r="F654" s="1">
        <v>317333</v>
      </c>
      <c r="G654" s="8">
        <v>42843.002083333333</v>
      </c>
      <c r="H654" s="1" t="s">
        <v>46</v>
      </c>
      <c r="I654" s="1">
        <v>2</v>
      </c>
      <c r="J654" s="1">
        <v>3</v>
      </c>
      <c r="K654" s="1">
        <v>0</v>
      </c>
      <c r="L654" s="1" t="s">
        <v>48</v>
      </c>
      <c r="M654" s="1">
        <v>0</v>
      </c>
      <c r="N654" s="1">
        <v>1</v>
      </c>
      <c r="O654" s="1">
        <v>0</v>
      </c>
      <c r="P654" s="11" t="str">
        <f t="shared" si="10"/>
        <v>胜</v>
      </c>
      <c r="Q654" s="11" t="str">
        <f t="shared" si="10"/>
        <v>胜</v>
      </c>
    </row>
    <row r="655" spans="4:17" customFormat="1" hidden="1" x14ac:dyDescent="0.15">
      <c r="D655" t="s">
        <v>6</v>
      </c>
      <c r="E655" s="1">
        <v>317334</v>
      </c>
      <c r="F655" s="1">
        <v>317334</v>
      </c>
      <c r="G655" s="8">
        <v>42843.003472222219</v>
      </c>
      <c r="H655" s="1" t="s">
        <v>35</v>
      </c>
      <c r="I655" s="1">
        <v>1</v>
      </c>
      <c r="J655" s="1">
        <v>1</v>
      </c>
      <c r="K655" s="1">
        <v>0</v>
      </c>
      <c r="L655" s="1" t="s">
        <v>40</v>
      </c>
      <c r="M655" s="1">
        <v>1</v>
      </c>
      <c r="N655" s="1">
        <v>1</v>
      </c>
      <c r="O655" s="1">
        <v>0</v>
      </c>
      <c r="P655" s="11" t="str">
        <f t="shared" si="10"/>
        <v>平</v>
      </c>
      <c r="Q655" s="11" t="str">
        <f t="shared" si="10"/>
        <v>平</v>
      </c>
    </row>
    <row r="656" spans="4:17" customFormat="1" hidden="1" x14ac:dyDescent="0.15">
      <c r="D656" t="s">
        <v>6</v>
      </c>
      <c r="E656" s="1">
        <v>317335</v>
      </c>
      <c r="F656" s="1">
        <v>317335</v>
      </c>
      <c r="G656" s="8">
        <v>42843.000694444447</v>
      </c>
      <c r="H656" s="1" t="s">
        <v>42</v>
      </c>
      <c r="I656" s="1">
        <v>1</v>
      </c>
      <c r="J656" s="1">
        <v>3</v>
      </c>
      <c r="K656" s="1">
        <v>0</v>
      </c>
      <c r="L656" s="1" t="s">
        <v>41</v>
      </c>
      <c r="M656" s="1">
        <v>0</v>
      </c>
      <c r="N656" s="1">
        <v>0</v>
      </c>
      <c r="O656" s="1">
        <v>0</v>
      </c>
      <c r="P656" s="11" t="str">
        <f t="shared" si="10"/>
        <v>胜</v>
      </c>
      <c r="Q656" s="11" t="str">
        <f t="shared" si="10"/>
        <v>胜</v>
      </c>
    </row>
    <row r="657" spans="4:17" customFormat="1" hidden="1" x14ac:dyDescent="0.15">
      <c r="D657" t="s">
        <v>6</v>
      </c>
      <c r="E657" s="1">
        <v>317336</v>
      </c>
      <c r="F657" s="1">
        <v>317336</v>
      </c>
      <c r="G657" s="8">
        <v>42843.083333333336</v>
      </c>
      <c r="H657" s="1" t="s">
        <v>54</v>
      </c>
      <c r="I657" s="1">
        <v>1</v>
      </c>
      <c r="J657" s="1">
        <v>1</v>
      </c>
      <c r="K657" s="1">
        <v>0</v>
      </c>
      <c r="L657" s="1" t="s">
        <v>53</v>
      </c>
      <c r="M657" s="1">
        <v>0</v>
      </c>
      <c r="N657" s="1">
        <v>0</v>
      </c>
      <c r="O657" s="1">
        <v>0</v>
      </c>
      <c r="P657" s="11" t="str">
        <f t="shared" si="10"/>
        <v>胜</v>
      </c>
      <c r="Q657" s="11" t="str">
        <f t="shared" si="10"/>
        <v>胜</v>
      </c>
    </row>
    <row r="658" spans="4:17" customFormat="1" hidden="1" x14ac:dyDescent="0.15">
      <c r="D658" t="s">
        <v>6</v>
      </c>
      <c r="E658" s="1">
        <v>317337</v>
      </c>
      <c r="F658" s="1">
        <v>317337</v>
      </c>
      <c r="G658" s="8">
        <v>42843.084722222222</v>
      </c>
      <c r="H658" s="1" t="s">
        <v>45</v>
      </c>
      <c r="I658" s="1">
        <v>0</v>
      </c>
      <c r="J658" s="1">
        <v>0</v>
      </c>
      <c r="K658" s="1">
        <v>0</v>
      </c>
      <c r="L658" s="1" t="s">
        <v>37</v>
      </c>
      <c r="M658" s="1">
        <v>1</v>
      </c>
      <c r="N658" s="1">
        <v>1</v>
      </c>
      <c r="O658" s="1">
        <v>0</v>
      </c>
      <c r="P658" s="11" t="str">
        <f t="shared" si="10"/>
        <v>负</v>
      </c>
      <c r="Q658" s="11" t="str">
        <f t="shared" si="10"/>
        <v>负</v>
      </c>
    </row>
    <row r="659" spans="4:17" customFormat="1" hidden="1" x14ac:dyDescent="0.15">
      <c r="D659" t="s">
        <v>6</v>
      </c>
      <c r="E659" s="1">
        <v>320058</v>
      </c>
      <c r="F659" s="1">
        <v>320058</v>
      </c>
      <c r="G659" s="8">
        <v>42848</v>
      </c>
      <c r="H659" s="1" t="s">
        <v>40</v>
      </c>
      <c r="I659" s="1">
        <v>0</v>
      </c>
      <c r="J659" s="1">
        <v>1</v>
      </c>
      <c r="K659" s="1">
        <v>0</v>
      </c>
      <c r="L659" s="1" t="s">
        <v>52</v>
      </c>
      <c r="M659" s="1">
        <v>0</v>
      </c>
      <c r="N659" s="1">
        <v>0</v>
      </c>
      <c r="O659" s="1">
        <v>0</v>
      </c>
      <c r="P659" s="11" t="str">
        <f t="shared" si="10"/>
        <v>平</v>
      </c>
      <c r="Q659" s="11" t="str">
        <f t="shared" si="10"/>
        <v>胜</v>
      </c>
    </row>
    <row r="660" spans="4:17" customFormat="1" hidden="1" x14ac:dyDescent="0.15">
      <c r="D660" t="s">
        <v>6</v>
      </c>
      <c r="E660" s="1">
        <v>320059</v>
      </c>
      <c r="F660" s="1">
        <v>320059</v>
      </c>
      <c r="G660" s="8">
        <v>42849</v>
      </c>
      <c r="H660" s="1" t="s">
        <v>37</v>
      </c>
      <c r="I660" s="1">
        <v>0</v>
      </c>
      <c r="J660" s="1">
        <v>0</v>
      </c>
      <c r="K660" s="1">
        <v>0</v>
      </c>
      <c r="L660" s="1" t="s">
        <v>43</v>
      </c>
      <c r="M660" s="1">
        <v>0</v>
      </c>
      <c r="N660" s="1">
        <v>0</v>
      </c>
      <c r="O660" s="1">
        <v>0</v>
      </c>
      <c r="P660" s="11" t="str">
        <f t="shared" si="10"/>
        <v>平</v>
      </c>
      <c r="Q660" s="11" t="str">
        <f t="shared" si="10"/>
        <v>平</v>
      </c>
    </row>
    <row r="661" spans="4:17" customFormat="1" hidden="1" x14ac:dyDescent="0.15">
      <c r="D661" t="s">
        <v>6</v>
      </c>
      <c r="E661" s="1">
        <v>320060</v>
      </c>
      <c r="F661" s="1">
        <v>320060</v>
      </c>
      <c r="G661" s="8">
        <v>42849</v>
      </c>
      <c r="H661" s="1" t="s">
        <v>41</v>
      </c>
      <c r="I661" s="1">
        <v>2</v>
      </c>
      <c r="J661" s="1">
        <v>5</v>
      </c>
      <c r="K661" s="1">
        <v>0</v>
      </c>
      <c r="L661" s="1" t="s">
        <v>56</v>
      </c>
      <c r="M661" s="1">
        <v>0</v>
      </c>
      <c r="N661" s="1">
        <v>1</v>
      </c>
      <c r="O661" s="1">
        <v>0</v>
      </c>
      <c r="P661" s="11" t="str">
        <f t="shared" si="10"/>
        <v>胜</v>
      </c>
      <c r="Q661" s="11" t="str">
        <f t="shared" si="10"/>
        <v>胜</v>
      </c>
    </row>
    <row r="662" spans="4:17" customFormat="1" hidden="1" x14ac:dyDescent="0.15">
      <c r="D662" t="s">
        <v>6</v>
      </c>
      <c r="E662" s="1">
        <v>320061</v>
      </c>
      <c r="F662" s="1">
        <v>320061</v>
      </c>
      <c r="G662" s="8">
        <v>42849.000694444447</v>
      </c>
      <c r="H662" s="1" t="s">
        <v>53</v>
      </c>
      <c r="I662" s="1">
        <v>0</v>
      </c>
      <c r="J662" s="1">
        <v>0</v>
      </c>
      <c r="K662" s="1">
        <v>0</v>
      </c>
      <c r="L662" s="1" t="s">
        <v>42</v>
      </c>
      <c r="M662" s="1">
        <v>3</v>
      </c>
      <c r="N662" s="1">
        <v>3</v>
      </c>
      <c r="O662" s="1">
        <v>0</v>
      </c>
      <c r="P662" s="11" t="str">
        <f t="shared" si="10"/>
        <v>负</v>
      </c>
      <c r="Q662" s="11" t="str">
        <f t="shared" si="10"/>
        <v>负</v>
      </c>
    </row>
    <row r="663" spans="4:17" customFormat="1" hidden="1" x14ac:dyDescent="0.15">
      <c r="D663" t="s">
        <v>6</v>
      </c>
      <c r="E663" s="1">
        <v>320062</v>
      </c>
      <c r="F663" s="1">
        <v>320062</v>
      </c>
      <c r="G663" s="8">
        <v>42849.002083333333</v>
      </c>
      <c r="H663" s="1" t="s">
        <v>49</v>
      </c>
      <c r="I663" s="1">
        <v>2</v>
      </c>
      <c r="J663" s="1">
        <v>3</v>
      </c>
      <c r="K663" s="1">
        <v>0</v>
      </c>
      <c r="L663" s="1" t="s">
        <v>35</v>
      </c>
      <c r="M663" s="1">
        <v>0</v>
      </c>
      <c r="N663" s="1">
        <v>0</v>
      </c>
      <c r="O663" s="1">
        <v>0</v>
      </c>
      <c r="P663" s="11" t="str">
        <f t="shared" si="10"/>
        <v>胜</v>
      </c>
      <c r="Q663" s="11" t="str">
        <f t="shared" si="10"/>
        <v>胜</v>
      </c>
    </row>
    <row r="664" spans="4:17" customFormat="1" hidden="1" x14ac:dyDescent="0.15">
      <c r="D664" t="s">
        <v>6</v>
      </c>
      <c r="E664" s="1">
        <v>320063</v>
      </c>
      <c r="F664" s="1">
        <v>320063</v>
      </c>
      <c r="G664" s="8">
        <v>42848.999305555553</v>
      </c>
      <c r="H664" s="1" t="s">
        <v>45</v>
      </c>
      <c r="I664" s="1">
        <v>1</v>
      </c>
      <c r="J664" s="1">
        <v>3</v>
      </c>
      <c r="K664" s="1">
        <v>0</v>
      </c>
      <c r="L664" s="1" t="s">
        <v>54</v>
      </c>
      <c r="M664" s="1">
        <v>0</v>
      </c>
      <c r="N664" s="1">
        <v>0</v>
      </c>
      <c r="O664" s="1">
        <v>0</v>
      </c>
      <c r="P664" s="11" t="str">
        <f t="shared" si="10"/>
        <v>胜</v>
      </c>
      <c r="Q664" s="11" t="str">
        <f t="shared" si="10"/>
        <v>胜</v>
      </c>
    </row>
    <row r="665" spans="4:17" customFormat="1" hidden="1" x14ac:dyDescent="0.15">
      <c r="D665" t="s">
        <v>6</v>
      </c>
      <c r="E665" s="1">
        <v>320064</v>
      </c>
      <c r="F665" s="1">
        <v>320064</v>
      </c>
      <c r="G665" s="8">
        <v>42849.083333333336</v>
      </c>
      <c r="H665" s="1" t="s">
        <v>44</v>
      </c>
      <c r="I665" s="1">
        <v>0</v>
      </c>
      <c r="J665" s="1">
        <v>0</v>
      </c>
      <c r="K665" s="1">
        <v>0</v>
      </c>
      <c r="L665" s="1" t="s">
        <v>46</v>
      </c>
      <c r="M665" s="1">
        <v>0</v>
      </c>
      <c r="N665" s="1">
        <v>2</v>
      </c>
      <c r="O665" s="1">
        <v>0</v>
      </c>
      <c r="P665" s="11" t="str">
        <f t="shared" si="10"/>
        <v>平</v>
      </c>
      <c r="Q665" s="11" t="str">
        <f t="shared" si="10"/>
        <v>负</v>
      </c>
    </row>
    <row r="666" spans="4:17" customFormat="1" hidden="1" x14ac:dyDescent="0.15">
      <c r="D666" t="s">
        <v>6</v>
      </c>
      <c r="E666" s="1">
        <v>320065</v>
      </c>
      <c r="F666" s="1">
        <v>320065</v>
      </c>
      <c r="G666" s="8">
        <v>42850.041666666664</v>
      </c>
      <c r="H666" s="1" t="s">
        <v>48</v>
      </c>
      <c r="I666" s="1">
        <v>0</v>
      </c>
      <c r="J666" s="1">
        <v>0</v>
      </c>
      <c r="K666" s="1">
        <v>0</v>
      </c>
      <c r="L666" s="1" t="s">
        <v>38</v>
      </c>
      <c r="M666" s="1">
        <v>0</v>
      </c>
      <c r="N666" s="1">
        <v>0</v>
      </c>
      <c r="O666" s="1">
        <v>0</v>
      </c>
      <c r="P666" s="11" t="str">
        <f t="shared" si="10"/>
        <v>平</v>
      </c>
      <c r="Q666" s="11" t="str">
        <f t="shared" si="10"/>
        <v>平</v>
      </c>
    </row>
    <row r="667" spans="4:17" customFormat="1" hidden="1" x14ac:dyDescent="0.15">
      <c r="D667" t="s">
        <v>6</v>
      </c>
      <c r="E667" s="1">
        <v>322397</v>
      </c>
      <c r="F667" s="1">
        <v>322397</v>
      </c>
      <c r="G667" s="8">
        <v>42855.011805555558</v>
      </c>
      <c r="H667" s="1" t="s">
        <v>46</v>
      </c>
      <c r="I667" s="1">
        <v>1</v>
      </c>
      <c r="J667" s="1">
        <v>1</v>
      </c>
      <c r="K667" s="1">
        <v>0</v>
      </c>
      <c r="L667" s="1" t="s">
        <v>45</v>
      </c>
      <c r="M667" s="1">
        <v>1</v>
      </c>
      <c r="N667" s="1">
        <v>1</v>
      </c>
      <c r="O667" s="1">
        <v>0</v>
      </c>
      <c r="P667" s="11" t="str">
        <f t="shared" si="10"/>
        <v>平</v>
      </c>
      <c r="Q667" s="11" t="str">
        <f t="shared" si="10"/>
        <v>平</v>
      </c>
    </row>
    <row r="668" spans="4:17" customFormat="1" hidden="1" x14ac:dyDescent="0.15">
      <c r="D668" t="s">
        <v>6</v>
      </c>
      <c r="E668" s="1">
        <v>322398</v>
      </c>
      <c r="F668" s="1">
        <v>322398</v>
      </c>
      <c r="G668" s="8">
        <v>42856.003472222219</v>
      </c>
      <c r="H668" s="1" t="s">
        <v>43</v>
      </c>
      <c r="I668" s="1">
        <v>0</v>
      </c>
      <c r="J668" s="1">
        <v>3</v>
      </c>
      <c r="K668" s="1">
        <v>0</v>
      </c>
      <c r="L668" s="1" t="s">
        <v>53</v>
      </c>
      <c r="M668" s="1">
        <v>1</v>
      </c>
      <c r="N668" s="1">
        <v>1</v>
      </c>
      <c r="O668" s="1">
        <v>0</v>
      </c>
      <c r="P668" s="11" t="str">
        <f t="shared" si="10"/>
        <v>负</v>
      </c>
      <c r="Q668" s="11" t="str">
        <f t="shared" si="10"/>
        <v>胜</v>
      </c>
    </row>
    <row r="669" spans="4:17" customFormat="1" hidden="1" x14ac:dyDescent="0.15">
      <c r="D669" t="s">
        <v>6</v>
      </c>
      <c r="E669" s="1">
        <v>322399</v>
      </c>
      <c r="F669" s="1">
        <v>322399</v>
      </c>
      <c r="G669" s="8">
        <v>42856.003472222219</v>
      </c>
      <c r="H669" s="1" t="s">
        <v>56</v>
      </c>
      <c r="I669" s="1">
        <v>0</v>
      </c>
      <c r="J669" s="1">
        <v>2</v>
      </c>
      <c r="K669" s="1">
        <v>0</v>
      </c>
      <c r="L669" s="1" t="s">
        <v>40</v>
      </c>
      <c r="M669" s="1">
        <v>0</v>
      </c>
      <c r="N669" s="1">
        <v>0</v>
      </c>
      <c r="O669" s="1">
        <v>0</v>
      </c>
      <c r="P669" s="11" t="str">
        <f t="shared" si="10"/>
        <v>平</v>
      </c>
      <c r="Q669" s="11" t="str">
        <f t="shared" si="10"/>
        <v>胜</v>
      </c>
    </row>
    <row r="670" spans="4:17" customFormat="1" hidden="1" x14ac:dyDescent="0.15">
      <c r="D670" t="s">
        <v>6</v>
      </c>
      <c r="E670" s="1">
        <v>322400</v>
      </c>
      <c r="F670" s="1">
        <v>322400</v>
      </c>
      <c r="G670" s="8">
        <v>42856.003472222219</v>
      </c>
      <c r="H670" s="1" t="s">
        <v>52</v>
      </c>
      <c r="I670" s="1">
        <v>1</v>
      </c>
      <c r="J670" s="1">
        <v>3</v>
      </c>
      <c r="K670" s="1">
        <v>0</v>
      </c>
      <c r="L670" s="1" t="s">
        <v>38</v>
      </c>
      <c r="M670" s="1">
        <v>0</v>
      </c>
      <c r="N670" s="1">
        <v>3</v>
      </c>
      <c r="O670" s="1">
        <v>0</v>
      </c>
      <c r="P670" s="11" t="str">
        <f t="shared" si="10"/>
        <v>胜</v>
      </c>
      <c r="Q670" s="11" t="str">
        <f t="shared" si="10"/>
        <v>平</v>
      </c>
    </row>
    <row r="671" spans="4:17" customFormat="1" hidden="1" x14ac:dyDescent="0.15">
      <c r="D671" t="s">
        <v>6</v>
      </c>
      <c r="E671" s="1">
        <v>322401</v>
      </c>
      <c r="F671" s="1">
        <v>322401</v>
      </c>
      <c r="G671" s="8">
        <v>42856.003472222219</v>
      </c>
      <c r="H671" s="1" t="s">
        <v>35</v>
      </c>
      <c r="I671" s="1">
        <v>0</v>
      </c>
      <c r="J671" s="1">
        <v>0</v>
      </c>
      <c r="K671" s="1">
        <v>0</v>
      </c>
      <c r="L671" s="1" t="s">
        <v>44</v>
      </c>
      <c r="M671" s="1">
        <v>0</v>
      </c>
      <c r="N671" s="1">
        <v>1</v>
      </c>
      <c r="O671" s="1">
        <v>0</v>
      </c>
      <c r="P671" s="11" t="str">
        <f t="shared" si="10"/>
        <v>平</v>
      </c>
      <c r="Q671" s="11" t="str">
        <f t="shared" si="10"/>
        <v>负</v>
      </c>
    </row>
    <row r="672" spans="4:17" customFormat="1" hidden="1" x14ac:dyDescent="0.15">
      <c r="D672" t="s">
        <v>6</v>
      </c>
      <c r="E672" s="1">
        <v>322402</v>
      </c>
      <c r="F672" s="1">
        <v>322402</v>
      </c>
      <c r="G672" s="8">
        <v>42856.003472222219</v>
      </c>
      <c r="H672" s="1" t="s">
        <v>42</v>
      </c>
      <c r="I672" s="1">
        <v>0</v>
      </c>
      <c r="J672" s="1">
        <v>0</v>
      </c>
      <c r="K672" s="1">
        <v>0</v>
      </c>
      <c r="L672" s="1" t="s">
        <v>48</v>
      </c>
      <c r="M672" s="1">
        <v>1</v>
      </c>
      <c r="N672" s="1">
        <v>3</v>
      </c>
      <c r="O672" s="1">
        <v>0</v>
      </c>
      <c r="P672" s="11" t="str">
        <f t="shared" si="10"/>
        <v>负</v>
      </c>
      <c r="Q672" s="11" t="str">
        <f t="shared" si="10"/>
        <v>负</v>
      </c>
    </row>
    <row r="673" spans="4:17" customFormat="1" hidden="1" x14ac:dyDescent="0.15">
      <c r="D673" t="s">
        <v>6</v>
      </c>
      <c r="E673" s="1">
        <v>322403</v>
      </c>
      <c r="F673" s="1">
        <v>322403</v>
      </c>
      <c r="G673" s="8">
        <v>42856.086805555555</v>
      </c>
      <c r="H673" s="1" t="s">
        <v>54</v>
      </c>
      <c r="I673" s="1">
        <v>2</v>
      </c>
      <c r="J673" s="1">
        <v>2</v>
      </c>
      <c r="K673" s="1">
        <v>0</v>
      </c>
      <c r="L673" s="1" t="s">
        <v>49</v>
      </c>
      <c r="M673" s="1">
        <v>0</v>
      </c>
      <c r="N673" s="1">
        <v>1</v>
      </c>
      <c r="O673" s="1">
        <v>0</v>
      </c>
      <c r="P673" s="11" t="str">
        <f t="shared" si="10"/>
        <v>胜</v>
      </c>
      <c r="Q673" s="11" t="str">
        <f t="shared" si="10"/>
        <v>胜</v>
      </c>
    </row>
    <row r="674" spans="4:17" customFormat="1" hidden="1" x14ac:dyDescent="0.15">
      <c r="D674" t="s">
        <v>6</v>
      </c>
      <c r="E674" s="1">
        <v>322425</v>
      </c>
      <c r="F674" s="1">
        <v>322425</v>
      </c>
      <c r="G674" s="8">
        <v>42857.041666666664</v>
      </c>
      <c r="H674" s="1" t="s">
        <v>41</v>
      </c>
      <c r="I674" s="1">
        <v>0</v>
      </c>
      <c r="J674" s="1">
        <v>1</v>
      </c>
      <c r="K674" s="1">
        <v>0</v>
      </c>
      <c r="L674" s="1" t="s">
        <v>37</v>
      </c>
      <c r="M674" s="1">
        <v>1</v>
      </c>
      <c r="N674" s="1">
        <v>2</v>
      </c>
      <c r="O674" s="1">
        <v>0</v>
      </c>
      <c r="P674" s="11" t="str">
        <f t="shared" si="10"/>
        <v>负</v>
      </c>
      <c r="Q674" s="11" t="str">
        <f t="shared" si="10"/>
        <v>负</v>
      </c>
    </row>
    <row r="675" spans="4:17" customFormat="1" hidden="1" x14ac:dyDescent="0.15">
      <c r="D675" t="s">
        <v>6</v>
      </c>
      <c r="E675" s="1">
        <v>325156</v>
      </c>
      <c r="F675" s="1">
        <v>325156</v>
      </c>
      <c r="G675" s="8">
        <v>42862.003472222219</v>
      </c>
      <c r="H675" s="1" t="s">
        <v>38</v>
      </c>
      <c r="I675" s="1">
        <v>0</v>
      </c>
      <c r="J675" s="1">
        <v>0</v>
      </c>
      <c r="K675" s="1">
        <v>0</v>
      </c>
      <c r="L675" s="1" t="s">
        <v>43</v>
      </c>
      <c r="M675" s="1">
        <v>1</v>
      </c>
      <c r="N675" s="1">
        <v>1</v>
      </c>
      <c r="O675" s="1">
        <v>0</v>
      </c>
      <c r="P675" s="11" t="str">
        <f t="shared" si="10"/>
        <v>负</v>
      </c>
      <c r="Q675" s="11" t="str">
        <f t="shared" si="10"/>
        <v>负</v>
      </c>
    </row>
    <row r="676" spans="4:17" customFormat="1" hidden="1" x14ac:dyDescent="0.15">
      <c r="D676" t="s">
        <v>6</v>
      </c>
      <c r="E676" s="1">
        <v>325157</v>
      </c>
      <c r="F676" s="1">
        <v>325157</v>
      </c>
      <c r="G676" s="8">
        <v>42863.000694444447</v>
      </c>
      <c r="H676" s="1" t="s">
        <v>48</v>
      </c>
      <c r="I676" s="1">
        <v>0</v>
      </c>
      <c r="J676" s="1">
        <v>0</v>
      </c>
      <c r="K676" s="1">
        <v>0</v>
      </c>
      <c r="L676" s="1" t="s">
        <v>35</v>
      </c>
      <c r="M676" s="1">
        <v>0</v>
      </c>
      <c r="N676" s="1">
        <v>0</v>
      </c>
      <c r="O676" s="1">
        <v>0</v>
      </c>
      <c r="P676" s="11" t="str">
        <f t="shared" si="10"/>
        <v>平</v>
      </c>
      <c r="Q676" s="11" t="str">
        <f t="shared" si="10"/>
        <v>平</v>
      </c>
    </row>
    <row r="677" spans="4:17" customFormat="1" hidden="1" x14ac:dyDescent="0.15">
      <c r="D677" t="s">
        <v>6</v>
      </c>
      <c r="E677" s="1">
        <v>325197</v>
      </c>
      <c r="F677" s="1">
        <v>325197</v>
      </c>
      <c r="G677" s="8">
        <v>42863.002083333333</v>
      </c>
      <c r="H677" s="1" t="s">
        <v>45</v>
      </c>
      <c r="I677" s="1">
        <v>0</v>
      </c>
      <c r="J677" s="1">
        <v>0</v>
      </c>
      <c r="K677" s="1">
        <v>0</v>
      </c>
      <c r="L677" s="1" t="s">
        <v>52</v>
      </c>
      <c r="M677" s="1">
        <v>0</v>
      </c>
      <c r="N677" s="1">
        <v>2</v>
      </c>
      <c r="O677" s="1">
        <v>0</v>
      </c>
      <c r="P677" s="11" t="str">
        <f t="shared" si="10"/>
        <v>平</v>
      </c>
      <c r="Q677" s="11" t="str">
        <f t="shared" si="10"/>
        <v>负</v>
      </c>
    </row>
    <row r="678" spans="4:17" customFormat="1" hidden="1" x14ac:dyDescent="0.15">
      <c r="D678" t="s">
        <v>6</v>
      </c>
      <c r="E678" s="1">
        <v>325198</v>
      </c>
      <c r="F678" s="1">
        <v>325198</v>
      </c>
      <c r="G678" s="8">
        <v>42863.003472222219</v>
      </c>
      <c r="H678" s="1" t="s">
        <v>49</v>
      </c>
      <c r="I678" s="1">
        <v>0</v>
      </c>
      <c r="J678" s="1">
        <v>1</v>
      </c>
      <c r="K678" s="1">
        <v>0</v>
      </c>
      <c r="L678" s="1" t="s">
        <v>42</v>
      </c>
      <c r="M678" s="1">
        <v>1</v>
      </c>
      <c r="N678" s="1">
        <v>1</v>
      </c>
      <c r="O678" s="1">
        <v>0</v>
      </c>
      <c r="P678" s="11" t="str">
        <f t="shared" si="10"/>
        <v>负</v>
      </c>
      <c r="Q678" s="11" t="str">
        <f t="shared" si="10"/>
        <v>平</v>
      </c>
    </row>
    <row r="679" spans="4:17" customFormat="1" hidden="1" x14ac:dyDescent="0.15">
      <c r="D679" t="s">
        <v>6</v>
      </c>
      <c r="E679" s="1">
        <v>325199</v>
      </c>
      <c r="F679" s="1">
        <v>325199</v>
      </c>
      <c r="G679" s="8">
        <v>42863.000694444447</v>
      </c>
      <c r="H679" s="1" t="s">
        <v>40</v>
      </c>
      <c r="I679" s="1">
        <v>1</v>
      </c>
      <c r="J679" s="1">
        <v>1</v>
      </c>
      <c r="K679" s="1">
        <v>0</v>
      </c>
      <c r="L679" s="1" t="s">
        <v>41</v>
      </c>
      <c r="M679" s="1">
        <v>1</v>
      </c>
      <c r="N679" s="1">
        <v>1</v>
      </c>
      <c r="O679" s="1">
        <v>0</v>
      </c>
      <c r="P679" s="11" t="str">
        <f t="shared" si="10"/>
        <v>平</v>
      </c>
      <c r="Q679" s="11" t="str">
        <f t="shared" si="10"/>
        <v>平</v>
      </c>
    </row>
    <row r="680" spans="4:17" customFormat="1" hidden="1" x14ac:dyDescent="0.15">
      <c r="D680" t="s">
        <v>6</v>
      </c>
      <c r="E680" s="1">
        <v>325200</v>
      </c>
      <c r="F680" s="1">
        <v>325200</v>
      </c>
      <c r="G680" s="8">
        <v>42863.000694444447</v>
      </c>
      <c r="H680" s="1" t="s">
        <v>53</v>
      </c>
      <c r="I680" s="1">
        <v>1</v>
      </c>
      <c r="J680" s="1">
        <v>1</v>
      </c>
      <c r="K680" s="1">
        <v>0</v>
      </c>
      <c r="L680" s="1" t="s">
        <v>56</v>
      </c>
      <c r="M680" s="1">
        <v>1</v>
      </c>
      <c r="N680" s="1">
        <v>1</v>
      </c>
      <c r="O680" s="1">
        <v>0</v>
      </c>
      <c r="P680" s="11" t="str">
        <f t="shared" si="10"/>
        <v>平</v>
      </c>
      <c r="Q680" s="11" t="str">
        <f t="shared" si="10"/>
        <v>平</v>
      </c>
    </row>
    <row r="681" spans="4:17" customFormat="1" hidden="1" x14ac:dyDescent="0.15">
      <c r="D681" t="s">
        <v>6</v>
      </c>
      <c r="E681" s="1">
        <v>325201</v>
      </c>
      <c r="F681" s="1">
        <v>325201</v>
      </c>
      <c r="G681" s="8">
        <v>42863.086805555555</v>
      </c>
      <c r="H681" s="1" t="s">
        <v>37</v>
      </c>
      <c r="I681" s="1">
        <v>1</v>
      </c>
      <c r="J681" s="1">
        <v>2</v>
      </c>
      <c r="K681" s="1">
        <v>0</v>
      </c>
      <c r="L681" s="1" t="s">
        <v>46</v>
      </c>
      <c r="M681" s="1">
        <v>0</v>
      </c>
      <c r="N681" s="1">
        <v>1</v>
      </c>
      <c r="O681" s="1">
        <v>0</v>
      </c>
      <c r="P681" s="11" t="str">
        <f t="shared" si="10"/>
        <v>胜</v>
      </c>
      <c r="Q681" s="11" t="str">
        <f t="shared" si="10"/>
        <v>胜</v>
      </c>
    </row>
    <row r="682" spans="4:17" customFormat="1" hidden="1" x14ac:dyDescent="0.15">
      <c r="D682" t="s">
        <v>6</v>
      </c>
      <c r="E682" s="1">
        <v>325202</v>
      </c>
      <c r="F682" s="1">
        <v>325202</v>
      </c>
      <c r="G682" s="8">
        <v>42864.042361111111</v>
      </c>
      <c r="H682" s="1" t="s">
        <v>44</v>
      </c>
      <c r="I682" s="1">
        <v>0</v>
      </c>
      <c r="J682" s="1">
        <v>0</v>
      </c>
      <c r="K682" s="1">
        <v>0</v>
      </c>
      <c r="L682" s="1" t="s">
        <v>54</v>
      </c>
      <c r="M682" s="1">
        <v>0</v>
      </c>
      <c r="N682" s="1">
        <v>1</v>
      </c>
      <c r="O682" s="1">
        <v>0</v>
      </c>
      <c r="P682" s="11" t="str">
        <f t="shared" si="10"/>
        <v>平</v>
      </c>
      <c r="Q682" s="11" t="str">
        <f t="shared" si="10"/>
        <v>负</v>
      </c>
    </row>
    <row r="683" spans="4:17" customFormat="1" hidden="1" x14ac:dyDescent="0.15">
      <c r="D683" t="s">
        <v>6</v>
      </c>
      <c r="E683" s="1">
        <v>327815</v>
      </c>
      <c r="F683" s="1">
        <v>327815</v>
      </c>
      <c r="G683" s="8">
        <v>42868.044444444444</v>
      </c>
      <c r="H683" s="1" t="s">
        <v>43</v>
      </c>
      <c r="I683" s="1">
        <v>0</v>
      </c>
      <c r="J683" s="1">
        <v>0</v>
      </c>
      <c r="K683" s="1">
        <v>0</v>
      </c>
      <c r="L683" s="1" t="s">
        <v>49</v>
      </c>
      <c r="M683" s="1">
        <v>1</v>
      </c>
      <c r="N683" s="1">
        <v>1</v>
      </c>
      <c r="O683" s="1">
        <v>0</v>
      </c>
      <c r="P683" s="11" t="str">
        <f t="shared" si="10"/>
        <v>负</v>
      </c>
      <c r="Q683" s="11" t="str">
        <f t="shared" si="10"/>
        <v>负</v>
      </c>
    </row>
    <row r="684" spans="4:17" customFormat="1" hidden="1" x14ac:dyDescent="0.15">
      <c r="D684" t="s">
        <v>6</v>
      </c>
      <c r="E684" s="1">
        <v>327816</v>
      </c>
      <c r="F684" s="1">
        <v>327816</v>
      </c>
      <c r="G684" s="8">
        <v>42868.918055555558</v>
      </c>
      <c r="H684" s="1" t="s">
        <v>42</v>
      </c>
      <c r="I684" s="1">
        <v>0</v>
      </c>
      <c r="J684" s="1">
        <v>0</v>
      </c>
      <c r="K684" s="1">
        <v>0</v>
      </c>
      <c r="L684" s="1" t="s">
        <v>37</v>
      </c>
      <c r="M684" s="1">
        <v>0</v>
      </c>
      <c r="N684" s="1">
        <v>0</v>
      </c>
      <c r="O684" s="1">
        <v>0</v>
      </c>
      <c r="P684" s="11" t="str">
        <f t="shared" si="10"/>
        <v>平</v>
      </c>
      <c r="Q684" s="11" t="str">
        <f t="shared" si="10"/>
        <v>平</v>
      </c>
    </row>
    <row r="685" spans="4:17" customFormat="1" hidden="1" x14ac:dyDescent="0.15">
      <c r="D685" t="s">
        <v>6</v>
      </c>
      <c r="E685" s="1">
        <v>327817</v>
      </c>
      <c r="F685" s="1">
        <v>327817</v>
      </c>
      <c r="G685" s="8">
        <v>42869.003472222219</v>
      </c>
      <c r="H685" s="1" t="s">
        <v>56</v>
      </c>
      <c r="I685" s="1">
        <v>0</v>
      </c>
      <c r="J685" s="1">
        <v>1</v>
      </c>
      <c r="K685" s="1">
        <v>0</v>
      </c>
      <c r="L685" s="1" t="s">
        <v>44</v>
      </c>
      <c r="M685" s="1">
        <v>0</v>
      </c>
      <c r="N685" s="1">
        <v>1</v>
      </c>
      <c r="O685" s="1">
        <v>0</v>
      </c>
      <c r="P685" s="11" t="str">
        <f t="shared" si="10"/>
        <v>平</v>
      </c>
      <c r="Q685" s="11" t="str">
        <f t="shared" si="10"/>
        <v>平</v>
      </c>
    </row>
    <row r="686" spans="4:17" customFormat="1" hidden="1" x14ac:dyDescent="0.15">
      <c r="D686" t="s">
        <v>6</v>
      </c>
      <c r="E686" s="1">
        <v>327840</v>
      </c>
      <c r="F686" s="1">
        <v>327840</v>
      </c>
      <c r="G686" s="8">
        <v>42869.001388888886</v>
      </c>
      <c r="H686" s="1" t="s">
        <v>54</v>
      </c>
      <c r="I686" s="1">
        <v>0</v>
      </c>
      <c r="J686" s="1">
        <v>2</v>
      </c>
      <c r="K686" s="1">
        <v>0</v>
      </c>
      <c r="L686" s="1" t="s">
        <v>40</v>
      </c>
      <c r="M686" s="1">
        <v>0</v>
      </c>
      <c r="N686" s="1">
        <v>0</v>
      </c>
      <c r="O686" s="1">
        <v>0</v>
      </c>
      <c r="P686" s="11" t="str">
        <f t="shared" si="10"/>
        <v>平</v>
      </c>
      <c r="Q686" s="11" t="str">
        <f t="shared" si="10"/>
        <v>胜</v>
      </c>
    </row>
    <row r="687" spans="4:17" customFormat="1" hidden="1" x14ac:dyDescent="0.15">
      <c r="D687" t="s">
        <v>6</v>
      </c>
      <c r="E687" s="1">
        <v>327841</v>
      </c>
      <c r="F687" s="1">
        <v>327841</v>
      </c>
      <c r="G687" s="8">
        <v>42869.001388888886</v>
      </c>
      <c r="H687" s="1" t="s">
        <v>35</v>
      </c>
      <c r="I687" s="1">
        <v>2</v>
      </c>
      <c r="J687" s="1">
        <v>4</v>
      </c>
      <c r="K687" s="1">
        <v>0</v>
      </c>
      <c r="L687" s="1" t="s">
        <v>45</v>
      </c>
      <c r="M687" s="1">
        <v>0</v>
      </c>
      <c r="N687" s="1">
        <v>0</v>
      </c>
      <c r="O687" s="1">
        <v>0</v>
      </c>
      <c r="P687" s="11" t="str">
        <f t="shared" si="10"/>
        <v>胜</v>
      </c>
      <c r="Q687" s="11" t="str">
        <f t="shared" si="10"/>
        <v>胜</v>
      </c>
    </row>
    <row r="688" spans="4:17" customFormat="1" hidden="1" x14ac:dyDescent="0.15">
      <c r="D688" t="s">
        <v>6</v>
      </c>
      <c r="E688" s="1">
        <v>327842</v>
      </c>
      <c r="F688" s="1">
        <v>327842</v>
      </c>
      <c r="G688" s="8">
        <v>42869.000694444447</v>
      </c>
      <c r="H688" s="1" t="s">
        <v>52</v>
      </c>
      <c r="I688" s="1">
        <v>0</v>
      </c>
      <c r="J688" s="1">
        <v>2</v>
      </c>
      <c r="K688" s="1">
        <v>0</v>
      </c>
      <c r="L688" s="1" t="s">
        <v>48</v>
      </c>
      <c r="M688" s="1">
        <v>0</v>
      </c>
      <c r="N688" s="1">
        <v>0</v>
      </c>
      <c r="O688" s="1">
        <v>0</v>
      </c>
      <c r="P688" s="11" t="str">
        <f t="shared" si="10"/>
        <v>平</v>
      </c>
      <c r="Q688" s="11" t="str">
        <f t="shared" si="10"/>
        <v>胜</v>
      </c>
    </row>
    <row r="689" spans="4:17" customFormat="1" hidden="1" x14ac:dyDescent="0.15">
      <c r="D689" t="s">
        <v>6</v>
      </c>
      <c r="E689" s="1">
        <v>327843</v>
      </c>
      <c r="F689" s="1">
        <v>327843</v>
      </c>
      <c r="G689" s="8">
        <v>42869.000694444447</v>
      </c>
      <c r="H689" s="1" t="s">
        <v>41</v>
      </c>
      <c r="I689" s="1">
        <v>0</v>
      </c>
      <c r="J689" s="1">
        <v>1</v>
      </c>
      <c r="K689" s="1">
        <v>0</v>
      </c>
      <c r="L689" s="1" t="s">
        <v>53</v>
      </c>
      <c r="M689" s="1">
        <v>0</v>
      </c>
      <c r="N689" s="1">
        <v>1</v>
      </c>
      <c r="O689" s="1">
        <v>0</v>
      </c>
      <c r="P689" s="11" t="str">
        <f t="shared" si="10"/>
        <v>平</v>
      </c>
      <c r="Q689" s="11" t="str">
        <f t="shared" si="10"/>
        <v>平</v>
      </c>
    </row>
    <row r="690" spans="4:17" customFormat="1" hidden="1" x14ac:dyDescent="0.15">
      <c r="D690" t="s">
        <v>6</v>
      </c>
      <c r="E690" s="1">
        <v>327844</v>
      </c>
      <c r="F690" s="1">
        <v>327844</v>
      </c>
      <c r="G690" s="8">
        <v>42869.086805555555</v>
      </c>
      <c r="H690" s="1" t="s">
        <v>46</v>
      </c>
      <c r="I690" s="1">
        <v>1</v>
      </c>
      <c r="J690" s="1">
        <v>4</v>
      </c>
      <c r="K690" s="1">
        <v>0</v>
      </c>
      <c r="L690" s="1" t="s">
        <v>38</v>
      </c>
      <c r="M690" s="1">
        <v>1</v>
      </c>
      <c r="N690" s="1">
        <v>1</v>
      </c>
      <c r="O690" s="1">
        <v>0</v>
      </c>
      <c r="P690" s="11" t="str">
        <f t="shared" si="10"/>
        <v>平</v>
      </c>
      <c r="Q690" s="11" t="str">
        <f t="shared" si="10"/>
        <v>胜</v>
      </c>
    </row>
    <row r="691" spans="4:17" customFormat="1" hidden="1" x14ac:dyDescent="0.15">
      <c r="D691" t="s">
        <v>6</v>
      </c>
      <c r="E691" s="1">
        <v>330240</v>
      </c>
      <c r="F691" s="1">
        <v>330240</v>
      </c>
      <c r="G691" s="8">
        <v>42872.000694444447</v>
      </c>
      <c r="H691" s="1" t="s">
        <v>48</v>
      </c>
      <c r="I691" s="1">
        <v>0</v>
      </c>
      <c r="J691" s="1">
        <v>0</v>
      </c>
      <c r="K691" s="1">
        <v>0</v>
      </c>
      <c r="L691" s="1" t="s">
        <v>54</v>
      </c>
      <c r="M691" s="1">
        <v>1</v>
      </c>
      <c r="N691" s="1">
        <v>2</v>
      </c>
      <c r="O691" s="1">
        <v>0</v>
      </c>
      <c r="P691" s="11" t="str">
        <f t="shared" si="10"/>
        <v>负</v>
      </c>
      <c r="Q691" s="11" t="str">
        <f t="shared" si="10"/>
        <v>负</v>
      </c>
    </row>
    <row r="692" spans="4:17" customFormat="1" hidden="1" x14ac:dyDescent="0.15">
      <c r="D692" t="s">
        <v>6</v>
      </c>
      <c r="E692" s="1">
        <v>330241</v>
      </c>
      <c r="F692" s="1">
        <v>330241</v>
      </c>
      <c r="G692" s="8">
        <v>42872.002083333333</v>
      </c>
      <c r="H692" s="1" t="s">
        <v>44</v>
      </c>
      <c r="I692" s="1">
        <v>0</v>
      </c>
      <c r="J692" s="1">
        <v>1</v>
      </c>
      <c r="K692" s="1">
        <v>0</v>
      </c>
      <c r="L692" s="1" t="s">
        <v>41</v>
      </c>
      <c r="M692" s="1">
        <v>1</v>
      </c>
      <c r="N692" s="1">
        <v>2</v>
      </c>
      <c r="O692" s="1">
        <v>0</v>
      </c>
      <c r="P692" s="11" t="str">
        <f t="shared" si="10"/>
        <v>负</v>
      </c>
      <c r="Q692" s="11" t="str">
        <f t="shared" si="10"/>
        <v>负</v>
      </c>
    </row>
    <row r="693" spans="4:17" customFormat="1" hidden="1" x14ac:dyDescent="0.15">
      <c r="D693" t="s">
        <v>6</v>
      </c>
      <c r="E693" s="1">
        <v>330242</v>
      </c>
      <c r="F693" s="1">
        <v>330242</v>
      </c>
      <c r="G693" s="8">
        <v>42872.000694444447</v>
      </c>
      <c r="H693" s="1" t="s">
        <v>38</v>
      </c>
      <c r="I693" s="1">
        <v>0</v>
      </c>
      <c r="J693" s="1">
        <v>1</v>
      </c>
      <c r="K693" s="1">
        <v>0</v>
      </c>
      <c r="L693" s="1" t="s">
        <v>35</v>
      </c>
      <c r="M693" s="1">
        <v>0</v>
      </c>
      <c r="N693" s="1">
        <v>2</v>
      </c>
      <c r="O693" s="1">
        <v>0</v>
      </c>
      <c r="P693" s="11" t="str">
        <f t="shared" si="10"/>
        <v>平</v>
      </c>
      <c r="Q693" s="11" t="str">
        <f t="shared" si="10"/>
        <v>负</v>
      </c>
    </row>
    <row r="694" spans="4:17" customFormat="1" hidden="1" x14ac:dyDescent="0.15">
      <c r="D694" t="s">
        <v>6</v>
      </c>
      <c r="E694" s="1">
        <v>330243</v>
      </c>
      <c r="F694" s="1">
        <v>330243</v>
      </c>
      <c r="G694" s="8">
        <v>42872.003472222219</v>
      </c>
      <c r="H694" s="1" t="s">
        <v>46</v>
      </c>
      <c r="I694" s="1">
        <v>4</v>
      </c>
      <c r="J694" s="1">
        <v>5</v>
      </c>
      <c r="K694" s="1">
        <v>0</v>
      </c>
      <c r="L694" s="1" t="s">
        <v>52</v>
      </c>
      <c r="M694" s="1">
        <v>0</v>
      </c>
      <c r="N694" s="1">
        <v>0</v>
      </c>
      <c r="O694" s="1">
        <v>0</v>
      </c>
      <c r="P694" s="11" t="str">
        <f t="shared" si="10"/>
        <v>胜</v>
      </c>
      <c r="Q694" s="11" t="str">
        <f t="shared" si="10"/>
        <v>胜</v>
      </c>
    </row>
    <row r="695" spans="4:17" customFormat="1" hidden="1" x14ac:dyDescent="0.15">
      <c r="D695" t="s">
        <v>6</v>
      </c>
      <c r="E695" s="1">
        <v>330244</v>
      </c>
      <c r="F695" s="1">
        <v>330244</v>
      </c>
      <c r="G695" s="8">
        <v>42872.001388888886</v>
      </c>
      <c r="H695" s="1" t="s">
        <v>49</v>
      </c>
      <c r="I695" s="1">
        <v>0</v>
      </c>
      <c r="J695" s="1">
        <v>1</v>
      </c>
      <c r="K695" s="1">
        <v>0</v>
      </c>
      <c r="L695" s="1" t="s">
        <v>56</v>
      </c>
      <c r="M695" s="1">
        <v>0</v>
      </c>
      <c r="N695" s="1">
        <v>0</v>
      </c>
      <c r="O695" s="1">
        <v>0</v>
      </c>
      <c r="P695" s="11" t="str">
        <f t="shared" si="10"/>
        <v>平</v>
      </c>
      <c r="Q695" s="11" t="str">
        <f t="shared" si="10"/>
        <v>胜</v>
      </c>
    </row>
    <row r="696" spans="4:17" customFormat="1" hidden="1" x14ac:dyDescent="0.15">
      <c r="D696" t="s">
        <v>6</v>
      </c>
      <c r="E696" s="1">
        <v>330245</v>
      </c>
      <c r="F696" s="1">
        <v>330245</v>
      </c>
      <c r="G696" s="8">
        <v>42871.999305555553</v>
      </c>
      <c r="H696" s="1" t="s">
        <v>45</v>
      </c>
      <c r="I696" s="1">
        <v>1</v>
      </c>
      <c r="J696" s="1">
        <v>1</v>
      </c>
      <c r="K696" s="1">
        <v>0</v>
      </c>
      <c r="L696" s="1" t="s">
        <v>43</v>
      </c>
      <c r="M696" s="1">
        <v>1</v>
      </c>
      <c r="N696" s="1">
        <v>2</v>
      </c>
      <c r="O696" s="1">
        <v>0</v>
      </c>
      <c r="P696" s="11" t="str">
        <f t="shared" si="10"/>
        <v>平</v>
      </c>
      <c r="Q696" s="11" t="str">
        <f t="shared" si="10"/>
        <v>负</v>
      </c>
    </row>
    <row r="697" spans="4:17" customFormat="1" hidden="1" x14ac:dyDescent="0.15">
      <c r="D697" t="s">
        <v>6</v>
      </c>
      <c r="E697" s="1">
        <v>330246</v>
      </c>
      <c r="F697" s="1">
        <v>330246</v>
      </c>
      <c r="G697" s="8">
        <v>42872.084722222222</v>
      </c>
      <c r="H697" s="1" t="s">
        <v>37</v>
      </c>
      <c r="I697" s="1">
        <v>1</v>
      </c>
      <c r="J697" s="1">
        <v>1</v>
      </c>
      <c r="K697" s="1">
        <v>0</v>
      </c>
      <c r="L697" s="1" t="s">
        <v>53</v>
      </c>
      <c r="M697" s="1">
        <v>1</v>
      </c>
      <c r="N697" s="1">
        <v>2</v>
      </c>
      <c r="O697" s="1">
        <v>0</v>
      </c>
      <c r="P697" s="11" t="str">
        <f t="shared" si="10"/>
        <v>平</v>
      </c>
      <c r="Q697" s="11" t="str">
        <f t="shared" si="10"/>
        <v>负</v>
      </c>
    </row>
    <row r="698" spans="4:17" customFormat="1" hidden="1" x14ac:dyDescent="0.15">
      <c r="D698" t="s">
        <v>6</v>
      </c>
      <c r="E698" s="1">
        <v>330247</v>
      </c>
      <c r="F698" s="1">
        <v>330247</v>
      </c>
      <c r="G698" s="8">
        <v>42872.084027777775</v>
      </c>
      <c r="H698" s="1" t="s">
        <v>40</v>
      </c>
      <c r="I698" s="1">
        <v>1</v>
      </c>
      <c r="J698" s="1">
        <v>1</v>
      </c>
      <c r="K698" s="1">
        <v>0</v>
      </c>
      <c r="L698" s="1" t="s">
        <v>42</v>
      </c>
      <c r="M698" s="1">
        <v>1</v>
      </c>
      <c r="N698" s="1">
        <v>2</v>
      </c>
      <c r="O698" s="1">
        <v>0</v>
      </c>
      <c r="P698" s="11" t="str">
        <f t="shared" si="10"/>
        <v>平</v>
      </c>
      <c r="Q698" s="11" t="str">
        <f t="shared" si="10"/>
        <v>负</v>
      </c>
    </row>
    <row r="699" spans="4:17" customFormat="1" hidden="1" x14ac:dyDescent="0.15">
      <c r="D699" t="s">
        <v>6</v>
      </c>
      <c r="E699" s="1">
        <v>331130</v>
      </c>
      <c r="F699" s="1">
        <v>331130</v>
      </c>
      <c r="G699" s="8">
        <v>42875.895833333336</v>
      </c>
      <c r="H699" s="1" t="s">
        <v>37</v>
      </c>
      <c r="I699" s="1">
        <v>0</v>
      </c>
      <c r="J699" s="1">
        <v>1</v>
      </c>
      <c r="K699" s="1">
        <v>0</v>
      </c>
      <c r="L699" s="1" t="s">
        <v>44</v>
      </c>
      <c r="M699" s="1">
        <v>0</v>
      </c>
      <c r="N699" s="1">
        <v>1</v>
      </c>
      <c r="O699" s="1">
        <v>0</v>
      </c>
      <c r="P699" s="11" t="str">
        <f t="shared" si="10"/>
        <v>平</v>
      </c>
      <c r="Q699" s="11" t="str">
        <f t="shared" si="10"/>
        <v>平</v>
      </c>
    </row>
    <row r="700" spans="4:17" customFormat="1" hidden="1" x14ac:dyDescent="0.15">
      <c r="D700" t="s">
        <v>6</v>
      </c>
      <c r="E700" s="1">
        <v>331153</v>
      </c>
      <c r="F700" s="1">
        <v>331153</v>
      </c>
      <c r="G700" s="8">
        <v>42876.000694444447</v>
      </c>
      <c r="H700" s="1" t="s">
        <v>35</v>
      </c>
      <c r="I700" s="1">
        <v>1</v>
      </c>
      <c r="J700" s="1">
        <v>2</v>
      </c>
      <c r="K700" s="1">
        <v>0</v>
      </c>
      <c r="L700" s="1" t="s">
        <v>46</v>
      </c>
      <c r="M700" s="1">
        <v>0</v>
      </c>
      <c r="N700" s="1">
        <v>3</v>
      </c>
      <c r="O700" s="1">
        <v>0</v>
      </c>
      <c r="P700" s="11" t="str">
        <f t="shared" si="10"/>
        <v>胜</v>
      </c>
      <c r="Q700" s="11" t="str">
        <f t="shared" si="10"/>
        <v>负</v>
      </c>
    </row>
    <row r="701" spans="4:17" customFormat="1" hidden="1" x14ac:dyDescent="0.15">
      <c r="D701" t="s">
        <v>6</v>
      </c>
      <c r="E701" s="1">
        <v>331154</v>
      </c>
      <c r="F701" s="1">
        <v>331154</v>
      </c>
      <c r="G701" s="8">
        <v>42877.003472222219</v>
      </c>
      <c r="H701" s="1" t="s">
        <v>43</v>
      </c>
      <c r="I701" s="1">
        <v>2</v>
      </c>
      <c r="J701" s="1">
        <v>2</v>
      </c>
      <c r="K701" s="1">
        <v>0</v>
      </c>
      <c r="L701" s="1" t="s">
        <v>52</v>
      </c>
      <c r="M701" s="1">
        <v>0</v>
      </c>
      <c r="N701" s="1">
        <v>0</v>
      </c>
      <c r="O701" s="1">
        <v>0</v>
      </c>
      <c r="P701" s="11" t="str">
        <f t="shared" si="10"/>
        <v>胜</v>
      </c>
      <c r="Q701" s="11" t="str">
        <f t="shared" si="10"/>
        <v>胜</v>
      </c>
    </row>
    <row r="702" spans="4:17" customFormat="1" hidden="1" x14ac:dyDescent="0.15">
      <c r="D702" t="s">
        <v>6</v>
      </c>
      <c r="E702" s="1">
        <v>331155</v>
      </c>
      <c r="F702" s="1">
        <v>331155</v>
      </c>
      <c r="G702" s="8">
        <v>42877.003472222219</v>
      </c>
      <c r="H702" s="1" t="s">
        <v>56</v>
      </c>
      <c r="I702" s="1">
        <v>0</v>
      </c>
      <c r="J702" s="1">
        <v>3</v>
      </c>
      <c r="K702" s="1">
        <v>0</v>
      </c>
      <c r="L702" s="1" t="s">
        <v>48</v>
      </c>
      <c r="M702" s="1">
        <v>0</v>
      </c>
      <c r="N702" s="1">
        <v>2</v>
      </c>
      <c r="O702" s="1">
        <v>0</v>
      </c>
      <c r="P702" s="11" t="str">
        <f t="shared" si="10"/>
        <v>平</v>
      </c>
      <c r="Q702" s="11" t="str">
        <f t="shared" si="10"/>
        <v>胜</v>
      </c>
    </row>
    <row r="703" spans="4:17" customFormat="1" hidden="1" x14ac:dyDescent="0.15">
      <c r="D703" t="s">
        <v>6</v>
      </c>
      <c r="E703" s="1">
        <v>331156</v>
      </c>
      <c r="F703" s="1">
        <v>331156</v>
      </c>
      <c r="G703" s="8">
        <v>42877.001388888886</v>
      </c>
      <c r="H703" s="1" t="s">
        <v>41</v>
      </c>
      <c r="I703" s="1">
        <v>2</v>
      </c>
      <c r="J703" s="1">
        <v>2</v>
      </c>
      <c r="K703" s="1">
        <v>0</v>
      </c>
      <c r="L703" s="1" t="s">
        <v>49</v>
      </c>
      <c r="M703" s="1">
        <v>0</v>
      </c>
      <c r="N703" s="1">
        <v>0</v>
      </c>
      <c r="O703" s="1">
        <v>0</v>
      </c>
      <c r="P703" s="11" t="str">
        <f t="shared" si="10"/>
        <v>胜</v>
      </c>
      <c r="Q703" s="11" t="str">
        <f t="shared" si="10"/>
        <v>胜</v>
      </c>
    </row>
    <row r="704" spans="4:17" customFormat="1" hidden="1" x14ac:dyDescent="0.15">
      <c r="D704" t="s">
        <v>6</v>
      </c>
      <c r="E704" s="1">
        <v>331157</v>
      </c>
      <c r="F704" s="1">
        <v>331157</v>
      </c>
      <c r="G704" s="8">
        <v>42877.001388888886</v>
      </c>
      <c r="H704" s="1" t="s">
        <v>53</v>
      </c>
      <c r="I704" s="1">
        <v>1</v>
      </c>
      <c r="J704" s="1">
        <v>1</v>
      </c>
      <c r="K704" s="1">
        <v>0</v>
      </c>
      <c r="L704" s="1" t="s">
        <v>40</v>
      </c>
      <c r="M704" s="1">
        <v>0</v>
      </c>
      <c r="N704" s="1">
        <v>1</v>
      </c>
      <c r="O704" s="1">
        <v>0</v>
      </c>
      <c r="P704" s="11" t="str">
        <f t="shared" si="10"/>
        <v>胜</v>
      </c>
      <c r="Q704" s="11" t="str">
        <f t="shared" si="10"/>
        <v>平</v>
      </c>
    </row>
    <row r="705" spans="4:17" customFormat="1" hidden="1" x14ac:dyDescent="0.15">
      <c r="D705" t="s">
        <v>6</v>
      </c>
      <c r="E705" s="1">
        <v>331158</v>
      </c>
      <c r="F705" s="1">
        <v>331158</v>
      </c>
      <c r="G705" s="8">
        <v>42877.084027777775</v>
      </c>
      <c r="H705" s="1" t="s">
        <v>54</v>
      </c>
      <c r="I705" s="1">
        <v>0</v>
      </c>
      <c r="J705" s="1">
        <v>1</v>
      </c>
      <c r="K705" s="1">
        <v>0</v>
      </c>
      <c r="L705" s="1" t="s">
        <v>38</v>
      </c>
      <c r="M705" s="1">
        <v>0</v>
      </c>
      <c r="N705" s="1">
        <v>2</v>
      </c>
      <c r="O705" s="1">
        <v>0</v>
      </c>
      <c r="P705" s="11" t="str">
        <f t="shared" si="10"/>
        <v>平</v>
      </c>
      <c r="Q705" s="11" t="str">
        <f t="shared" si="10"/>
        <v>负</v>
      </c>
    </row>
    <row r="706" spans="4:17" customFormat="1" hidden="1" x14ac:dyDescent="0.15">
      <c r="D706" t="s">
        <v>6</v>
      </c>
      <c r="E706" s="1">
        <v>331159</v>
      </c>
      <c r="F706" s="1">
        <v>331159</v>
      </c>
      <c r="G706" s="8">
        <v>42878.045138888891</v>
      </c>
      <c r="H706" s="1" t="s">
        <v>42</v>
      </c>
      <c r="I706" s="1">
        <v>0</v>
      </c>
      <c r="J706" s="1">
        <v>1</v>
      </c>
      <c r="K706" s="1">
        <v>0</v>
      </c>
      <c r="L706" s="1" t="s">
        <v>45</v>
      </c>
      <c r="M706" s="1">
        <v>1</v>
      </c>
      <c r="N706" s="1">
        <v>1</v>
      </c>
      <c r="O706" s="1">
        <v>0</v>
      </c>
      <c r="P706" s="11" t="str">
        <f t="shared" si="10"/>
        <v>负</v>
      </c>
      <c r="Q706" s="11" t="str">
        <f t="shared" si="10"/>
        <v>平</v>
      </c>
    </row>
    <row r="707" spans="4:17" customFormat="1" hidden="1" x14ac:dyDescent="0.15">
      <c r="D707" t="s">
        <v>6</v>
      </c>
      <c r="E707" s="1">
        <v>332903</v>
      </c>
      <c r="F707" s="1">
        <v>332903</v>
      </c>
      <c r="G707" s="8">
        <v>42883.001388888886</v>
      </c>
      <c r="H707" s="1" t="s">
        <v>52</v>
      </c>
      <c r="I707" s="1">
        <v>0</v>
      </c>
      <c r="J707" s="1">
        <v>0</v>
      </c>
      <c r="K707" s="1">
        <v>0</v>
      </c>
      <c r="L707" s="1" t="s">
        <v>54</v>
      </c>
      <c r="M707" s="1">
        <v>0</v>
      </c>
      <c r="N707" s="1">
        <v>0</v>
      </c>
      <c r="O707" s="1">
        <v>0</v>
      </c>
      <c r="P707" s="11" t="str">
        <f t="shared" si="10"/>
        <v>平</v>
      </c>
      <c r="Q707" s="11" t="str">
        <f t="shared" si="10"/>
        <v>平</v>
      </c>
    </row>
    <row r="708" spans="4:17" customFormat="1" hidden="1" x14ac:dyDescent="0.15">
      <c r="D708" t="s">
        <v>6</v>
      </c>
      <c r="E708" s="1">
        <v>332904</v>
      </c>
      <c r="F708" s="1">
        <v>332904</v>
      </c>
      <c r="G708" s="8">
        <v>42883.999305555553</v>
      </c>
      <c r="H708" s="1" t="s">
        <v>48</v>
      </c>
      <c r="I708" s="1">
        <v>0</v>
      </c>
      <c r="J708" s="1">
        <v>0</v>
      </c>
      <c r="K708" s="1">
        <v>0</v>
      </c>
      <c r="L708" s="1" t="s">
        <v>41</v>
      </c>
      <c r="M708" s="1">
        <v>0</v>
      </c>
      <c r="N708" s="1">
        <v>0</v>
      </c>
      <c r="O708" s="1">
        <v>0</v>
      </c>
      <c r="P708" s="11" t="str">
        <f t="shared" si="10"/>
        <v>平</v>
      </c>
      <c r="Q708" s="11" t="str">
        <f t="shared" si="10"/>
        <v>平</v>
      </c>
    </row>
    <row r="709" spans="4:17" customFormat="1" hidden="1" x14ac:dyDescent="0.15">
      <c r="D709" t="s">
        <v>6</v>
      </c>
      <c r="E709" s="1">
        <v>332905</v>
      </c>
      <c r="F709" s="1">
        <v>332905</v>
      </c>
      <c r="G709" s="8">
        <v>42884</v>
      </c>
      <c r="H709" s="1" t="s">
        <v>56</v>
      </c>
      <c r="I709" s="1">
        <v>1</v>
      </c>
      <c r="J709" s="1">
        <v>1</v>
      </c>
      <c r="K709" s="1">
        <v>0</v>
      </c>
      <c r="L709" s="1" t="s">
        <v>35</v>
      </c>
      <c r="M709" s="1">
        <v>0</v>
      </c>
      <c r="N709" s="1">
        <v>1</v>
      </c>
      <c r="O709" s="1">
        <v>0</v>
      </c>
      <c r="P709" s="11" t="str">
        <f t="shared" si="10"/>
        <v>胜</v>
      </c>
      <c r="Q709" s="11" t="str">
        <f t="shared" si="10"/>
        <v>平</v>
      </c>
    </row>
    <row r="710" spans="4:17" customFormat="1" hidden="1" x14ac:dyDescent="0.15">
      <c r="D710" t="s">
        <v>6</v>
      </c>
      <c r="E710" s="1">
        <v>332906</v>
      </c>
      <c r="F710" s="1">
        <v>332906</v>
      </c>
      <c r="G710" s="8">
        <v>42884.000694444447</v>
      </c>
      <c r="H710" s="1" t="s">
        <v>44</v>
      </c>
      <c r="I710" s="1">
        <v>1</v>
      </c>
      <c r="J710" s="1">
        <v>4</v>
      </c>
      <c r="K710" s="1">
        <v>0</v>
      </c>
      <c r="L710" s="1" t="s">
        <v>53</v>
      </c>
      <c r="M710" s="1">
        <v>1</v>
      </c>
      <c r="N710" s="1">
        <v>1</v>
      </c>
      <c r="O710" s="1">
        <v>0</v>
      </c>
      <c r="P710" s="11" t="str">
        <f t="shared" si="10"/>
        <v>平</v>
      </c>
      <c r="Q710" s="11" t="str">
        <f t="shared" si="10"/>
        <v>胜</v>
      </c>
    </row>
    <row r="711" spans="4:17" customFormat="1" hidden="1" x14ac:dyDescent="0.15">
      <c r="D711" t="s">
        <v>6</v>
      </c>
      <c r="E711" s="1">
        <v>332907</v>
      </c>
      <c r="F711" s="1">
        <v>332907</v>
      </c>
      <c r="G711" s="8">
        <v>42884</v>
      </c>
      <c r="H711" s="1" t="s">
        <v>38</v>
      </c>
      <c r="I711" s="1">
        <v>2</v>
      </c>
      <c r="J711" s="1">
        <v>3</v>
      </c>
      <c r="K711" s="1">
        <v>0</v>
      </c>
      <c r="L711" s="1" t="s">
        <v>42</v>
      </c>
      <c r="M711" s="1">
        <v>0</v>
      </c>
      <c r="N711" s="1">
        <v>1</v>
      </c>
      <c r="O711" s="1">
        <v>0</v>
      </c>
      <c r="P711" s="11" t="str">
        <f t="shared" si="10"/>
        <v>胜</v>
      </c>
      <c r="Q711" s="11" t="str">
        <f t="shared" si="10"/>
        <v>胜</v>
      </c>
    </row>
    <row r="712" spans="4:17" customFormat="1" hidden="1" x14ac:dyDescent="0.15">
      <c r="D712" t="s">
        <v>6</v>
      </c>
      <c r="E712" s="1">
        <v>332908</v>
      </c>
      <c r="F712" s="1">
        <v>332908</v>
      </c>
      <c r="G712" s="8">
        <v>42884.000694444447</v>
      </c>
      <c r="H712" s="1" t="s">
        <v>46</v>
      </c>
      <c r="I712" s="1">
        <v>1</v>
      </c>
      <c r="J712" s="1">
        <v>1</v>
      </c>
      <c r="K712" s="1">
        <v>0</v>
      </c>
      <c r="L712" s="1" t="s">
        <v>43</v>
      </c>
      <c r="M712" s="1">
        <v>0</v>
      </c>
      <c r="N712" s="1">
        <v>1</v>
      </c>
      <c r="O712" s="1">
        <v>0</v>
      </c>
      <c r="P712" s="11" t="str">
        <f t="shared" si="10"/>
        <v>胜</v>
      </c>
      <c r="Q712" s="11" t="str">
        <f t="shared" si="10"/>
        <v>平</v>
      </c>
    </row>
    <row r="713" spans="4:17" customFormat="1" hidden="1" x14ac:dyDescent="0.15">
      <c r="D713" t="s">
        <v>6</v>
      </c>
      <c r="E713" s="1">
        <v>332909</v>
      </c>
      <c r="F713" s="1">
        <v>332909</v>
      </c>
      <c r="G713" s="8">
        <v>42884.083333333336</v>
      </c>
      <c r="H713" s="1" t="s">
        <v>49</v>
      </c>
      <c r="I713" s="1">
        <v>0</v>
      </c>
      <c r="J713" s="1">
        <v>1</v>
      </c>
      <c r="K713" s="1">
        <v>0</v>
      </c>
      <c r="L713" s="1" t="s">
        <v>37</v>
      </c>
      <c r="M713" s="1">
        <v>1</v>
      </c>
      <c r="N713" s="1">
        <v>1</v>
      </c>
      <c r="O713" s="1">
        <v>0</v>
      </c>
      <c r="P713" s="11" t="str">
        <f t="shared" si="10"/>
        <v>负</v>
      </c>
      <c r="Q713" s="11" t="str">
        <f t="shared" si="10"/>
        <v>平</v>
      </c>
    </row>
    <row r="714" spans="4:17" customFormat="1" hidden="1" x14ac:dyDescent="0.15">
      <c r="D714" t="s">
        <v>6</v>
      </c>
      <c r="E714" s="1">
        <v>332910</v>
      </c>
      <c r="F714" s="1">
        <v>332910</v>
      </c>
      <c r="G714" s="8">
        <v>42885.041666666664</v>
      </c>
      <c r="H714" s="1" t="s">
        <v>40</v>
      </c>
      <c r="I714" s="1">
        <v>2</v>
      </c>
      <c r="J714" s="1">
        <v>4</v>
      </c>
      <c r="K714" s="1">
        <v>0</v>
      </c>
      <c r="L714" s="1" t="s">
        <v>45</v>
      </c>
      <c r="M714" s="1">
        <v>0</v>
      </c>
      <c r="N714" s="1">
        <v>2</v>
      </c>
      <c r="O714" s="1">
        <v>0</v>
      </c>
      <c r="P714" s="11" t="str">
        <f t="shared" si="10"/>
        <v>胜</v>
      </c>
      <c r="Q714" s="11" t="str">
        <f t="shared" si="10"/>
        <v>胜</v>
      </c>
    </row>
    <row r="715" spans="4:17" customFormat="1" hidden="1" x14ac:dyDescent="0.15">
      <c r="D715" t="s">
        <v>6</v>
      </c>
      <c r="E715" s="1">
        <v>335137</v>
      </c>
      <c r="F715" s="1">
        <v>335137</v>
      </c>
      <c r="G715" s="8">
        <v>42889.899305555555</v>
      </c>
      <c r="H715" s="1" t="s">
        <v>53</v>
      </c>
      <c r="I715" s="1">
        <v>0</v>
      </c>
      <c r="J715" s="1">
        <v>2</v>
      </c>
      <c r="K715" s="1">
        <v>0</v>
      </c>
      <c r="L715" s="1" t="s">
        <v>49</v>
      </c>
      <c r="M715" s="1">
        <v>4</v>
      </c>
      <c r="N715" s="1">
        <v>4</v>
      </c>
      <c r="O715" s="1">
        <v>0</v>
      </c>
      <c r="P715" s="11" t="str">
        <f t="shared" si="10"/>
        <v>负</v>
      </c>
      <c r="Q715" s="11" t="str">
        <f t="shared" si="10"/>
        <v>负</v>
      </c>
    </row>
    <row r="716" spans="4:17" customFormat="1" hidden="1" x14ac:dyDescent="0.15">
      <c r="D716" t="s">
        <v>6</v>
      </c>
      <c r="E716" s="1">
        <v>335138</v>
      </c>
      <c r="F716" s="1">
        <v>335138</v>
      </c>
      <c r="G716" s="8">
        <v>42890.003472222219</v>
      </c>
      <c r="H716" s="1" t="s">
        <v>42</v>
      </c>
      <c r="I716" s="1">
        <v>1</v>
      </c>
      <c r="J716" s="1">
        <v>2</v>
      </c>
      <c r="K716" s="1">
        <v>0</v>
      </c>
      <c r="L716" s="1" t="s">
        <v>44</v>
      </c>
      <c r="M716" s="1">
        <v>1</v>
      </c>
      <c r="N716" s="1">
        <v>4</v>
      </c>
      <c r="O716" s="1">
        <v>0</v>
      </c>
      <c r="P716" s="11" t="str">
        <f t="shared" si="10"/>
        <v>平</v>
      </c>
      <c r="Q716" s="11" t="str">
        <f t="shared" si="10"/>
        <v>负</v>
      </c>
    </row>
    <row r="717" spans="4:17" customFormat="1" hidden="1" x14ac:dyDescent="0.15">
      <c r="D717" t="s">
        <v>6</v>
      </c>
      <c r="E717" s="1">
        <v>335139</v>
      </c>
      <c r="F717" s="1">
        <v>335139</v>
      </c>
      <c r="G717" s="8">
        <v>42890.999305555553</v>
      </c>
      <c r="H717" s="1" t="s">
        <v>35</v>
      </c>
      <c r="I717" s="1">
        <v>2</v>
      </c>
      <c r="J717" s="1">
        <v>3</v>
      </c>
      <c r="K717" s="1">
        <v>0</v>
      </c>
      <c r="L717" s="1" t="s">
        <v>52</v>
      </c>
      <c r="M717" s="1">
        <v>2</v>
      </c>
      <c r="N717" s="1">
        <v>2</v>
      </c>
      <c r="O717" s="1">
        <v>0</v>
      </c>
      <c r="P717" s="11" t="str">
        <f t="shared" ref="P717:Q780" si="11">IF(I717=M717,"平",IF(I717&gt;M717,"胜","负"))</f>
        <v>平</v>
      </c>
      <c r="Q717" s="11" t="str">
        <f t="shared" si="11"/>
        <v>胜</v>
      </c>
    </row>
    <row r="718" spans="4:17" customFormat="1" hidden="1" x14ac:dyDescent="0.15">
      <c r="D718" t="s">
        <v>6</v>
      </c>
      <c r="E718" s="1">
        <v>335140</v>
      </c>
      <c r="F718" s="1">
        <v>335140</v>
      </c>
      <c r="G718" s="8">
        <v>42891.001388888886</v>
      </c>
      <c r="H718" s="1" t="s">
        <v>45</v>
      </c>
      <c r="I718" s="1">
        <v>0</v>
      </c>
      <c r="J718" s="1">
        <v>2</v>
      </c>
      <c r="K718" s="1">
        <v>0</v>
      </c>
      <c r="L718" s="1" t="s">
        <v>56</v>
      </c>
      <c r="M718" s="1">
        <v>0</v>
      </c>
      <c r="N718" s="1">
        <v>1</v>
      </c>
      <c r="O718" s="1">
        <v>0</v>
      </c>
      <c r="P718" s="11" t="str">
        <f t="shared" si="11"/>
        <v>平</v>
      </c>
      <c r="Q718" s="11" t="str">
        <f t="shared" si="11"/>
        <v>胜</v>
      </c>
    </row>
    <row r="719" spans="4:17" customFormat="1" hidden="1" x14ac:dyDescent="0.15">
      <c r="D719" t="s">
        <v>6</v>
      </c>
      <c r="E719" s="1">
        <v>335141</v>
      </c>
      <c r="F719" s="1">
        <v>335141</v>
      </c>
      <c r="G719" s="8">
        <v>42891.003472222219</v>
      </c>
      <c r="H719" s="1" t="s">
        <v>37</v>
      </c>
      <c r="I719" s="1">
        <v>2</v>
      </c>
      <c r="J719" s="1">
        <v>3</v>
      </c>
      <c r="K719" s="1">
        <v>0</v>
      </c>
      <c r="L719" s="1" t="s">
        <v>40</v>
      </c>
      <c r="M719" s="1">
        <v>0</v>
      </c>
      <c r="N719" s="1">
        <v>1</v>
      </c>
      <c r="O719" s="1">
        <v>0</v>
      </c>
      <c r="P719" s="11" t="str">
        <f t="shared" si="11"/>
        <v>胜</v>
      </c>
      <c r="Q719" s="11" t="str">
        <f t="shared" si="11"/>
        <v>胜</v>
      </c>
    </row>
    <row r="720" spans="4:17" customFormat="1" hidden="1" x14ac:dyDescent="0.15">
      <c r="D720" t="s">
        <v>6</v>
      </c>
      <c r="E720" s="1">
        <v>335142</v>
      </c>
      <c r="F720" s="1">
        <v>335142</v>
      </c>
      <c r="G720" s="8">
        <v>42891.00277777778</v>
      </c>
      <c r="H720" s="1" t="s">
        <v>41</v>
      </c>
      <c r="I720" s="1">
        <v>0</v>
      </c>
      <c r="J720" s="1">
        <v>1</v>
      </c>
      <c r="K720" s="1">
        <v>0</v>
      </c>
      <c r="L720" s="1" t="s">
        <v>38</v>
      </c>
      <c r="M720" s="1">
        <v>0</v>
      </c>
      <c r="N720" s="1">
        <v>0</v>
      </c>
      <c r="O720" s="1">
        <v>0</v>
      </c>
      <c r="P720" s="11" t="str">
        <f t="shared" si="11"/>
        <v>平</v>
      </c>
      <c r="Q720" s="11" t="str">
        <f t="shared" si="11"/>
        <v>胜</v>
      </c>
    </row>
    <row r="721" spans="4:17" customFormat="1" hidden="1" x14ac:dyDescent="0.15">
      <c r="D721" t="s">
        <v>6</v>
      </c>
      <c r="E721" s="1">
        <v>335143</v>
      </c>
      <c r="F721" s="1">
        <v>335143</v>
      </c>
      <c r="G721" s="8">
        <v>42891.000694444447</v>
      </c>
      <c r="H721" s="1" t="s">
        <v>43</v>
      </c>
      <c r="I721" s="1">
        <v>0</v>
      </c>
      <c r="J721" s="1">
        <v>0</v>
      </c>
      <c r="K721" s="1">
        <v>0</v>
      </c>
      <c r="L721" s="1" t="s">
        <v>48</v>
      </c>
      <c r="M721" s="1">
        <v>1</v>
      </c>
      <c r="N721" s="1">
        <v>1</v>
      </c>
      <c r="O721" s="1">
        <v>0</v>
      </c>
      <c r="P721" s="11" t="str">
        <f t="shared" si="11"/>
        <v>负</v>
      </c>
      <c r="Q721" s="11" t="str">
        <f t="shared" si="11"/>
        <v>负</v>
      </c>
    </row>
    <row r="722" spans="4:17" customFormat="1" hidden="1" x14ac:dyDescent="0.15">
      <c r="D722" t="s">
        <v>6</v>
      </c>
      <c r="E722" s="1">
        <v>335144</v>
      </c>
      <c r="F722" s="1">
        <v>335144</v>
      </c>
      <c r="G722" s="8">
        <v>42891.083333333336</v>
      </c>
      <c r="H722" s="1" t="s">
        <v>54</v>
      </c>
      <c r="I722" s="1">
        <v>0</v>
      </c>
      <c r="J722" s="1">
        <v>0</v>
      </c>
      <c r="K722" s="1">
        <v>0</v>
      </c>
      <c r="L722" s="1" t="s">
        <v>46</v>
      </c>
      <c r="M722" s="1">
        <v>0</v>
      </c>
      <c r="N722" s="1">
        <v>0</v>
      </c>
      <c r="O722" s="1">
        <v>0</v>
      </c>
      <c r="P722" s="11" t="str">
        <f t="shared" si="11"/>
        <v>平</v>
      </c>
      <c r="Q722" s="11" t="str">
        <f t="shared" si="11"/>
        <v>平</v>
      </c>
    </row>
    <row r="723" spans="4:17" customFormat="1" hidden="1" x14ac:dyDescent="0.15">
      <c r="D723" t="s">
        <v>6</v>
      </c>
      <c r="E723" s="1">
        <v>337060</v>
      </c>
      <c r="F723" s="1">
        <v>337060</v>
      </c>
      <c r="G723" s="8">
        <v>42904</v>
      </c>
      <c r="H723" s="1" t="s">
        <v>56</v>
      </c>
      <c r="I723" s="1">
        <v>0</v>
      </c>
      <c r="J723" s="1">
        <v>1</v>
      </c>
      <c r="K723" s="1">
        <v>0</v>
      </c>
      <c r="L723" s="1" t="s">
        <v>43</v>
      </c>
      <c r="M723" s="1">
        <v>1</v>
      </c>
      <c r="N723" s="1">
        <v>1</v>
      </c>
      <c r="O723" s="1">
        <v>0</v>
      </c>
      <c r="P723" s="11" t="str">
        <f t="shared" si="11"/>
        <v>负</v>
      </c>
      <c r="Q723" s="11" t="str">
        <f t="shared" si="11"/>
        <v>平</v>
      </c>
    </row>
    <row r="724" spans="4:17" customFormat="1" hidden="1" x14ac:dyDescent="0.15">
      <c r="D724" t="s">
        <v>6</v>
      </c>
      <c r="E724" s="1">
        <v>337061</v>
      </c>
      <c r="F724" s="1">
        <v>337061</v>
      </c>
      <c r="G724" s="8">
        <v>42905</v>
      </c>
      <c r="H724" s="1" t="s">
        <v>48</v>
      </c>
      <c r="I724" s="1">
        <v>1</v>
      </c>
      <c r="J724" s="1">
        <v>1</v>
      </c>
      <c r="K724" s="1">
        <v>0</v>
      </c>
      <c r="L724" s="1" t="s">
        <v>37</v>
      </c>
      <c r="M724" s="1">
        <v>0</v>
      </c>
      <c r="N724" s="1">
        <v>0</v>
      </c>
      <c r="O724" s="1">
        <v>0</v>
      </c>
      <c r="P724" s="11" t="str">
        <f t="shared" si="11"/>
        <v>胜</v>
      </c>
      <c r="Q724" s="11" t="str">
        <f t="shared" si="11"/>
        <v>胜</v>
      </c>
    </row>
    <row r="725" spans="4:17" customFormat="1" hidden="1" x14ac:dyDescent="0.15">
      <c r="D725" t="s">
        <v>6</v>
      </c>
      <c r="E725" s="1">
        <v>337062</v>
      </c>
      <c r="F725" s="1">
        <v>337062</v>
      </c>
      <c r="G725" s="8">
        <v>42905.000694444447</v>
      </c>
      <c r="H725" s="1" t="s">
        <v>44</v>
      </c>
      <c r="I725" s="1">
        <v>0</v>
      </c>
      <c r="J725" s="1">
        <v>1</v>
      </c>
      <c r="K725" s="1">
        <v>0</v>
      </c>
      <c r="L725" s="1" t="s">
        <v>45</v>
      </c>
      <c r="M725" s="1">
        <v>0</v>
      </c>
      <c r="N725" s="1">
        <v>0</v>
      </c>
      <c r="O725" s="1">
        <v>0</v>
      </c>
      <c r="P725" s="11" t="str">
        <f t="shared" si="11"/>
        <v>平</v>
      </c>
      <c r="Q725" s="11" t="str">
        <f t="shared" si="11"/>
        <v>胜</v>
      </c>
    </row>
    <row r="726" spans="4:17" customFormat="1" hidden="1" x14ac:dyDescent="0.15">
      <c r="D726" t="s">
        <v>6</v>
      </c>
      <c r="E726" s="1">
        <v>337063</v>
      </c>
      <c r="F726" s="1">
        <v>337063</v>
      </c>
      <c r="G726" s="8">
        <v>42905</v>
      </c>
      <c r="H726" s="1" t="s">
        <v>38</v>
      </c>
      <c r="I726" s="1">
        <v>0</v>
      </c>
      <c r="J726" s="1">
        <v>3</v>
      </c>
      <c r="K726" s="1">
        <v>0</v>
      </c>
      <c r="L726" s="1" t="s">
        <v>53</v>
      </c>
      <c r="M726" s="1">
        <v>0</v>
      </c>
      <c r="N726" s="1">
        <v>0</v>
      </c>
      <c r="O726" s="1">
        <v>0</v>
      </c>
      <c r="P726" s="11" t="str">
        <f t="shared" si="11"/>
        <v>平</v>
      </c>
      <c r="Q726" s="11" t="str">
        <f t="shared" si="11"/>
        <v>胜</v>
      </c>
    </row>
    <row r="727" spans="4:17" customFormat="1" hidden="1" x14ac:dyDescent="0.15">
      <c r="D727" t="s">
        <v>6</v>
      </c>
      <c r="E727" s="1">
        <v>337064</v>
      </c>
      <c r="F727" s="1">
        <v>337064</v>
      </c>
      <c r="G727" s="8">
        <v>42905</v>
      </c>
      <c r="H727" s="1" t="s">
        <v>52</v>
      </c>
      <c r="I727" s="1">
        <v>1</v>
      </c>
      <c r="J727" s="1">
        <v>1</v>
      </c>
      <c r="K727" s="1">
        <v>0</v>
      </c>
      <c r="L727" s="1" t="s">
        <v>41</v>
      </c>
      <c r="M727" s="1">
        <v>0</v>
      </c>
      <c r="N727" s="1">
        <v>0</v>
      </c>
      <c r="O727" s="1">
        <v>0</v>
      </c>
      <c r="P727" s="11" t="str">
        <f t="shared" si="11"/>
        <v>胜</v>
      </c>
      <c r="Q727" s="11" t="str">
        <f t="shared" si="11"/>
        <v>胜</v>
      </c>
    </row>
    <row r="728" spans="4:17" customFormat="1" hidden="1" x14ac:dyDescent="0.15">
      <c r="D728" t="s">
        <v>6</v>
      </c>
      <c r="E728" s="1">
        <v>337065</v>
      </c>
      <c r="F728" s="1">
        <v>337065</v>
      </c>
      <c r="G728" s="8">
        <v>42905</v>
      </c>
      <c r="H728" s="1" t="s">
        <v>35</v>
      </c>
      <c r="I728" s="1">
        <v>0</v>
      </c>
      <c r="J728" s="1">
        <v>0</v>
      </c>
      <c r="K728" s="1">
        <v>0</v>
      </c>
      <c r="L728" s="1" t="s">
        <v>54</v>
      </c>
      <c r="M728" s="1">
        <v>0</v>
      </c>
      <c r="N728" s="1">
        <v>0</v>
      </c>
      <c r="O728" s="1">
        <v>0</v>
      </c>
      <c r="P728" s="11" t="str">
        <f t="shared" si="11"/>
        <v>平</v>
      </c>
      <c r="Q728" s="11" t="str">
        <f t="shared" si="11"/>
        <v>平</v>
      </c>
    </row>
    <row r="729" spans="4:17" customFormat="1" hidden="1" x14ac:dyDescent="0.15">
      <c r="D729" t="s">
        <v>6</v>
      </c>
      <c r="E729" s="1">
        <v>337066</v>
      </c>
      <c r="F729" s="1">
        <v>337066</v>
      </c>
      <c r="G729" s="8">
        <v>42906.045138888891</v>
      </c>
      <c r="H729" s="1" t="s">
        <v>46</v>
      </c>
      <c r="I729" s="1">
        <v>3</v>
      </c>
      <c r="J729" s="1">
        <v>5</v>
      </c>
      <c r="K729" s="1">
        <v>0</v>
      </c>
      <c r="L729" s="1" t="s">
        <v>42</v>
      </c>
      <c r="M729" s="1">
        <v>0</v>
      </c>
      <c r="N729" s="1">
        <v>0</v>
      </c>
      <c r="O729" s="1">
        <v>0</v>
      </c>
      <c r="P729" s="11" t="str">
        <f t="shared" si="11"/>
        <v>胜</v>
      </c>
      <c r="Q729" s="11" t="str">
        <f t="shared" si="11"/>
        <v>胜</v>
      </c>
    </row>
    <row r="730" spans="4:17" customFormat="1" hidden="1" x14ac:dyDescent="0.15">
      <c r="D730" t="s">
        <v>6</v>
      </c>
      <c r="E730" s="1">
        <v>337067</v>
      </c>
      <c r="F730" s="1">
        <v>337067</v>
      </c>
      <c r="G730" s="8">
        <v>42905.083333333336</v>
      </c>
      <c r="H730" s="1" t="s">
        <v>49</v>
      </c>
      <c r="I730" s="1">
        <v>1</v>
      </c>
      <c r="J730" s="1">
        <v>1</v>
      </c>
      <c r="K730" s="1">
        <v>0</v>
      </c>
      <c r="L730" s="1" t="s">
        <v>40</v>
      </c>
      <c r="M730" s="1">
        <v>1</v>
      </c>
      <c r="N730" s="1">
        <v>1</v>
      </c>
      <c r="O730" s="1">
        <v>0</v>
      </c>
      <c r="P730" s="11" t="str">
        <f t="shared" si="11"/>
        <v>平</v>
      </c>
      <c r="Q730" s="11" t="str">
        <f t="shared" si="11"/>
        <v>平</v>
      </c>
    </row>
    <row r="731" spans="4:17" customFormat="1" hidden="1" x14ac:dyDescent="0.15">
      <c r="D731" t="s">
        <v>6</v>
      </c>
      <c r="E731" s="1">
        <v>340169</v>
      </c>
      <c r="F731" s="1">
        <v>340169</v>
      </c>
      <c r="G731" s="8">
        <v>42911.001388888886</v>
      </c>
      <c r="H731" s="1" t="s">
        <v>49</v>
      </c>
      <c r="I731" s="1">
        <v>2</v>
      </c>
      <c r="J731" s="1">
        <v>3</v>
      </c>
      <c r="K731" s="1">
        <v>0</v>
      </c>
      <c r="L731" s="1" t="s">
        <v>44</v>
      </c>
      <c r="M731" s="1">
        <v>1</v>
      </c>
      <c r="N731" s="1">
        <v>1</v>
      </c>
      <c r="O731" s="1">
        <v>0</v>
      </c>
      <c r="P731" s="11" t="str">
        <f t="shared" si="11"/>
        <v>胜</v>
      </c>
      <c r="Q731" s="11" t="str">
        <f t="shared" si="11"/>
        <v>胜</v>
      </c>
    </row>
    <row r="732" spans="4:17" customFormat="1" hidden="1" x14ac:dyDescent="0.15">
      <c r="D732" t="s">
        <v>6</v>
      </c>
      <c r="E732" s="1">
        <v>340170</v>
      </c>
      <c r="F732" s="1">
        <v>340170</v>
      </c>
      <c r="G732" s="8">
        <v>42912.004166666666</v>
      </c>
      <c r="H732" s="1" t="s">
        <v>43</v>
      </c>
      <c r="I732" s="1">
        <v>3</v>
      </c>
      <c r="J732" s="1">
        <v>5</v>
      </c>
      <c r="K732" s="1">
        <v>0</v>
      </c>
      <c r="L732" s="1" t="s">
        <v>54</v>
      </c>
      <c r="M732" s="1">
        <v>1</v>
      </c>
      <c r="N732" s="1">
        <v>1</v>
      </c>
      <c r="O732" s="1">
        <v>0</v>
      </c>
      <c r="P732" s="11" t="str">
        <f t="shared" si="11"/>
        <v>胜</v>
      </c>
      <c r="Q732" s="11" t="str">
        <f t="shared" si="11"/>
        <v>胜</v>
      </c>
    </row>
    <row r="733" spans="4:17" customFormat="1" hidden="1" x14ac:dyDescent="0.15">
      <c r="D733" t="s">
        <v>6</v>
      </c>
      <c r="E733" s="1">
        <v>340171</v>
      </c>
      <c r="F733" s="1">
        <v>340171</v>
      </c>
      <c r="G733" s="8">
        <v>42912.000694444447</v>
      </c>
      <c r="H733" s="1" t="s">
        <v>37</v>
      </c>
      <c r="I733" s="1">
        <v>0</v>
      </c>
      <c r="J733" s="1">
        <v>3</v>
      </c>
      <c r="K733" s="1">
        <v>0</v>
      </c>
      <c r="L733" s="1" t="s">
        <v>35</v>
      </c>
      <c r="M733" s="1">
        <v>0</v>
      </c>
      <c r="N733" s="1">
        <v>0</v>
      </c>
      <c r="O733" s="1">
        <v>0</v>
      </c>
      <c r="P733" s="11" t="str">
        <f t="shared" si="11"/>
        <v>平</v>
      </c>
      <c r="Q733" s="11" t="str">
        <f t="shared" si="11"/>
        <v>胜</v>
      </c>
    </row>
    <row r="734" spans="4:17" customFormat="1" hidden="1" x14ac:dyDescent="0.15">
      <c r="D734" t="s">
        <v>6</v>
      </c>
      <c r="E734" s="1">
        <v>340172</v>
      </c>
      <c r="F734" s="1">
        <v>340172</v>
      </c>
      <c r="G734" s="8">
        <v>42912.004166666666</v>
      </c>
      <c r="H734" s="1" t="s">
        <v>41</v>
      </c>
      <c r="I734" s="1">
        <v>1</v>
      </c>
      <c r="J734" s="1">
        <v>1</v>
      </c>
      <c r="K734" s="1">
        <v>0</v>
      </c>
      <c r="L734" s="1" t="s">
        <v>46</v>
      </c>
      <c r="M734" s="1">
        <v>0</v>
      </c>
      <c r="N734" s="1">
        <v>1</v>
      </c>
      <c r="O734" s="1">
        <v>0</v>
      </c>
      <c r="P734" s="11" t="str">
        <f t="shared" si="11"/>
        <v>胜</v>
      </c>
      <c r="Q734" s="11" t="str">
        <f t="shared" si="11"/>
        <v>平</v>
      </c>
    </row>
    <row r="735" spans="4:17" customFormat="1" hidden="1" x14ac:dyDescent="0.15">
      <c r="D735" t="s">
        <v>6</v>
      </c>
      <c r="E735" s="1">
        <v>340173</v>
      </c>
      <c r="F735" s="1">
        <v>340173</v>
      </c>
      <c r="G735" s="8">
        <v>42912</v>
      </c>
      <c r="H735" s="1" t="s">
        <v>42</v>
      </c>
      <c r="I735" s="1">
        <v>0</v>
      </c>
      <c r="J735" s="1">
        <v>1</v>
      </c>
      <c r="K735" s="1">
        <v>0</v>
      </c>
      <c r="L735" s="1" t="s">
        <v>56</v>
      </c>
      <c r="M735" s="1">
        <v>1</v>
      </c>
      <c r="N735" s="1">
        <v>4</v>
      </c>
      <c r="O735" s="1">
        <v>0</v>
      </c>
      <c r="P735" s="11" t="str">
        <f t="shared" si="11"/>
        <v>负</v>
      </c>
      <c r="Q735" s="11" t="str">
        <f t="shared" si="11"/>
        <v>负</v>
      </c>
    </row>
    <row r="736" spans="4:17" customFormat="1" hidden="1" x14ac:dyDescent="0.15">
      <c r="D736" t="s">
        <v>6</v>
      </c>
      <c r="E736" s="1">
        <v>340174</v>
      </c>
      <c r="F736" s="1">
        <v>340174</v>
      </c>
      <c r="G736" s="8">
        <v>42912.004166666666</v>
      </c>
      <c r="H736" s="1" t="s">
        <v>53</v>
      </c>
      <c r="I736" s="1">
        <v>1</v>
      </c>
      <c r="J736" s="1">
        <v>1</v>
      </c>
      <c r="K736" s="1">
        <v>0</v>
      </c>
      <c r="L736" s="1" t="s">
        <v>52</v>
      </c>
      <c r="M736" s="1">
        <v>1</v>
      </c>
      <c r="N736" s="1">
        <v>1</v>
      </c>
      <c r="O736" s="1">
        <v>0</v>
      </c>
      <c r="P736" s="11" t="str">
        <f t="shared" si="11"/>
        <v>平</v>
      </c>
      <c r="Q736" s="11" t="str">
        <f t="shared" si="11"/>
        <v>平</v>
      </c>
    </row>
    <row r="737" spans="4:17" customFormat="1" hidden="1" x14ac:dyDescent="0.15">
      <c r="D737" t="s">
        <v>6</v>
      </c>
      <c r="E737" s="1">
        <v>340175</v>
      </c>
      <c r="F737" s="1">
        <v>340175</v>
      </c>
      <c r="G737" s="8">
        <v>42912.084027777775</v>
      </c>
      <c r="H737" s="1" t="s">
        <v>45</v>
      </c>
      <c r="I737" s="1">
        <v>1</v>
      </c>
      <c r="J737" s="1">
        <v>1</v>
      </c>
      <c r="K737" s="1">
        <v>0</v>
      </c>
      <c r="L737" s="1" t="s">
        <v>48</v>
      </c>
      <c r="M737" s="1">
        <v>0</v>
      </c>
      <c r="N737" s="1">
        <v>1</v>
      </c>
      <c r="O737" s="1">
        <v>0</v>
      </c>
      <c r="P737" s="11" t="str">
        <f t="shared" si="11"/>
        <v>胜</v>
      </c>
      <c r="Q737" s="11" t="str">
        <f t="shared" si="11"/>
        <v>平</v>
      </c>
    </row>
    <row r="738" spans="4:17" customFormat="1" hidden="1" x14ac:dyDescent="0.15">
      <c r="D738" t="s">
        <v>6</v>
      </c>
      <c r="E738" s="1">
        <v>340176</v>
      </c>
      <c r="F738" s="1">
        <v>340176</v>
      </c>
      <c r="G738" s="8">
        <v>42913.042361111111</v>
      </c>
      <c r="H738" s="1" t="s">
        <v>40</v>
      </c>
      <c r="I738" s="1">
        <v>0</v>
      </c>
      <c r="J738" s="1">
        <v>1</v>
      </c>
      <c r="K738" s="1">
        <v>0</v>
      </c>
      <c r="L738" s="1" t="s">
        <v>38</v>
      </c>
      <c r="M738" s="1">
        <v>1</v>
      </c>
      <c r="N738" s="1">
        <v>1</v>
      </c>
      <c r="O738" s="1">
        <v>0</v>
      </c>
      <c r="P738" s="11" t="str">
        <f t="shared" si="11"/>
        <v>负</v>
      </c>
      <c r="Q738" s="11" t="str">
        <f t="shared" si="11"/>
        <v>平</v>
      </c>
    </row>
    <row r="739" spans="4:17" customFormat="1" hidden="1" x14ac:dyDescent="0.15">
      <c r="D739" t="s">
        <v>6</v>
      </c>
      <c r="E739" s="1">
        <v>341808</v>
      </c>
      <c r="F739" s="1">
        <v>341808</v>
      </c>
      <c r="G739" s="8">
        <v>42918.004166666666</v>
      </c>
      <c r="H739" s="1" t="s">
        <v>44</v>
      </c>
      <c r="I739" s="1">
        <v>2</v>
      </c>
      <c r="J739" s="1">
        <v>2</v>
      </c>
      <c r="K739" s="1">
        <v>0</v>
      </c>
      <c r="L739" s="1" t="s">
        <v>40</v>
      </c>
      <c r="M739" s="1">
        <v>0</v>
      </c>
      <c r="N739" s="1">
        <v>0</v>
      </c>
      <c r="O739" s="1">
        <v>0</v>
      </c>
      <c r="P739" s="11" t="str">
        <f t="shared" si="11"/>
        <v>胜</v>
      </c>
      <c r="Q739" s="11" t="str">
        <f t="shared" si="11"/>
        <v>胜</v>
      </c>
    </row>
    <row r="740" spans="4:17" customFormat="1" hidden="1" x14ac:dyDescent="0.15">
      <c r="D740" t="s">
        <v>6</v>
      </c>
      <c r="E740" s="1">
        <v>341809</v>
      </c>
      <c r="F740" s="1">
        <v>341809</v>
      </c>
      <c r="G740" s="8">
        <v>42918.094444444447</v>
      </c>
      <c r="H740" s="1" t="s">
        <v>35</v>
      </c>
      <c r="I740" s="1">
        <v>1</v>
      </c>
      <c r="J740" s="1">
        <v>1</v>
      </c>
      <c r="K740" s="1">
        <v>0</v>
      </c>
      <c r="L740" s="1" t="s">
        <v>43</v>
      </c>
      <c r="M740" s="1">
        <v>0</v>
      </c>
      <c r="N740" s="1">
        <v>0</v>
      </c>
      <c r="O740" s="1">
        <v>0</v>
      </c>
      <c r="P740" s="11" t="str">
        <f t="shared" si="11"/>
        <v>胜</v>
      </c>
      <c r="Q740" s="11" t="str">
        <f t="shared" si="11"/>
        <v>胜</v>
      </c>
    </row>
    <row r="741" spans="4:17" customFormat="1" hidden="1" x14ac:dyDescent="0.15">
      <c r="D741" t="s">
        <v>6</v>
      </c>
      <c r="E741" s="1">
        <v>341810</v>
      </c>
      <c r="F741" s="1">
        <v>341810</v>
      </c>
      <c r="G741" s="8">
        <v>42919</v>
      </c>
      <c r="H741" s="1" t="s">
        <v>48</v>
      </c>
      <c r="I741" s="1">
        <v>1</v>
      </c>
      <c r="J741" s="1">
        <v>2</v>
      </c>
      <c r="K741" s="1">
        <v>0</v>
      </c>
      <c r="L741" s="1" t="s">
        <v>53</v>
      </c>
      <c r="M741" s="1">
        <v>0</v>
      </c>
      <c r="N741" s="1">
        <v>0</v>
      </c>
      <c r="O741" s="1">
        <v>0</v>
      </c>
      <c r="P741" s="11" t="str">
        <f t="shared" si="11"/>
        <v>胜</v>
      </c>
      <c r="Q741" s="11" t="str">
        <f t="shared" si="11"/>
        <v>胜</v>
      </c>
    </row>
    <row r="742" spans="4:17" customFormat="1" hidden="1" x14ac:dyDescent="0.15">
      <c r="D742" t="s">
        <v>6</v>
      </c>
      <c r="E742" s="1">
        <v>341811</v>
      </c>
      <c r="F742" s="1">
        <v>341811</v>
      </c>
      <c r="G742" s="8">
        <v>42919</v>
      </c>
      <c r="H742" s="1" t="s">
        <v>38</v>
      </c>
      <c r="I742" s="1">
        <v>2</v>
      </c>
      <c r="J742" s="1">
        <v>3</v>
      </c>
      <c r="K742" s="1">
        <v>0</v>
      </c>
      <c r="L742" s="1" t="s">
        <v>45</v>
      </c>
      <c r="M742" s="1">
        <v>0</v>
      </c>
      <c r="N742" s="1">
        <v>2</v>
      </c>
      <c r="O742" s="1">
        <v>0</v>
      </c>
      <c r="P742" s="11" t="str">
        <f t="shared" si="11"/>
        <v>胜</v>
      </c>
      <c r="Q742" s="11" t="str">
        <f t="shared" si="11"/>
        <v>胜</v>
      </c>
    </row>
    <row r="743" spans="4:17" customFormat="1" hidden="1" x14ac:dyDescent="0.15">
      <c r="D743" t="s">
        <v>6</v>
      </c>
      <c r="E743" s="1">
        <v>341812</v>
      </c>
      <c r="F743" s="1">
        <v>341812</v>
      </c>
      <c r="G743" s="8">
        <v>42919.000694444447</v>
      </c>
      <c r="H743" s="1" t="s">
        <v>54</v>
      </c>
      <c r="I743" s="1">
        <v>0</v>
      </c>
      <c r="J743" s="1">
        <v>0</v>
      </c>
      <c r="K743" s="1">
        <v>0</v>
      </c>
      <c r="L743" s="1" t="s">
        <v>41</v>
      </c>
      <c r="M743" s="1">
        <v>0</v>
      </c>
      <c r="N743" s="1">
        <v>0</v>
      </c>
      <c r="O743" s="1">
        <v>0</v>
      </c>
      <c r="P743" s="11" t="str">
        <f t="shared" si="11"/>
        <v>平</v>
      </c>
      <c r="Q743" s="11" t="str">
        <f t="shared" si="11"/>
        <v>平</v>
      </c>
    </row>
    <row r="744" spans="4:17" customFormat="1" hidden="1" x14ac:dyDescent="0.15">
      <c r="D744" t="s">
        <v>6</v>
      </c>
      <c r="E744" s="1">
        <v>341813</v>
      </c>
      <c r="F744" s="1">
        <v>341813</v>
      </c>
      <c r="G744" s="8">
        <v>42919.003472222219</v>
      </c>
      <c r="H744" s="1" t="s">
        <v>52</v>
      </c>
      <c r="I744" s="1">
        <v>0</v>
      </c>
      <c r="J744" s="1">
        <v>1</v>
      </c>
      <c r="K744" s="1">
        <v>0</v>
      </c>
      <c r="L744" s="1" t="s">
        <v>42</v>
      </c>
      <c r="M744" s="1">
        <v>0</v>
      </c>
      <c r="N744" s="1">
        <v>2</v>
      </c>
      <c r="O744" s="1">
        <v>0</v>
      </c>
      <c r="P744" s="11" t="str">
        <f t="shared" si="11"/>
        <v>平</v>
      </c>
      <c r="Q744" s="11" t="str">
        <f t="shared" si="11"/>
        <v>负</v>
      </c>
    </row>
    <row r="745" spans="4:17" customFormat="1" hidden="1" x14ac:dyDescent="0.15">
      <c r="D745" t="s">
        <v>6</v>
      </c>
      <c r="E745" s="1">
        <v>341814</v>
      </c>
      <c r="F745" s="1">
        <v>341814</v>
      </c>
      <c r="G745" s="8">
        <v>42919.09375</v>
      </c>
      <c r="H745" s="1" t="s">
        <v>46</v>
      </c>
      <c r="I745" s="1">
        <v>0</v>
      </c>
      <c r="J745" s="1">
        <v>0</v>
      </c>
      <c r="K745" s="1">
        <v>0</v>
      </c>
      <c r="L745" s="1" t="s">
        <v>49</v>
      </c>
      <c r="M745" s="1">
        <v>0</v>
      </c>
      <c r="N745" s="1">
        <v>0</v>
      </c>
      <c r="O745" s="1">
        <v>0</v>
      </c>
      <c r="P745" s="11" t="str">
        <f t="shared" si="11"/>
        <v>平</v>
      </c>
      <c r="Q745" s="11" t="str">
        <f t="shared" si="11"/>
        <v>平</v>
      </c>
    </row>
    <row r="746" spans="4:17" customFormat="1" hidden="1" x14ac:dyDescent="0.15">
      <c r="D746" t="s">
        <v>6</v>
      </c>
      <c r="E746" s="1">
        <v>341815</v>
      </c>
      <c r="F746" s="1">
        <v>341815</v>
      </c>
      <c r="G746" s="8">
        <v>42920.043055555558</v>
      </c>
      <c r="H746" s="1" t="s">
        <v>56</v>
      </c>
      <c r="I746" s="1">
        <v>0</v>
      </c>
      <c r="J746" s="1">
        <v>3</v>
      </c>
      <c r="K746" s="1">
        <v>0</v>
      </c>
      <c r="L746" s="1" t="s">
        <v>37</v>
      </c>
      <c r="M746" s="1">
        <v>2</v>
      </c>
      <c r="N746" s="1">
        <v>3</v>
      </c>
      <c r="O746" s="1">
        <v>0</v>
      </c>
      <c r="P746" s="11" t="str">
        <f t="shared" si="11"/>
        <v>负</v>
      </c>
      <c r="Q746" s="11" t="str">
        <f t="shared" si="11"/>
        <v>平</v>
      </c>
    </row>
    <row r="747" spans="4:17" customFormat="1" hidden="1" x14ac:dyDescent="0.15">
      <c r="D747" t="s">
        <v>6</v>
      </c>
      <c r="E747" s="1">
        <v>343518</v>
      </c>
      <c r="F747" s="1">
        <v>343518</v>
      </c>
      <c r="G747" s="8">
        <v>42924.895833333336</v>
      </c>
      <c r="H747" s="1" t="s">
        <v>37</v>
      </c>
      <c r="I747" s="1">
        <v>4</v>
      </c>
      <c r="J747" s="1">
        <v>5</v>
      </c>
      <c r="K747" s="1">
        <v>0</v>
      </c>
      <c r="L747" s="1" t="s">
        <v>52</v>
      </c>
      <c r="M747" s="1">
        <v>0</v>
      </c>
      <c r="N747" s="1">
        <v>1</v>
      </c>
      <c r="O747" s="1">
        <v>0</v>
      </c>
      <c r="P747" s="11" t="str">
        <f t="shared" si="11"/>
        <v>胜</v>
      </c>
      <c r="Q747" s="11" t="str">
        <f t="shared" si="11"/>
        <v>胜</v>
      </c>
    </row>
    <row r="748" spans="4:17" customFormat="1" hidden="1" x14ac:dyDescent="0.15">
      <c r="D748" t="s">
        <v>6</v>
      </c>
      <c r="E748" s="1">
        <v>343519</v>
      </c>
      <c r="F748" s="1">
        <v>343519</v>
      </c>
      <c r="G748" s="8">
        <v>42925.001388888886</v>
      </c>
      <c r="H748" s="1" t="s">
        <v>43</v>
      </c>
      <c r="I748" s="1">
        <v>0</v>
      </c>
      <c r="J748" s="1">
        <v>0</v>
      </c>
      <c r="K748" s="1">
        <v>0</v>
      </c>
      <c r="L748" s="1" t="s">
        <v>38</v>
      </c>
      <c r="M748" s="1">
        <v>1</v>
      </c>
      <c r="N748" s="1">
        <v>3</v>
      </c>
      <c r="O748" s="1">
        <v>0</v>
      </c>
      <c r="P748" s="11" t="str">
        <f t="shared" si="11"/>
        <v>负</v>
      </c>
      <c r="Q748" s="11" t="str">
        <f t="shared" si="11"/>
        <v>负</v>
      </c>
    </row>
    <row r="749" spans="4:17" customFormat="1" hidden="1" x14ac:dyDescent="0.15">
      <c r="D749" t="s">
        <v>6</v>
      </c>
      <c r="E749" s="1">
        <v>343520</v>
      </c>
      <c r="F749" s="1">
        <v>343520</v>
      </c>
      <c r="G749" s="8">
        <v>42926.001388888886</v>
      </c>
      <c r="H749" s="1" t="s">
        <v>40</v>
      </c>
      <c r="I749" s="1">
        <v>4</v>
      </c>
      <c r="J749" s="1">
        <v>4</v>
      </c>
      <c r="K749" s="1">
        <v>0</v>
      </c>
      <c r="L749" s="1" t="s">
        <v>56</v>
      </c>
      <c r="M749" s="1">
        <v>0</v>
      </c>
      <c r="N749" s="1">
        <v>2</v>
      </c>
      <c r="O749" s="1">
        <v>0</v>
      </c>
      <c r="P749" s="11" t="str">
        <f t="shared" si="11"/>
        <v>胜</v>
      </c>
      <c r="Q749" s="11" t="str">
        <f t="shared" si="11"/>
        <v>胜</v>
      </c>
    </row>
    <row r="750" spans="4:17" customFormat="1" hidden="1" x14ac:dyDescent="0.15">
      <c r="D750" t="s">
        <v>6</v>
      </c>
      <c r="E750" s="1">
        <v>343521</v>
      </c>
      <c r="F750" s="1">
        <v>343521</v>
      </c>
      <c r="G750" s="8">
        <v>42926.000694444447</v>
      </c>
      <c r="H750" s="1" t="s">
        <v>45</v>
      </c>
      <c r="I750" s="1">
        <v>0</v>
      </c>
      <c r="J750" s="1">
        <v>1</v>
      </c>
      <c r="K750" s="1">
        <v>0</v>
      </c>
      <c r="L750" s="1" t="s">
        <v>35</v>
      </c>
      <c r="M750" s="1">
        <v>0</v>
      </c>
      <c r="N750" s="1">
        <v>1</v>
      </c>
      <c r="O750" s="1">
        <v>0</v>
      </c>
      <c r="P750" s="11" t="str">
        <f t="shared" si="11"/>
        <v>平</v>
      </c>
      <c r="Q750" s="11" t="str">
        <f t="shared" si="11"/>
        <v>平</v>
      </c>
    </row>
    <row r="751" spans="4:17" customFormat="1" hidden="1" x14ac:dyDescent="0.15">
      <c r="D751" t="s">
        <v>6</v>
      </c>
      <c r="E751" s="1">
        <v>343522</v>
      </c>
      <c r="F751" s="1">
        <v>343522</v>
      </c>
      <c r="G751" s="8">
        <v>42926.084027777775</v>
      </c>
      <c r="H751" s="1" t="s">
        <v>42</v>
      </c>
      <c r="I751" s="1">
        <v>1</v>
      </c>
      <c r="J751" s="1">
        <v>2</v>
      </c>
      <c r="K751" s="1">
        <v>0</v>
      </c>
      <c r="L751" s="1" t="s">
        <v>46</v>
      </c>
      <c r="M751" s="1">
        <v>0</v>
      </c>
      <c r="N751" s="1">
        <v>0</v>
      </c>
      <c r="O751" s="1">
        <v>0</v>
      </c>
      <c r="P751" s="11" t="str">
        <f t="shared" si="11"/>
        <v>胜</v>
      </c>
      <c r="Q751" s="11" t="str">
        <f t="shared" si="11"/>
        <v>胜</v>
      </c>
    </row>
    <row r="752" spans="4:17" customFormat="1" hidden="1" x14ac:dyDescent="0.15">
      <c r="D752" t="s">
        <v>6</v>
      </c>
      <c r="E752" s="1">
        <v>343523</v>
      </c>
      <c r="F752" s="1">
        <v>343523</v>
      </c>
      <c r="G752" s="8">
        <v>42927.041666666664</v>
      </c>
      <c r="H752" s="1" t="s">
        <v>41</v>
      </c>
      <c r="I752" s="1">
        <v>2</v>
      </c>
      <c r="J752" s="1">
        <v>3</v>
      </c>
      <c r="K752" s="1">
        <v>0</v>
      </c>
      <c r="L752" s="1" t="s">
        <v>44</v>
      </c>
      <c r="M752" s="1">
        <v>1</v>
      </c>
      <c r="N752" s="1">
        <v>3</v>
      </c>
      <c r="O752" s="1">
        <v>0</v>
      </c>
      <c r="P752" s="11" t="str">
        <f t="shared" si="11"/>
        <v>胜</v>
      </c>
      <c r="Q752" s="11" t="str">
        <f t="shared" si="11"/>
        <v>平</v>
      </c>
    </row>
    <row r="753" spans="4:17" customFormat="1" hidden="1" x14ac:dyDescent="0.15">
      <c r="D753" t="s">
        <v>6</v>
      </c>
      <c r="E753" s="1">
        <v>345345</v>
      </c>
      <c r="F753" s="1">
        <v>345345</v>
      </c>
      <c r="G753" s="8">
        <v>42931.896527777775</v>
      </c>
      <c r="H753" s="1" t="s">
        <v>35</v>
      </c>
      <c r="I753" s="1">
        <v>0</v>
      </c>
      <c r="J753" s="1">
        <v>0</v>
      </c>
      <c r="K753" s="1">
        <v>0</v>
      </c>
      <c r="L753" s="1" t="s">
        <v>37</v>
      </c>
      <c r="M753" s="1">
        <v>1</v>
      </c>
      <c r="N753" s="1">
        <v>3</v>
      </c>
      <c r="O753" s="1">
        <v>0</v>
      </c>
      <c r="P753" s="11" t="str">
        <f t="shared" si="11"/>
        <v>负</v>
      </c>
      <c r="Q753" s="11" t="str">
        <f t="shared" si="11"/>
        <v>负</v>
      </c>
    </row>
    <row r="754" spans="4:17" customFormat="1" hidden="1" x14ac:dyDescent="0.15">
      <c r="D754" t="s">
        <v>6</v>
      </c>
      <c r="E754" s="1">
        <v>345346</v>
      </c>
      <c r="F754" s="1">
        <v>345346</v>
      </c>
      <c r="G754" s="8">
        <v>42932.002083333333</v>
      </c>
      <c r="H754" s="1" t="s">
        <v>44</v>
      </c>
      <c r="I754" s="1">
        <v>0</v>
      </c>
      <c r="J754" s="1">
        <v>2</v>
      </c>
      <c r="K754" s="1">
        <v>0</v>
      </c>
      <c r="L754" s="1" t="s">
        <v>42</v>
      </c>
      <c r="M754" s="1">
        <v>2</v>
      </c>
      <c r="N754" s="1">
        <v>2</v>
      </c>
      <c r="O754" s="1">
        <v>0</v>
      </c>
      <c r="P754" s="11" t="str">
        <f t="shared" si="11"/>
        <v>负</v>
      </c>
      <c r="Q754" s="11" t="str">
        <f t="shared" si="11"/>
        <v>平</v>
      </c>
    </row>
    <row r="755" spans="4:17" customFormat="1" hidden="1" x14ac:dyDescent="0.15">
      <c r="D755" t="s">
        <v>6</v>
      </c>
      <c r="E755" s="1">
        <v>345347</v>
      </c>
      <c r="F755" s="1">
        <v>345347</v>
      </c>
      <c r="G755" s="8">
        <v>42933.000694444447</v>
      </c>
      <c r="H755" s="1" t="s">
        <v>48</v>
      </c>
      <c r="I755" s="1">
        <v>0</v>
      </c>
      <c r="J755" s="1">
        <v>2</v>
      </c>
      <c r="K755" s="1">
        <v>0</v>
      </c>
      <c r="L755" s="1" t="s">
        <v>43</v>
      </c>
      <c r="M755" s="1">
        <v>0</v>
      </c>
      <c r="N755" s="1">
        <v>0</v>
      </c>
      <c r="O755" s="1">
        <v>0</v>
      </c>
      <c r="P755" s="11" t="str">
        <f t="shared" si="11"/>
        <v>平</v>
      </c>
      <c r="Q755" s="11" t="str">
        <f t="shared" si="11"/>
        <v>胜</v>
      </c>
    </row>
    <row r="756" spans="4:17" customFormat="1" hidden="1" x14ac:dyDescent="0.15">
      <c r="D756" t="s">
        <v>6</v>
      </c>
      <c r="E756" s="1">
        <v>345348</v>
      </c>
      <c r="F756" s="1">
        <v>345348</v>
      </c>
      <c r="G756" s="8">
        <v>42933.003472222219</v>
      </c>
      <c r="H756" s="1" t="s">
        <v>38</v>
      </c>
      <c r="I756" s="1">
        <v>0</v>
      </c>
      <c r="J756" s="1">
        <v>0</v>
      </c>
      <c r="K756" s="1">
        <v>0</v>
      </c>
      <c r="L756" s="1" t="s">
        <v>40</v>
      </c>
      <c r="M756" s="1">
        <v>0</v>
      </c>
      <c r="N756" s="1">
        <v>0</v>
      </c>
      <c r="O756" s="1">
        <v>0</v>
      </c>
      <c r="P756" s="11" t="str">
        <f t="shared" si="11"/>
        <v>平</v>
      </c>
      <c r="Q756" s="11" t="str">
        <f t="shared" si="11"/>
        <v>平</v>
      </c>
    </row>
    <row r="757" spans="4:17" customFormat="1" hidden="1" x14ac:dyDescent="0.15">
      <c r="D757" t="s">
        <v>6</v>
      </c>
      <c r="E757" s="1">
        <v>345349</v>
      </c>
      <c r="F757" s="1">
        <v>345349</v>
      </c>
      <c r="G757" s="8">
        <v>42933.00277777778</v>
      </c>
      <c r="H757" s="1" t="s">
        <v>54</v>
      </c>
      <c r="I757" s="1">
        <v>0</v>
      </c>
      <c r="J757" s="1">
        <v>0</v>
      </c>
      <c r="K757" s="1">
        <v>0</v>
      </c>
      <c r="L757" s="1" t="s">
        <v>45</v>
      </c>
      <c r="M757" s="1">
        <v>2</v>
      </c>
      <c r="N757" s="1">
        <v>2</v>
      </c>
      <c r="O757" s="1">
        <v>0</v>
      </c>
      <c r="P757" s="11" t="str">
        <f t="shared" si="11"/>
        <v>负</v>
      </c>
      <c r="Q757" s="11" t="str">
        <f t="shared" si="11"/>
        <v>负</v>
      </c>
    </row>
    <row r="758" spans="4:17" customFormat="1" hidden="1" x14ac:dyDescent="0.15">
      <c r="D758" t="s">
        <v>6</v>
      </c>
      <c r="E758" s="1">
        <v>345350</v>
      </c>
      <c r="F758" s="1">
        <v>345350</v>
      </c>
      <c r="G758" s="8">
        <v>42933.001388888886</v>
      </c>
      <c r="H758" s="1" t="s">
        <v>52</v>
      </c>
      <c r="I758" s="1">
        <v>2</v>
      </c>
      <c r="J758" s="1">
        <v>3</v>
      </c>
      <c r="K758" s="1">
        <v>0</v>
      </c>
      <c r="L758" s="1" t="s">
        <v>53</v>
      </c>
      <c r="M758" s="1">
        <v>0</v>
      </c>
      <c r="N758" s="1">
        <v>0</v>
      </c>
      <c r="O758" s="1">
        <v>0</v>
      </c>
      <c r="P758" s="11" t="str">
        <f t="shared" si="11"/>
        <v>胜</v>
      </c>
      <c r="Q758" s="11" t="str">
        <f t="shared" si="11"/>
        <v>胜</v>
      </c>
    </row>
    <row r="759" spans="4:17" customFormat="1" hidden="1" x14ac:dyDescent="0.15">
      <c r="D759" t="s">
        <v>6</v>
      </c>
      <c r="E759" s="1">
        <v>345351</v>
      </c>
      <c r="F759" s="1">
        <v>345351</v>
      </c>
      <c r="G759" s="8">
        <v>42933.084027777775</v>
      </c>
      <c r="H759" s="1" t="s">
        <v>46</v>
      </c>
      <c r="I759" s="1">
        <v>0</v>
      </c>
      <c r="J759" s="1">
        <v>0</v>
      </c>
      <c r="K759" s="1">
        <v>0</v>
      </c>
      <c r="L759" s="1" t="s">
        <v>41</v>
      </c>
      <c r="M759" s="1">
        <v>0</v>
      </c>
      <c r="N759" s="1">
        <v>1</v>
      </c>
      <c r="O759" s="1">
        <v>0</v>
      </c>
      <c r="P759" s="11" t="str">
        <f t="shared" si="11"/>
        <v>平</v>
      </c>
      <c r="Q759" s="11" t="str">
        <f t="shared" si="11"/>
        <v>负</v>
      </c>
    </row>
    <row r="760" spans="4:17" customFormat="1" hidden="1" x14ac:dyDescent="0.15">
      <c r="D760" t="s">
        <v>6</v>
      </c>
      <c r="E760" s="1">
        <v>345352</v>
      </c>
      <c r="F760" s="1">
        <v>345352</v>
      </c>
      <c r="G760" s="8">
        <v>42934.043055555558</v>
      </c>
      <c r="H760" s="1" t="s">
        <v>56</v>
      </c>
      <c r="I760" s="1">
        <v>1</v>
      </c>
      <c r="J760" s="1">
        <v>1</v>
      </c>
      <c r="K760" s="1">
        <v>0</v>
      </c>
      <c r="L760" s="1" t="s">
        <v>49</v>
      </c>
      <c r="M760" s="1">
        <v>0</v>
      </c>
      <c r="N760" s="1">
        <v>1</v>
      </c>
      <c r="O760" s="1">
        <v>0</v>
      </c>
      <c r="P760" s="11" t="str">
        <f t="shared" si="11"/>
        <v>胜</v>
      </c>
      <c r="Q760" s="11" t="str">
        <f t="shared" si="11"/>
        <v>平</v>
      </c>
    </row>
    <row r="761" spans="4:17" customFormat="1" hidden="1" x14ac:dyDescent="0.15">
      <c r="D761" t="s">
        <v>6</v>
      </c>
      <c r="E761" s="1">
        <v>347293</v>
      </c>
      <c r="F761" s="1">
        <v>347293</v>
      </c>
      <c r="G761" s="8">
        <v>42953</v>
      </c>
      <c r="H761" s="1" t="s">
        <v>37</v>
      </c>
      <c r="I761" s="1">
        <v>2</v>
      </c>
      <c r="J761" s="1">
        <v>4</v>
      </c>
      <c r="K761" s="1">
        <v>0</v>
      </c>
      <c r="L761" s="1" t="s">
        <v>56</v>
      </c>
      <c r="M761" s="1">
        <v>0</v>
      </c>
      <c r="N761" s="1">
        <v>1</v>
      </c>
      <c r="O761" s="1">
        <v>0</v>
      </c>
      <c r="P761" s="11" t="str">
        <f t="shared" si="11"/>
        <v>胜</v>
      </c>
      <c r="Q761" s="11" t="str">
        <f t="shared" si="11"/>
        <v>胜</v>
      </c>
    </row>
    <row r="762" spans="4:17" customFormat="1" hidden="1" x14ac:dyDescent="0.15">
      <c r="D762" t="s">
        <v>6</v>
      </c>
      <c r="E762" s="1">
        <v>347294</v>
      </c>
      <c r="F762" s="1">
        <v>347294</v>
      </c>
      <c r="G762" s="8">
        <v>42954</v>
      </c>
      <c r="H762" s="1" t="s">
        <v>42</v>
      </c>
      <c r="I762" s="1">
        <v>0</v>
      </c>
      <c r="J762" s="1">
        <v>1</v>
      </c>
      <c r="K762" s="1">
        <v>0</v>
      </c>
      <c r="L762" s="1" t="s">
        <v>52</v>
      </c>
      <c r="M762" s="1">
        <v>1</v>
      </c>
      <c r="N762" s="1">
        <v>3</v>
      </c>
      <c r="O762" s="1">
        <v>0</v>
      </c>
      <c r="P762" s="11" t="str">
        <f t="shared" si="11"/>
        <v>负</v>
      </c>
      <c r="Q762" s="11" t="str">
        <f t="shared" si="11"/>
        <v>负</v>
      </c>
    </row>
    <row r="763" spans="4:17" customFormat="1" hidden="1" x14ac:dyDescent="0.15">
      <c r="D763" t="s">
        <v>6</v>
      </c>
      <c r="E763" s="1">
        <v>347295</v>
      </c>
      <c r="F763" s="1">
        <v>347295</v>
      </c>
      <c r="G763" s="8">
        <v>42954</v>
      </c>
      <c r="H763" s="1" t="s">
        <v>54</v>
      </c>
      <c r="I763" s="1">
        <v>2</v>
      </c>
      <c r="J763" s="1">
        <v>2</v>
      </c>
      <c r="K763" s="1">
        <v>0</v>
      </c>
      <c r="L763" s="1" t="s">
        <v>35</v>
      </c>
      <c r="M763" s="1">
        <v>0</v>
      </c>
      <c r="N763" s="1">
        <v>1</v>
      </c>
      <c r="O763" s="1">
        <v>0</v>
      </c>
      <c r="P763" s="11" t="str">
        <f t="shared" si="11"/>
        <v>胜</v>
      </c>
      <c r="Q763" s="11" t="str">
        <f t="shared" si="11"/>
        <v>胜</v>
      </c>
    </row>
    <row r="764" spans="4:17" customFormat="1" hidden="1" x14ac:dyDescent="0.15">
      <c r="D764" t="s">
        <v>6</v>
      </c>
      <c r="E764" s="1">
        <v>347296</v>
      </c>
      <c r="F764" s="1">
        <v>347296</v>
      </c>
      <c r="G764" s="8">
        <v>42954</v>
      </c>
      <c r="H764" s="1" t="s">
        <v>53</v>
      </c>
      <c r="I764" s="1">
        <v>1</v>
      </c>
      <c r="J764" s="1">
        <v>1</v>
      </c>
      <c r="K764" s="1">
        <v>0</v>
      </c>
      <c r="L764" s="1" t="s">
        <v>38</v>
      </c>
      <c r="M764" s="1">
        <v>1</v>
      </c>
      <c r="N764" s="1">
        <v>2</v>
      </c>
      <c r="O764" s="1">
        <v>0</v>
      </c>
      <c r="P764" s="11" t="str">
        <f t="shared" si="11"/>
        <v>平</v>
      </c>
      <c r="Q764" s="11" t="str">
        <f t="shared" si="11"/>
        <v>负</v>
      </c>
    </row>
    <row r="765" spans="4:17" customFormat="1" hidden="1" x14ac:dyDescent="0.15">
      <c r="D765" t="s">
        <v>6</v>
      </c>
      <c r="E765" s="1">
        <v>347297</v>
      </c>
      <c r="F765" s="1">
        <v>347297</v>
      </c>
      <c r="G765" s="8">
        <v>42954</v>
      </c>
      <c r="H765" s="1" t="s">
        <v>45</v>
      </c>
      <c r="I765" s="1">
        <v>0</v>
      </c>
      <c r="J765" s="1">
        <v>2</v>
      </c>
      <c r="K765" s="1">
        <v>0</v>
      </c>
      <c r="L765" s="1" t="s">
        <v>44</v>
      </c>
      <c r="M765" s="1">
        <v>2</v>
      </c>
      <c r="N765" s="1">
        <v>2</v>
      </c>
      <c r="O765" s="1">
        <v>0</v>
      </c>
      <c r="P765" s="11" t="str">
        <f t="shared" si="11"/>
        <v>负</v>
      </c>
      <c r="Q765" s="11" t="str">
        <f t="shared" si="11"/>
        <v>平</v>
      </c>
    </row>
    <row r="766" spans="4:17" customFormat="1" hidden="1" x14ac:dyDescent="0.15">
      <c r="D766" t="s">
        <v>6</v>
      </c>
      <c r="E766" s="1">
        <v>347298</v>
      </c>
      <c r="F766" s="1">
        <v>347298</v>
      </c>
      <c r="G766" s="8">
        <v>42954</v>
      </c>
      <c r="H766" s="1" t="s">
        <v>41</v>
      </c>
      <c r="I766" s="1">
        <v>0</v>
      </c>
      <c r="J766" s="1">
        <v>2</v>
      </c>
      <c r="K766" s="1">
        <v>0</v>
      </c>
      <c r="L766" s="1" t="s">
        <v>48</v>
      </c>
      <c r="M766" s="1">
        <v>1</v>
      </c>
      <c r="N766" s="1">
        <v>1</v>
      </c>
      <c r="O766" s="1">
        <v>0</v>
      </c>
      <c r="P766" s="11" t="str">
        <f t="shared" si="11"/>
        <v>负</v>
      </c>
      <c r="Q766" s="11" t="str">
        <f t="shared" si="11"/>
        <v>胜</v>
      </c>
    </row>
    <row r="767" spans="4:17" customFormat="1" hidden="1" x14ac:dyDescent="0.15">
      <c r="D767" t="s">
        <v>6</v>
      </c>
      <c r="E767" s="1">
        <v>347299</v>
      </c>
      <c r="F767" s="1">
        <v>347299</v>
      </c>
      <c r="G767" s="8">
        <v>42954.083333333336</v>
      </c>
      <c r="H767" s="1" t="s">
        <v>43</v>
      </c>
      <c r="I767" s="1">
        <v>1</v>
      </c>
      <c r="J767" s="1">
        <v>3</v>
      </c>
      <c r="K767" s="1">
        <v>0</v>
      </c>
      <c r="L767" s="1" t="s">
        <v>46</v>
      </c>
      <c r="M767" s="1">
        <v>2</v>
      </c>
      <c r="N767" s="1">
        <v>3</v>
      </c>
      <c r="O767" s="1">
        <v>0</v>
      </c>
      <c r="P767" s="11" t="str">
        <f t="shared" si="11"/>
        <v>负</v>
      </c>
      <c r="Q767" s="11" t="str">
        <f t="shared" si="11"/>
        <v>平</v>
      </c>
    </row>
    <row r="768" spans="4:17" customFormat="1" hidden="1" x14ac:dyDescent="0.15">
      <c r="D768" t="s">
        <v>6</v>
      </c>
      <c r="E768" s="1">
        <v>347300</v>
      </c>
      <c r="F768" s="1">
        <v>347300</v>
      </c>
      <c r="G768" s="8">
        <v>42955.041666666664</v>
      </c>
      <c r="H768" s="1" t="s">
        <v>40</v>
      </c>
      <c r="I768" s="1">
        <v>2</v>
      </c>
      <c r="J768" s="1">
        <v>2</v>
      </c>
      <c r="K768" s="1">
        <v>0</v>
      </c>
      <c r="L768" s="1" t="s">
        <v>49</v>
      </c>
      <c r="M768" s="1">
        <v>0</v>
      </c>
      <c r="N768" s="1">
        <v>0</v>
      </c>
      <c r="O768" s="1">
        <v>0</v>
      </c>
      <c r="P768" s="11" t="str">
        <f t="shared" si="11"/>
        <v>胜</v>
      </c>
      <c r="Q768" s="11" t="str">
        <f t="shared" si="11"/>
        <v>胜</v>
      </c>
    </row>
    <row r="769" spans="4:17" customFormat="1" hidden="1" x14ac:dyDescent="0.15">
      <c r="D769" t="s">
        <v>6</v>
      </c>
      <c r="E769" s="1">
        <v>353431</v>
      </c>
      <c r="F769" s="1">
        <v>353431</v>
      </c>
      <c r="G769" s="8">
        <v>42959.042361111111</v>
      </c>
      <c r="H769" s="1" t="s">
        <v>52</v>
      </c>
      <c r="I769" s="1">
        <v>1</v>
      </c>
      <c r="J769" s="1">
        <v>2</v>
      </c>
      <c r="K769" s="1">
        <v>0</v>
      </c>
      <c r="L769" s="1" t="s">
        <v>35</v>
      </c>
      <c r="M769" s="1">
        <v>0</v>
      </c>
      <c r="N769" s="1">
        <v>1</v>
      </c>
      <c r="O769" s="1">
        <v>0</v>
      </c>
      <c r="P769" s="11" t="str">
        <f t="shared" si="11"/>
        <v>胜</v>
      </c>
      <c r="Q769" s="11" t="str">
        <f t="shared" si="11"/>
        <v>胜</v>
      </c>
    </row>
    <row r="770" spans="4:17" customFormat="1" hidden="1" x14ac:dyDescent="0.15">
      <c r="D770" t="s">
        <v>6</v>
      </c>
      <c r="E770" s="1">
        <v>353766</v>
      </c>
      <c r="F770" s="1">
        <v>353766</v>
      </c>
      <c r="G770" s="8">
        <v>42960</v>
      </c>
      <c r="H770" s="1" t="s">
        <v>38</v>
      </c>
      <c r="I770" s="1">
        <v>1</v>
      </c>
      <c r="J770" s="1">
        <v>1</v>
      </c>
      <c r="K770" s="1">
        <v>0</v>
      </c>
      <c r="L770" s="1" t="s">
        <v>37</v>
      </c>
      <c r="M770" s="1">
        <v>0</v>
      </c>
      <c r="N770" s="1">
        <v>2</v>
      </c>
      <c r="O770" s="1">
        <v>0</v>
      </c>
      <c r="P770" s="11" t="str">
        <f t="shared" si="11"/>
        <v>胜</v>
      </c>
      <c r="Q770" s="11" t="str">
        <f t="shared" si="11"/>
        <v>负</v>
      </c>
    </row>
    <row r="771" spans="4:17" customFormat="1" hidden="1" x14ac:dyDescent="0.15">
      <c r="D771" t="s">
        <v>6</v>
      </c>
      <c r="E771" s="1">
        <v>353859</v>
      </c>
      <c r="F771" s="1">
        <v>353859</v>
      </c>
      <c r="G771" s="8">
        <v>42961</v>
      </c>
      <c r="H771" s="1" t="s">
        <v>48</v>
      </c>
      <c r="I771" s="1">
        <v>2</v>
      </c>
      <c r="J771" s="1">
        <v>2</v>
      </c>
      <c r="K771" s="1">
        <v>0</v>
      </c>
      <c r="L771" s="1" t="s">
        <v>42</v>
      </c>
      <c r="M771" s="1">
        <v>0</v>
      </c>
      <c r="N771" s="1">
        <v>2</v>
      </c>
      <c r="O771" s="1">
        <v>0</v>
      </c>
      <c r="P771" s="11" t="str">
        <f t="shared" si="11"/>
        <v>胜</v>
      </c>
      <c r="Q771" s="11" t="str">
        <f t="shared" si="11"/>
        <v>平</v>
      </c>
    </row>
    <row r="772" spans="4:17" customFormat="1" hidden="1" x14ac:dyDescent="0.15">
      <c r="D772" t="s">
        <v>6</v>
      </c>
      <c r="E772" s="1">
        <v>353860</v>
      </c>
      <c r="F772" s="1">
        <v>353860</v>
      </c>
      <c r="G772" s="8">
        <v>42961</v>
      </c>
      <c r="H772" s="1" t="s">
        <v>56</v>
      </c>
      <c r="I772" s="1">
        <v>1</v>
      </c>
      <c r="J772" s="1">
        <v>2</v>
      </c>
      <c r="K772" s="1">
        <v>0</v>
      </c>
      <c r="L772" s="1" t="s">
        <v>41</v>
      </c>
      <c r="M772" s="1">
        <v>0</v>
      </c>
      <c r="N772" s="1">
        <v>2</v>
      </c>
      <c r="O772" s="1">
        <v>0</v>
      </c>
      <c r="P772" s="11" t="str">
        <f t="shared" si="11"/>
        <v>胜</v>
      </c>
      <c r="Q772" s="11" t="str">
        <f t="shared" si="11"/>
        <v>平</v>
      </c>
    </row>
    <row r="773" spans="4:17" customFormat="1" hidden="1" x14ac:dyDescent="0.15">
      <c r="D773" t="s">
        <v>6</v>
      </c>
      <c r="E773" s="1">
        <v>353861</v>
      </c>
      <c r="F773" s="1">
        <v>353861</v>
      </c>
      <c r="G773" s="8">
        <v>42961.002083333333</v>
      </c>
      <c r="H773" s="1" t="s">
        <v>46</v>
      </c>
      <c r="I773" s="1">
        <v>1</v>
      </c>
      <c r="J773" s="1">
        <v>2</v>
      </c>
      <c r="K773" s="1">
        <v>0</v>
      </c>
      <c r="L773" s="1" t="s">
        <v>54</v>
      </c>
      <c r="M773" s="1">
        <v>0</v>
      </c>
      <c r="N773" s="1">
        <v>0</v>
      </c>
      <c r="O773" s="1">
        <v>0</v>
      </c>
      <c r="P773" s="11" t="str">
        <f t="shared" si="11"/>
        <v>胜</v>
      </c>
      <c r="Q773" s="11" t="str">
        <f t="shared" si="11"/>
        <v>胜</v>
      </c>
    </row>
    <row r="774" spans="4:17" customFormat="1" hidden="1" x14ac:dyDescent="0.15">
      <c r="D774" t="s">
        <v>6</v>
      </c>
      <c r="E774" s="1">
        <v>353862</v>
      </c>
      <c r="F774" s="1">
        <v>353862</v>
      </c>
      <c r="G774" s="8">
        <v>42961</v>
      </c>
      <c r="H774" s="1" t="s">
        <v>43</v>
      </c>
      <c r="I774" s="1">
        <v>0</v>
      </c>
      <c r="J774" s="1">
        <v>1</v>
      </c>
      <c r="K774" s="1">
        <v>0</v>
      </c>
      <c r="L774" s="1" t="s">
        <v>45</v>
      </c>
      <c r="M774" s="1">
        <v>1</v>
      </c>
      <c r="N774" s="1">
        <v>1</v>
      </c>
      <c r="O774" s="1">
        <v>0</v>
      </c>
      <c r="P774" s="11" t="str">
        <f t="shared" si="11"/>
        <v>负</v>
      </c>
      <c r="Q774" s="11" t="str">
        <f t="shared" si="11"/>
        <v>平</v>
      </c>
    </row>
    <row r="775" spans="4:17" customFormat="1" hidden="1" x14ac:dyDescent="0.15">
      <c r="D775" t="s">
        <v>6</v>
      </c>
      <c r="E775" s="1">
        <v>353863</v>
      </c>
      <c r="F775" s="1">
        <v>353863</v>
      </c>
      <c r="G775" s="8">
        <v>42961.084027777775</v>
      </c>
      <c r="H775" s="1" t="s">
        <v>40</v>
      </c>
      <c r="I775" s="1">
        <v>3</v>
      </c>
      <c r="J775" s="1">
        <v>3</v>
      </c>
      <c r="K775" s="1">
        <v>0</v>
      </c>
      <c r="L775" s="1" t="s">
        <v>44</v>
      </c>
      <c r="M775" s="1">
        <v>1</v>
      </c>
      <c r="N775" s="1">
        <v>1</v>
      </c>
      <c r="O775" s="1">
        <v>0</v>
      </c>
      <c r="P775" s="11" t="str">
        <f t="shared" si="11"/>
        <v>胜</v>
      </c>
      <c r="Q775" s="11" t="str">
        <f t="shared" si="11"/>
        <v>胜</v>
      </c>
    </row>
    <row r="776" spans="4:17" customFormat="1" hidden="1" x14ac:dyDescent="0.15">
      <c r="D776" t="s">
        <v>6</v>
      </c>
      <c r="E776" s="1">
        <v>353864</v>
      </c>
      <c r="F776" s="1">
        <v>353864</v>
      </c>
      <c r="G776" s="8">
        <v>42962.041666666664</v>
      </c>
      <c r="H776" s="1" t="s">
        <v>49</v>
      </c>
      <c r="I776" s="1">
        <v>0</v>
      </c>
      <c r="J776" s="1">
        <v>0</v>
      </c>
      <c r="K776" s="1">
        <v>0</v>
      </c>
      <c r="L776" s="1" t="s">
        <v>53</v>
      </c>
      <c r="M776" s="1">
        <v>0</v>
      </c>
      <c r="N776" s="1">
        <v>0</v>
      </c>
      <c r="O776" s="1">
        <v>0</v>
      </c>
      <c r="P776" s="11" t="str">
        <f t="shared" si="11"/>
        <v>平</v>
      </c>
      <c r="Q776" s="11" t="str">
        <f t="shared" si="11"/>
        <v>平</v>
      </c>
    </row>
    <row r="777" spans="4:17" customFormat="1" hidden="1" x14ac:dyDescent="0.15">
      <c r="D777" t="s">
        <v>6</v>
      </c>
      <c r="E777" s="1">
        <v>356591</v>
      </c>
      <c r="F777" s="1">
        <v>356591</v>
      </c>
      <c r="G777" s="8">
        <v>42967.000694444447</v>
      </c>
      <c r="H777" s="1" t="s">
        <v>44</v>
      </c>
      <c r="I777" s="1">
        <v>2</v>
      </c>
      <c r="J777" s="1">
        <v>2</v>
      </c>
      <c r="K777" s="1">
        <v>0</v>
      </c>
      <c r="L777" s="1" t="s">
        <v>49</v>
      </c>
      <c r="M777" s="1">
        <v>1</v>
      </c>
      <c r="N777" s="1">
        <v>1</v>
      </c>
      <c r="O777" s="1">
        <v>0</v>
      </c>
      <c r="P777" s="11" t="str">
        <f t="shared" si="11"/>
        <v>胜</v>
      </c>
      <c r="Q777" s="11" t="str">
        <f t="shared" si="11"/>
        <v>胜</v>
      </c>
    </row>
    <row r="778" spans="4:17" customFormat="1" hidden="1" x14ac:dyDescent="0.15">
      <c r="D778" t="s">
        <v>6</v>
      </c>
      <c r="E778" s="1">
        <v>356807</v>
      </c>
      <c r="F778" s="1">
        <v>356807</v>
      </c>
      <c r="G778" s="8">
        <v>42968.000694444447</v>
      </c>
      <c r="H778" s="1" t="s">
        <v>54</v>
      </c>
      <c r="I778" s="1">
        <v>0</v>
      </c>
      <c r="J778" s="1">
        <v>1</v>
      </c>
      <c r="K778" s="1">
        <v>0</v>
      </c>
      <c r="L778" s="1" t="s">
        <v>52</v>
      </c>
      <c r="M778" s="1">
        <v>0</v>
      </c>
      <c r="N778" s="1">
        <v>0</v>
      </c>
      <c r="O778" s="1">
        <v>0</v>
      </c>
      <c r="P778" s="11" t="str">
        <f t="shared" si="11"/>
        <v>平</v>
      </c>
      <c r="Q778" s="11" t="str">
        <f t="shared" si="11"/>
        <v>胜</v>
      </c>
    </row>
    <row r="779" spans="4:17" customFormat="1" hidden="1" x14ac:dyDescent="0.15">
      <c r="D779" t="s">
        <v>6</v>
      </c>
      <c r="E779" s="1">
        <v>356808</v>
      </c>
      <c r="F779" s="1">
        <v>356808</v>
      </c>
      <c r="G779" s="8">
        <v>42968.003472222219</v>
      </c>
      <c r="H779" s="1" t="s">
        <v>37</v>
      </c>
      <c r="I779" s="1">
        <v>0</v>
      </c>
      <c r="J779" s="1">
        <v>0</v>
      </c>
      <c r="K779" s="1">
        <v>0</v>
      </c>
      <c r="L779" s="1" t="s">
        <v>48</v>
      </c>
      <c r="M779" s="1">
        <v>1</v>
      </c>
      <c r="N779" s="1">
        <v>1</v>
      </c>
      <c r="O779" s="1">
        <v>0</v>
      </c>
      <c r="P779" s="11" t="str">
        <f t="shared" si="11"/>
        <v>负</v>
      </c>
      <c r="Q779" s="11" t="str">
        <f t="shared" si="11"/>
        <v>负</v>
      </c>
    </row>
    <row r="780" spans="4:17" customFormat="1" hidden="1" x14ac:dyDescent="0.15">
      <c r="D780" t="s">
        <v>6</v>
      </c>
      <c r="E780" s="1">
        <v>356809</v>
      </c>
      <c r="F780" s="1">
        <v>356809</v>
      </c>
      <c r="G780" s="8">
        <v>42968.002083333333</v>
      </c>
      <c r="H780" s="1" t="s">
        <v>35</v>
      </c>
      <c r="I780" s="1">
        <v>1</v>
      </c>
      <c r="J780" s="1">
        <v>2</v>
      </c>
      <c r="K780" s="1">
        <v>0</v>
      </c>
      <c r="L780" s="1" t="s">
        <v>56</v>
      </c>
      <c r="M780" s="1">
        <v>0</v>
      </c>
      <c r="N780" s="1">
        <v>0</v>
      </c>
      <c r="O780" s="1">
        <v>0</v>
      </c>
      <c r="P780" s="11" t="str">
        <f t="shared" si="11"/>
        <v>胜</v>
      </c>
      <c r="Q780" s="11" t="str">
        <f t="shared" si="11"/>
        <v>胜</v>
      </c>
    </row>
    <row r="781" spans="4:17" customFormat="1" hidden="1" x14ac:dyDescent="0.15">
      <c r="D781" t="s">
        <v>6</v>
      </c>
      <c r="E781" s="1">
        <v>356810</v>
      </c>
      <c r="F781" s="1">
        <v>356810</v>
      </c>
      <c r="G781" s="8">
        <v>42968.00277777778</v>
      </c>
      <c r="H781" s="1" t="s">
        <v>42</v>
      </c>
      <c r="I781" s="1">
        <v>1</v>
      </c>
      <c r="J781" s="1">
        <v>3</v>
      </c>
      <c r="K781" s="1">
        <v>0</v>
      </c>
      <c r="L781" s="1" t="s">
        <v>38</v>
      </c>
      <c r="M781" s="1">
        <v>0</v>
      </c>
      <c r="N781" s="1">
        <v>2</v>
      </c>
      <c r="O781" s="1">
        <v>0</v>
      </c>
      <c r="P781" s="11" t="str">
        <f t="shared" ref="P781:Q844" si="12">IF(I781=M781,"平",IF(I781&gt;M781,"胜","负"))</f>
        <v>胜</v>
      </c>
      <c r="Q781" s="11" t="str">
        <f t="shared" si="12"/>
        <v>胜</v>
      </c>
    </row>
    <row r="782" spans="4:17" customFormat="1" hidden="1" x14ac:dyDescent="0.15">
      <c r="D782" t="s">
        <v>6</v>
      </c>
      <c r="E782" s="1">
        <v>356811</v>
      </c>
      <c r="F782" s="1">
        <v>356811</v>
      </c>
      <c r="G782" s="8">
        <v>42968.00277777778</v>
      </c>
      <c r="H782" s="1" t="s">
        <v>53</v>
      </c>
      <c r="I782" s="1">
        <v>1</v>
      </c>
      <c r="J782" s="1">
        <v>3</v>
      </c>
      <c r="K782" s="1">
        <v>0</v>
      </c>
      <c r="L782" s="1" t="s">
        <v>43</v>
      </c>
      <c r="M782" s="1">
        <v>1</v>
      </c>
      <c r="N782" s="1">
        <v>2</v>
      </c>
      <c r="O782" s="1">
        <v>0</v>
      </c>
      <c r="P782" s="11" t="str">
        <f t="shared" si="12"/>
        <v>平</v>
      </c>
      <c r="Q782" s="11" t="str">
        <f t="shared" si="12"/>
        <v>胜</v>
      </c>
    </row>
    <row r="783" spans="4:17" customFormat="1" hidden="1" x14ac:dyDescent="0.15">
      <c r="D783" t="s">
        <v>6</v>
      </c>
      <c r="E783" s="1">
        <v>356812</v>
      </c>
      <c r="F783" s="1">
        <v>356812</v>
      </c>
      <c r="G783" s="8">
        <v>42968.084027777775</v>
      </c>
      <c r="H783" s="1" t="s">
        <v>45</v>
      </c>
      <c r="I783" s="1">
        <v>1</v>
      </c>
      <c r="J783" s="1">
        <v>2</v>
      </c>
      <c r="K783" s="1">
        <v>0</v>
      </c>
      <c r="L783" s="1" t="s">
        <v>46</v>
      </c>
      <c r="M783" s="1">
        <v>1</v>
      </c>
      <c r="N783" s="1">
        <v>4</v>
      </c>
      <c r="O783" s="1">
        <v>0</v>
      </c>
      <c r="P783" s="11" t="str">
        <f t="shared" si="12"/>
        <v>平</v>
      </c>
      <c r="Q783" s="11" t="str">
        <f t="shared" si="12"/>
        <v>负</v>
      </c>
    </row>
    <row r="784" spans="4:17" customFormat="1" hidden="1" x14ac:dyDescent="0.15">
      <c r="D784" t="s">
        <v>6</v>
      </c>
      <c r="E784" s="1">
        <v>356813</v>
      </c>
      <c r="F784" s="1">
        <v>356813</v>
      </c>
      <c r="G784" s="8">
        <v>42969.041666666664</v>
      </c>
      <c r="H784" s="1" t="s">
        <v>41</v>
      </c>
      <c r="I784" s="1">
        <v>0</v>
      </c>
      <c r="J784" s="1">
        <v>0</v>
      </c>
      <c r="K784" s="1">
        <v>0</v>
      </c>
      <c r="L784" s="1" t="s">
        <v>40</v>
      </c>
      <c r="M784" s="1">
        <v>0</v>
      </c>
      <c r="N784" s="1">
        <v>0</v>
      </c>
      <c r="O784" s="1">
        <v>0</v>
      </c>
      <c r="P784" s="11" t="str">
        <f t="shared" si="12"/>
        <v>平</v>
      </c>
      <c r="Q784" s="11" t="str">
        <f t="shared" si="12"/>
        <v>平</v>
      </c>
    </row>
    <row r="785" spans="4:17" customFormat="1" hidden="1" x14ac:dyDescent="0.15">
      <c r="D785" t="s">
        <v>6</v>
      </c>
      <c r="E785" s="1">
        <v>361868</v>
      </c>
      <c r="F785" s="1">
        <v>361868</v>
      </c>
      <c r="G785" s="8">
        <v>42988.001388888886</v>
      </c>
      <c r="H785" s="1" t="s">
        <v>46</v>
      </c>
      <c r="I785" s="1">
        <v>1</v>
      </c>
      <c r="J785" s="1">
        <v>2</v>
      </c>
      <c r="K785" s="1">
        <v>0</v>
      </c>
      <c r="L785" s="1" t="s">
        <v>35</v>
      </c>
      <c r="M785" s="1">
        <v>1</v>
      </c>
      <c r="N785" s="1">
        <v>1</v>
      </c>
      <c r="O785" s="1">
        <v>0</v>
      </c>
      <c r="P785" s="11" t="str">
        <f t="shared" si="12"/>
        <v>平</v>
      </c>
      <c r="Q785" s="11" t="str">
        <f t="shared" si="12"/>
        <v>胜</v>
      </c>
    </row>
    <row r="786" spans="4:17" customFormat="1" hidden="1" x14ac:dyDescent="0.15">
      <c r="D786" t="s">
        <v>6</v>
      </c>
      <c r="E786" s="1">
        <v>361869</v>
      </c>
      <c r="F786" s="1">
        <v>361869</v>
      </c>
      <c r="G786" s="8">
        <v>42989</v>
      </c>
      <c r="H786" s="1" t="s">
        <v>43</v>
      </c>
      <c r="I786" s="1">
        <v>0</v>
      </c>
      <c r="J786" s="1">
        <v>1</v>
      </c>
      <c r="K786" s="1">
        <v>0</v>
      </c>
      <c r="L786" s="1" t="s">
        <v>42</v>
      </c>
      <c r="M786" s="1">
        <v>1</v>
      </c>
      <c r="N786" s="1">
        <v>1</v>
      </c>
      <c r="O786" s="1">
        <v>0</v>
      </c>
      <c r="P786" s="11" t="str">
        <f t="shared" si="12"/>
        <v>负</v>
      </c>
      <c r="Q786" s="11" t="str">
        <f t="shared" si="12"/>
        <v>平</v>
      </c>
    </row>
    <row r="787" spans="4:17" customFormat="1" hidden="1" x14ac:dyDescent="0.15">
      <c r="D787" t="s">
        <v>6</v>
      </c>
      <c r="E787" s="1">
        <v>361870</v>
      </c>
      <c r="F787" s="1">
        <v>361870</v>
      </c>
      <c r="G787" s="8">
        <v>42988.999305555553</v>
      </c>
      <c r="H787" s="1" t="s">
        <v>48</v>
      </c>
      <c r="I787" s="1">
        <v>1</v>
      </c>
      <c r="J787" s="1">
        <v>1</v>
      </c>
      <c r="K787" s="1">
        <v>0</v>
      </c>
      <c r="L787" s="1" t="s">
        <v>44</v>
      </c>
      <c r="M787" s="1">
        <v>0</v>
      </c>
      <c r="N787" s="1">
        <v>1</v>
      </c>
      <c r="O787" s="1">
        <v>0</v>
      </c>
      <c r="P787" s="11" t="str">
        <f t="shared" si="12"/>
        <v>胜</v>
      </c>
      <c r="Q787" s="11" t="str">
        <f t="shared" si="12"/>
        <v>平</v>
      </c>
    </row>
    <row r="788" spans="4:17" customFormat="1" hidden="1" x14ac:dyDescent="0.15">
      <c r="D788" t="s">
        <v>6</v>
      </c>
      <c r="E788" s="1">
        <v>361871</v>
      </c>
      <c r="F788" s="1">
        <v>361871</v>
      </c>
      <c r="G788" s="8">
        <v>42989</v>
      </c>
      <c r="H788" s="1" t="s">
        <v>56</v>
      </c>
      <c r="I788" s="1">
        <v>3</v>
      </c>
      <c r="J788" s="1">
        <v>4</v>
      </c>
      <c r="K788" s="1">
        <v>0</v>
      </c>
      <c r="L788" s="1" t="s">
        <v>53</v>
      </c>
      <c r="M788" s="1">
        <v>0</v>
      </c>
      <c r="N788" s="1">
        <v>1</v>
      </c>
      <c r="O788" s="1">
        <v>0</v>
      </c>
      <c r="P788" s="11" t="str">
        <f t="shared" si="12"/>
        <v>胜</v>
      </c>
      <c r="Q788" s="11" t="str">
        <f t="shared" si="12"/>
        <v>胜</v>
      </c>
    </row>
    <row r="789" spans="4:17" customFormat="1" hidden="1" x14ac:dyDescent="0.15">
      <c r="D789" t="s">
        <v>6</v>
      </c>
      <c r="E789" s="1">
        <v>361872</v>
      </c>
      <c r="F789" s="1">
        <v>361872</v>
      </c>
      <c r="G789" s="8">
        <v>42989.001388888886</v>
      </c>
      <c r="H789" s="1" t="s">
        <v>52</v>
      </c>
      <c r="I789" s="1">
        <v>2</v>
      </c>
      <c r="J789" s="1">
        <v>3</v>
      </c>
      <c r="K789" s="1">
        <v>0</v>
      </c>
      <c r="L789" s="1" t="s">
        <v>45</v>
      </c>
      <c r="M789" s="1">
        <v>1</v>
      </c>
      <c r="N789" s="1">
        <v>1</v>
      </c>
      <c r="O789" s="1">
        <v>0</v>
      </c>
      <c r="P789" s="11" t="str">
        <f t="shared" si="12"/>
        <v>胜</v>
      </c>
      <c r="Q789" s="11" t="str">
        <f t="shared" si="12"/>
        <v>胜</v>
      </c>
    </row>
    <row r="790" spans="4:17" customFormat="1" hidden="1" x14ac:dyDescent="0.15">
      <c r="D790" t="s">
        <v>6</v>
      </c>
      <c r="E790" s="1">
        <v>361873</v>
      </c>
      <c r="F790" s="1">
        <v>361873</v>
      </c>
      <c r="G790" s="8">
        <v>42989</v>
      </c>
      <c r="H790" s="1" t="s">
        <v>49</v>
      </c>
      <c r="I790" s="1">
        <v>0</v>
      </c>
      <c r="J790" s="1">
        <v>1</v>
      </c>
      <c r="K790" s="1">
        <v>0</v>
      </c>
      <c r="L790" s="1" t="s">
        <v>41</v>
      </c>
      <c r="M790" s="1">
        <v>1</v>
      </c>
      <c r="N790" s="1">
        <v>2</v>
      </c>
      <c r="O790" s="1">
        <v>0</v>
      </c>
      <c r="P790" s="11" t="str">
        <f t="shared" si="12"/>
        <v>负</v>
      </c>
      <c r="Q790" s="11" t="str">
        <f t="shared" si="12"/>
        <v>负</v>
      </c>
    </row>
    <row r="791" spans="4:17" customFormat="1" hidden="1" x14ac:dyDescent="0.15">
      <c r="D791" t="s">
        <v>6</v>
      </c>
      <c r="E791" s="1">
        <v>361874</v>
      </c>
      <c r="F791" s="1">
        <v>361874</v>
      </c>
      <c r="G791" s="8">
        <v>42989.083333333336</v>
      </c>
      <c r="H791" s="1" t="s">
        <v>40</v>
      </c>
      <c r="I791" s="1">
        <v>0</v>
      </c>
      <c r="J791" s="1">
        <v>0</v>
      </c>
      <c r="K791" s="1">
        <v>0</v>
      </c>
      <c r="L791" s="1" t="s">
        <v>37</v>
      </c>
      <c r="M791" s="1">
        <v>0</v>
      </c>
      <c r="N791" s="1">
        <v>2</v>
      </c>
      <c r="O791" s="1">
        <v>0</v>
      </c>
      <c r="P791" s="11" t="str">
        <f t="shared" si="12"/>
        <v>平</v>
      </c>
      <c r="Q791" s="11" t="str">
        <f t="shared" si="12"/>
        <v>负</v>
      </c>
    </row>
    <row r="792" spans="4:17" customFormat="1" hidden="1" x14ac:dyDescent="0.15">
      <c r="D792" t="s">
        <v>6</v>
      </c>
      <c r="E792" s="1">
        <v>361875</v>
      </c>
      <c r="F792" s="1">
        <v>361875</v>
      </c>
      <c r="G792" s="8">
        <v>42990.041666666664</v>
      </c>
      <c r="H792" s="1" t="s">
        <v>38</v>
      </c>
      <c r="I792" s="1">
        <v>0</v>
      </c>
      <c r="J792" s="1">
        <v>2</v>
      </c>
      <c r="K792" s="1">
        <v>0</v>
      </c>
      <c r="L792" s="1" t="s">
        <v>54</v>
      </c>
      <c r="M792" s="1">
        <v>0</v>
      </c>
      <c r="N792" s="1">
        <v>1</v>
      </c>
      <c r="O792" s="1">
        <v>0</v>
      </c>
      <c r="P792" s="11" t="str">
        <f t="shared" si="12"/>
        <v>平</v>
      </c>
      <c r="Q792" s="11" t="str">
        <f t="shared" si="12"/>
        <v>胜</v>
      </c>
    </row>
    <row r="793" spans="4:17" customFormat="1" hidden="1" x14ac:dyDescent="0.15">
      <c r="D793" t="s">
        <v>6</v>
      </c>
      <c r="E793" s="1">
        <v>382072</v>
      </c>
      <c r="F793" s="1">
        <v>382072</v>
      </c>
      <c r="G793" s="8">
        <v>42995</v>
      </c>
      <c r="H793" s="1" t="s">
        <v>42</v>
      </c>
      <c r="I793" s="1">
        <v>0</v>
      </c>
      <c r="J793" s="1">
        <v>0</v>
      </c>
      <c r="K793" s="1">
        <v>0</v>
      </c>
      <c r="L793" s="1" t="s">
        <v>40</v>
      </c>
      <c r="M793" s="1">
        <v>1</v>
      </c>
      <c r="N793" s="1">
        <v>2</v>
      </c>
      <c r="O793" s="1">
        <v>0</v>
      </c>
      <c r="P793" s="11" t="str">
        <f t="shared" si="12"/>
        <v>负</v>
      </c>
      <c r="Q793" s="11" t="str">
        <f t="shared" si="12"/>
        <v>负</v>
      </c>
    </row>
    <row r="794" spans="4:17" customFormat="1" hidden="1" x14ac:dyDescent="0.15">
      <c r="D794" t="s">
        <v>6</v>
      </c>
      <c r="E794" s="1">
        <v>382087</v>
      </c>
      <c r="F794" s="1">
        <v>382087</v>
      </c>
      <c r="G794" s="8">
        <v>42996.000694444447</v>
      </c>
      <c r="H794" s="1" t="s">
        <v>44</v>
      </c>
      <c r="I794" s="1">
        <v>0</v>
      </c>
      <c r="J794" s="1">
        <v>0</v>
      </c>
      <c r="K794" s="1">
        <v>0</v>
      </c>
      <c r="L794" s="1" t="s">
        <v>56</v>
      </c>
      <c r="M794" s="1">
        <v>0</v>
      </c>
      <c r="N794" s="1">
        <v>0</v>
      </c>
      <c r="O794" s="1">
        <v>0</v>
      </c>
      <c r="P794" s="11" t="str">
        <f t="shared" si="12"/>
        <v>平</v>
      </c>
      <c r="Q794" s="11" t="str">
        <f t="shared" si="12"/>
        <v>平</v>
      </c>
    </row>
    <row r="795" spans="4:17" customFormat="1" hidden="1" x14ac:dyDescent="0.15">
      <c r="D795" t="s">
        <v>6</v>
      </c>
      <c r="E795" s="1">
        <v>382088</v>
      </c>
      <c r="F795" s="1">
        <v>382088</v>
      </c>
      <c r="G795" s="8">
        <v>42996</v>
      </c>
      <c r="H795" s="1" t="s">
        <v>35</v>
      </c>
      <c r="I795" s="1">
        <v>0</v>
      </c>
      <c r="J795" s="1">
        <v>0</v>
      </c>
      <c r="K795" s="1">
        <v>0</v>
      </c>
      <c r="L795" s="1" t="s">
        <v>48</v>
      </c>
      <c r="M795" s="1">
        <v>0</v>
      </c>
      <c r="N795" s="1">
        <v>1</v>
      </c>
      <c r="O795" s="1">
        <v>0</v>
      </c>
      <c r="P795" s="11" t="str">
        <f t="shared" si="12"/>
        <v>平</v>
      </c>
      <c r="Q795" s="11" t="str">
        <f t="shared" si="12"/>
        <v>负</v>
      </c>
    </row>
    <row r="796" spans="4:17" customFormat="1" hidden="1" x14ac:dyDescent="0.15">
      <c r="D796" t="s">
        <v>6</v>
      </c>
      <c r="E796" s="1">
        <v>382089</v>
      </c>
      <c r="F796" s="1">
        <v>382089</v>
      </c>
      <c r="G796" s="8">
        <v>42996</v>
      </c>
      <c r="H796" s="1" t="s">
        <v>52</v>
      </c>
      <c r="I796" s="1">
        <v>0</v>
      </c>
      <c r="J796" s="1">
        <v>0</v>
      </c>
      <c r="K796" s="1">
        <v>0</v>
      </c>
      <c r="L796" s="1" t="s">
        <v>46</v>
      </c>
      <c r="M796" s="1">
        <v>1</v>
      </c>
      <c r="N796" s="1">
        <v>1</v>
      </c>
      <c r="O796" s="1">
        <v>0</v>
      </c>
      <c r="P796" s="11" t="str">
        <f t="shared" si="12"/>
        <v>负</v>
      </c>
      <c r="Q796" s="11" t="str">
        <f t="shared" si="12"/>
        <v>负</v>
      </c>
    </row>
    <row r="797" spans="4:17" customFormat="1" hidden="1" x14ac:dyDescent="0.15">
      <c r="D797" t="s">
        <v>6</v>
      </c>
      <c r="E797" s="1">
        <v>382090</v>
      </c>
      <c r="F797" s="1">
        <v>382090</v>
      </c>
      <c r="G797" s="8">
        <v>42996</v>
      </c>
      <c r="H797" s="1" t="s">
        <v>53</v>
      </c>
      <c r="I797" s="1">
        <v>4</v>
      </c>
      <c r="J797" s="1">
        <v>5</v>
      </c>
      <c r="K797" s="1">
        <v>0</v>
      </c>
      <c r="L797" s="1" t="s">
        <v>41</v>
      </c>
      <c r="M797" s="1">
        <v>0</v>
      </c>
      <c r="N797" s="1">
        <v>0</v>
      </c>
      <c r="O797" s="1">
        <v>0</v>
      </c>
      <c r="P797" s="11" t="str">
        <f t="shared" si="12"/>
        <v>胜</v>
      </c>
      <c r="Q797" s="11" t="str">
        <f t="shared" si="12"/>
        <v>胜</v>
      </c>
    </row>
    <row r="798" spans="4:17" customFormat="1" hidden="1" x14ac:dyDescent="0.15">
      <c r="D798" t="s">
        <v>6</v>
      </c>
      <c r="E798" s="1">
        <v>382092</v>
      </c>
      <c r="F798" s="1">
        <v>382092</v>
      </c>
      <c r="G798" s="8">
        <v>42995.999305555553</v>
      </c>
      <c r="H798" s="1" t="s">
        <v>45</v>
      </c>
      <c r="I798" s="1">
        <v>1</v>
      </c>
      <c r="J798" s="1">
        <v>2</v>
      </c>
      <c r="K798" s="1">
        <v>0</v>
      </c>
      <c r="L798" s="1" t="s">
        <v>38</v>
      </c>
      <c r="M798" s="1">
        <v>2</v>
      </c>
      <c r="N798" s="1">
        <v>3</v>
      </c>
      <c r="O798" s="1">
        <v>0</v>
      </c>
      <c r="P798" s="11" t="str">
        <f t="shared" si="12"/>
        <v>负</v>
      </c>
      <c r="Q798" s="11" t="str">
        <f t="shared" si="12"/>
        <v>负</v>
      </c>
    </row>
    <row r="799" spans="4:17" customFormat="1" hidden="1" x14ac:dyDescent="0.15">
      <c r="D799" t="s">
        <v>6</v>
      </c>
      <c r="E799" s="1">
        <v>382170</v>
      </c>
      <c r="F799" s="1">
        <v>382170</v>
      </c>
      <c r="G799" s="8">
        <v>42996.083333333336</v>
      </c>
      <c r="H799" s="1" t="s">
        <v>37</v>
      </c>
      <c r="I799" s="1">
        <v>2</v>
      </c>
      <c r="J799" s="1">
        <v>3</v>
      </c>
      <c r="K799" s="1">
        <v>0</v>
      </c>
      <c r="L799" s="1" t="s">
        <v>49</v>
      </c>
      <c r="M799" s="1">
        <v>0</v>
      </c>
      <c r="N799" s="1">
        <v>0</v>
      </c>
      <c r="O799" s="1">
        <v>0</v>
      </c>
      <c r="P799" s="11" t="str">
        <f t="shared" si="12"/>
        <v>胜</v>
      </c>
      <c r="Q799" s="11" t="str">
        <f t="shared" si="12"/>
        <v>胜</v>
      </c>
    </row>
    <row r="800" spans="4:17" customFormat="1" hidden="1" x14ac:dyDescent="0.15">
      <c r="D800" t="s">
        <v>6</v>
      </c>
      <c r="E800" s="1">
        <v>382372</v>
      </c>
      <c r="F800" s="1">
        <v>382372</v>
      </c>
      <c r="G800" s="8">
        <v>42997.041666666664</v>
      </c>
      <c r="H800" s="1" t="s">
        <v>54</v>
      </c>
      <c r="I800" s="1">
        <v>2</v>
      </c>
      <c r="J800" s="1">
        <v>3</v>
      </c>
      <c r="K800" s="1">
        <v>0</v>
      </c>
      <c r="L800" s="1" t="s">
        <v>43</v>
      </c>
      <c r="M800" s="1">
        <v>0</v>
      </c>
      <c r="N800" s="1">
        <v>2</v>
      </c>
      <c r="O800" s="1">
        <v>0</v>
      </c>
      <c r="P800" s="11" t="str">
        <f t="shared" si="12"/>
        <v>胜</v>
      </c>
      <c r="Q800" s="11" t="str">
        <f t="shared" si="12"/>
        <v>胜</v>
      </c>
    </row>
    <row r="801" spans="4:17" customFormat="1" hidden="1" x14ac:dyDescent="0.15">
      <c r="D801" t="s">
        <v>6</v>
      </c>
      <c r="E801" s="1">
        <v>396546</v>
      </c>
      <c r="F801" s="1">
        <v>396546</v>
      </c>
      <c r="G801" s="8">
        <v>43000</v>
      </c>
      <c r="H801" s="1" t="s">
        <v>53</v>
      </c>
      <c r="I801" s="1">
        <v>1</v>
      </c>
      <c r="J801" s="1">
        <v>2</v>
      </c>
      <c r="K801" s="1">
        <v>0</v>
      </c>
      <c r="L801" s="1" t="s">
        <v>54</v>
      </c>
      <c r="M801" s="1">
        <v>1</v>
      </c>
      <c r="N801" s="1">
        <v>2</v>
      </c>
      <c r="O801" s="1">
        <v>0</v>
      </c>
      <c r="P801" s="11" t="str">
        <f t="shared" si="12"/>
        <v>平</v>
      </c>
      <c r="Q801" s="11" t="str">
        <f t="shared" si="12"/>
        <v>平</v>
      </c>
    </row>
    <row r="802" spans="4:17" customFormat="1" hidden="1" x14ac:dyDescent="0.15">
      <c r="D802" t="s">
        <v>6</v>
      </c>
      <c r="E802" s="1">
        <v>396547</v>
      </c>
      <c r="F802" s="1">
        <v>396547</v>
      </c>
      <c r="G802" s="8">
        <v>43002</v>
      </c>
      <c r="H802" s="1" t="s">
        <v>48</v>
      </c>
      <c r="I802" s="1">
        <v>0</v>
      </c>
      <c r="J802" s="1">
        <v>2</v>
      </c>
      <c r="K802" s="1">
        <v>0</v>
      </c>
      <c r="L802" s="1" t="s">
        <v>45</v>
      </c>
      <c r="M802" s="1">
        <v>1</v>
      </c>
      <c r="N802" s="1">
        <v>1</v>
      </c>
      <c r="O802" s="1">
        <v>0</v>
      </c>
      <c r="P802" s="11" t="str">
        <f t="shared" si="12"/>
        <v>负</v>
      </c>
      <c r="Q802" s="11" t="str">
        <f t="shared" si="12"/>
        <v>胜</v>
      </c>
    </row>
    <row r="803" spans="4:17" customFormat="1" hidden="1" x14ac:dyDescent="0.15">
      <c r="D803" t="s">
        <v>6</v>
      </c>
      <c r="E803" s="1">
        <v>396548</v>
      </c>
      <c r="F803" s="1">
        <v>396548</v>
      </c>
      <c r="G803" s="8">
        <v>43003</v>
      </c>
      <c r="H803" s="1" t="s">
        <v>56</v>
      </c>
      <c r="I803" s="1">
        <v>1</v>
      </c>
      <c r="J803" s="1">
        <v>1</v>
      </c>
      <c r="K803" s="1">
        <v>0</v>
      </c>
      <c r="L803" s="1" t="s">
        <v>42</v>
      </c>
      <c r="M803" s="1">
        <v>0</v>
      </c>
      <c r="N803" s="1">
        <v>0</v>
      </c>
      <c r="O803" s="1">
        <v>0</v>
      </c>
      <c r="P803" s="11" t="str">
        <f t="shared" si="12"/>
        <v>胜</v>
      </c>
      <c r="Q803" s="11" t="str">
        <f t="shared" si="12"/>
        <v>胜</v>
      </c>
    </row>
    <row r="804" spans="4:17" customFormat="1" hidden="1" x14ac:dyDescent="0.15">
      <c r="D804" t="s">
        <v>6</v>
      </c>
      <c r="E804" s="1">
        <v>396549</v>
      </c>
      <c r="F804" s="1">
        <v>396549</v>
      </c>
      <c r="G804" s="8">
        <v>43003.000694444447</v>
      </c>
      <c r="H804" s="1" t="s">
        <v>44</v>
      </c>
      <c r="I804" s="1">
        <v>0</v>
      </c>
      <c r="J804" s="1">
        <v>0</v>
      </c>
      <c r="K804" s="1">
        <v>0</v>
      </c>
      <c r="L804" s="1" t="s">
        <v>37</v>
      </c>
      <c r="M804" s="1">
        <v>2</v>
      </c>
      <c r="N804" s="1">
        <v>3</v>
      </c>
      <c r="O804" s="1">
        <v>0</v>
      </c>
      <c r="P804" s="11" t="str">
        <f t="shared" si="12"/>
        <v>负</v>
      </c>
      <c r="Q804" s="11" t="str">
        <f t="shared" si="12"/>
        <v>负</v>
      </c>
    </row>
    <row r="805" spans="4:17" customFormat="1" hidden="1" x14ac:dyDescent="0.15">
      <c r="D805" t="s">
        <v>6</v>
      </c>
      <c r="E805" s="1">
        <v>396550</v>
      </c>
      <c r="F805" s="1">
        <v>396550</v>
      </c>
      <c r="G805" s="8">
        <v>43003</v>
      </c>
      <c r="H805" s="1" t="s">
        <v>40</v>
      </c>
      <c r="I805" s="1">
        <v>1</v>
      </c>
      <c r="J805" s="1">
        <v>2</v>
      </c>
      <c r="K805" s="1">
        <v>0</v>
      </c>
      <c r="L805" s="1" t="s">
        <v>53</v>
      </c>
      <c r="M805" s="1">
        <v>0</v>
      </c>
      <c r="N805" s="1">
        <v>1</v>
      </c>
      <c r="O805" s="1">
        <v>0</v>
      </c>
      <c r="P805" s="11" t="str">
        <f t="shared" si="12"/>
        <v>胜</v>
      </c>
      <c r="Q805" s="11" t="str">
        <f t="shared" si="12"/>
        <v>胜</v>
      </c>
    </row>
    <row r="806" spans="4:17" customFormat="1" hidden="1" x14ac:dyDescent="0.15">
      <c r="D806" t="s">
        <v>6</v>
      </c>
      <c r="E806" s="1">
        <v>396551</v>
      </c>
      <c r="F806" s="1">
        <v>396551</v>
      </c>
      <c r="G806" s="8">
        <v>43003.083333333336</v>
      </c>
      <c r="H806" s="1" t="s">
        <v>49</v>
      </c>
      <c r="I806" s="1">
        <v>1</v>
      </c>
      <c r="J806" s="1">
        <v>2</v>
      </c>
      <c r="K806" s="1">
        <v>0</v>
      </c>
      <c r="L806" s="1" t="s">
        <v>46</v>
      </c>
      <c r="M806" s="1">
        <v>0</v>
      </c>
      <c r="N806" s="1">
        <v>1</v>
      </c>
      <c r="O806" s="1">
        <v>0</v>
      </c>
      <c r="P806" s="11" t="str">
        <f t="shared" si="12"/>
        <v>胜</v>
      </c>
      <c r="Q806" s="11" t="str">
        <f t="shared" si="12"/>
        <v>胜</v>
      </c>
    </row>
    <row r="807" spans="4:17" customFormat="1" hidden="1" x14ac:dyDescent="0.15">
      <c r="D807" t="s">
        <v>6</v>
      </c>
      <c r="E807" s="1">
        <v>396552</v>
      </c>
      <c r="F807" s="1">
        <v>396552</v>
      </c>
      <c r="G807" s="8">
        <v>43002.999305555553</v>
      </c>
      <c r="H807" s="1" t="s">
        <v>38</v>
      </c>
      <c r="I807" s="1">
        <v>1</v>
      </c>
      <c r="J807" s="1">
        <v>3</v>
      </c>
      <c r="K807" s="1">
        <v>0</v>
      </c>
      <c r="L807" s="1" t="s">
        <v>52</v>
      </c>
      <c r="M807" s="1">
        <v>1</v>
      </c>
      <c r="N807" s="1">
        <v>1</v>
      </c>
      <c r="O807" s="1">
        <v>0</v>
      </c>
      <c r="P807" s="11" t="str">
        <f t="shared" si="12"/>
        <v>平</v>
      </c>
      <c r="Q807" s="11" t="str">
        <f t="shared" si="12"/>
        <v>胜</v>
      </c>
    </row>
    <row r="808" spans="4:17" customFormat="1" hidden="1" x14ac:dyDescent="0.15">
      <c r="D808" t="s">
        <v>6</v>
      </c>
      <c r="E808" s="1">
        <v>396553</v>
      </c>
      <c r="F808" s="1">
        <v>396553</v>
      </c>
      <c r="G808" s="8">
        <v>43003</v>
      </c>
      <c r="H808" s="1" t="s">
        <v>43</v>
      </c>
      <c r="I808" s="1">
        <v>0</v>
      </c>
      <c r="J808" s="1">
        <v>0</v>
      </c>
      <c r="K808" s="1">
        <v>0</v>
      </c>
      <c r="L808" s="1" t="s">
        <v>35</v>
      </c>
      <c r="M808" s="1">
        <v>1</v>
      </c>
      <c r="N808" s="1">
        <v>1</v>
      </c>
      <c r="O808" s="1">
        <v>0</v>
      </c>
      <c r="P808" s="11" t="str">
        <f t="shared" si="12"/>
        <v>负</v>
      </c>
      <c r="Q808" s="11" t="str">
        <f t="shared" si="12"/>
        <v>负</v>
      </c>
    </row>
    <row r="809" spans="4:17" customFormat="1" hidden="1" x14ac:dyDescent="0.15">
      <c r="D809" t="s">
        <v>6</v>
      </c>
      <c r="E809" s="1">
        <v>397102</v>
      </c>
      <c r="F809" s="1">
        <v>397102</v>
      </c>
      <c r="G809" s="8">
        <v>43004.041666666664</v>
      </c>
      <c r="H809" s="1" t="s">
        <v>41</v>
      </c>
      <c r="I809" s="1">
        <v>1</v>
      </c>
      <c r="J809" s="1">
        <v>2</v>
      </c>
      <c r="K809" s="1">
        <v>0</v>
      </c>
      <c r="L809" s="1" t="s">
        <v>54</v>
      </c>
      <c r="M809" s="1">
        <v>0</v>
      </c>
      <c r="N809" s="1">
        <v>1</v>
      </c>
      <c r="O809" s="1">
        <v>0</v>
      </c>
      <c r="P809" s="11" t="str">
        <f t="shared" si="12"/>
        <v>胜</v>
      </c>
      <c r="Q809" s="11" t="str">
        <f t="shared" si="12"/>
        <v>胜</v>
      </c>
    </row>
    <row r="810" spans="4:17" customFormat="1" hidden="1" x14ac:dyDescent="0.15">
      <c r="D810" t="s">
        <v>6</v>
      </c>
      <c r="E810" s="1">
        <v>399674</v>
      </c>
      <c r="F810" s="1">
        <v>399674</v>
      </c>
      <c r="G810" s="8">
        <v>43008.041666666664</v>
      </c>
      <c r="H810" s="1" t="s">
        <v>46</v>
      </c>
      <c r="I810" s="1">
        <v>0</v>
      </c>
      <c r="J810" s="1">
        <v>0</v>
      </c>
      <c r="K810" s="1">
        <v>0</v>
      </c>
      <c r="L810" s="1" t="s">
        <v>56</v>
      </c>
      <c r="M810" s="1">
        <v>2</v>
      </c>
      <c r="N810" s="1">
        <v>4</v>
      </c>
      <c r="O810" s="1">
        <v>0</v>
      </c>
      <c r="P810" s="11" t="str">
        <f t="shared" si="12"/>
        <v>负</v>
      </c>
      <c r="Q810" s="11" t="str">
        <f t="shared" si="12"/>
        <v>负</v>
      </c>
    </row>
    <row r="811" spans="4:17" customFormat="1" hidden="1" x14ac:dyDescent="0.15">
      <c r="D811" t="s">
        <v>6</v>
      </c>
      <c r="E811" s="1">
        <v>399675</v>
      </c>
      <c r="F811" s="1">
        <v>399675</v>
      </c>
      <c r="G811" s="8">
        <v>43009</v>
      </c>
      <c r="H811" s="1" t="s">
        <v>42</v>
      </c>
      <c r="I811" s="1">
        <v>0</v>
      </c>
      <c r="J811" s="1">
        <v>4</v>
      </c>
      <c r="K811" s="1">
        <v>0</v>
      </c>
      <c r="L811" s="1" t="s">
        <v>49</v>
      </c>
      <c r="M811" s="1">
        <v>2</v>
      </c>
      <c r="N811" s="1">
        <v>2</v>
      </c>
      <c r="O811" s="1">
        <v>0</v>
      </c>
      <c r="P811" s="11" t="str">
        <f t="shared" si="12"/>
        <v>负</v>
      </c>
      <c r="Q811" s="11" t="str">
        <f t="shared" si="12"/>
        <v>胜</v>
      </c>
    </row>
    <row r="812" spans="4:17" customFormat="1" hidden="1" x14ac:dyDescent="0.15">
      <c r="D812" t="s">
        <v>6</v>
      </c>
      <c r="E812" s="1">
        <v>399676</v>
      </c>
      <c r="F812" s="1">
        <v>399676</v>
      </c>
      <c r="G812" s="8">
        <v>43010.003472222219</v>
      </c>
      <c r="H812" s="1" t="s">
        <v>54</v>
      </c>
      <c r="I812" s="1">
        <v>1</v>
      </c>
      <c r="J812" s="1">
        <v>1</v>
      </c>
      <c r="K812" s="1">
        <v>0</v>
      </c>
      <c r="L812" s="1" t="s">
        <v>48</v>
      </c>
      <c r="M812" s="1">
        <v>0</v>
      </c>
      <c r="N812" s="1">
        <v>0</v>
      </c>
      <c r="O812" s="1">
        <v>0</v>
      </c>
      <c r="P812" s="11" t="str">
        <f t="shared" si="12"/>
        <v>胜</v>
      </c>
      <c r="Q812" s="11" t="str">
        <f t="shared" si="12"/>
        <v>胜</v>
      </c>
    </row>
    <row r="813" spans="4:17" customFormat="1" hidden="1" x14ac:dyDescent="0.15">
      <c r="D813" t="s">
        <v>6</v>
      </c>
      <c r="E813" s="1">
        <v>399714</v>
      </c>
      <c r="F813" s="1">
        <v>399714</v>
      </c>
      <c r="G813" s="8">
        <v>43010.003472222219</v>
      </c>
      <c r="H813" s="1" t="s">
        <v>52</v>
      </c>
      <c r="I813" s="1">
        <v>0</v>
      </c>
      <c r="J813" s="1">
        <v>2</v>
      </c>
      <c r="K813" s="1">
        <v>0</v>
      </c>
      <c r="L813" s="1" t="s">
        <v>43</v>
      </c>
      <c r="M813" s="1">
        <v>0</v>
      </c>
      <c r="N813" s="1">
        <v>0</v>
      </c>
      <c r="O813" s="1">
        <v>0</v>
      </c>
      <c r="P813" s="11" t="str">
        <f t="shared" si="12"/>
        <v>平</v>
      </c>
      <c r="Q813" s="11" t="str">
        <f t="shared" si="12"/>
        <v>胜</v>
      </c>
    </row>
    <row r="814" spans="4:17" customFormat="1" hidden="1" x14ac:dyDescent="0.15">
      <c r="D814" t="s">
        <v>6</v>
      </c>
      <c r="E814" s="1">
        <v>399715</v>
      </c>
      <c r="F814" s="1">
        <v>399715</v>
      </c>
      <c r="G814" s="8">
        <v>43010.003472222219</v>
      </c>
      <c r="H814" s="1" t="s">
        <v>35</v>
      </c>
      <c r="I814" s="1">
        <v>2</v>
      </c>
      <c r="J814" s="1">
        <v>2</v>
      </c>
      <c r="K814" s="1">
        <v>0</v>
      </c>
      <c r="L814" s="1" t="s">
        <v>38</v>
      </c>
      <c r="M814" s="1">
        <v>2</v>
      </c>
      <c r="N814" s="1">
        <v>2</v>
      </c>
      <c r="O814" s="1">
        <v>0</v>
      </c>
      <c r="P814" s="11" t="str">
        <f t="shared" si="12"/>
        <v>平</v>
      </c>
      <c r="Q814" s="11" t="str">
        <f t="shared" si="12"/>
        <v>平</v>
      </c>
    </row>
    <row r="815" spans="4:17" customFormat="1" hidden="1" x14ac:dyDescent="0.15">
      <c r="D815" t="s">
        <v>6</v>
      </c>
      <c r="E815" s="1">
        <v>399716</v>
      </c>
      <c r="F815" s="1">
        <v>399716</v>
      </c>
      <c r="G815" s="8">
        <v>43010.003472222219</v>
      </c>
      <c r="H815" s="1" t="s">
        <v>53</v>
      </c>
      <c r="I815" s="1">
        <v>2</v>
      </c>
      <c r="J815" s="1">
        <v>2</v>
      </c>
      <c r="K815" s="1">
        <v>0</v>
      </c>
      <c r="L815" s="1" t="s">
        <v>44</v>
      </c>
      <c r="M815" s="1">
        <v>0</v>
      </c>
      <c r="N815" s="1">
        <v>1</v>
      </c>
      <c r="O815" s="1">
        <v>0</v>
      </c>
      <c r="P815" s="11" t="str">
        <f t="shared" si="12"/>
        <v>胜</v>
      </c>
      <c r="Q815" s="11" t="str">
        <f t="shared" si="12"/>
        <v>胜</v>
      </c>
    </row>
    <row r="816" spans="4:17" customFormat="1" hidden="1" x14ac:dyDescent="0.15">
      <c r="D816" t="s">
        <v>6</v>
      </c>
      <c r="E816" s="1">
        <v>399717</v>
      </c>
      <c r="F816" s="1">
        <v>399717</v>
      </c>
      <c r="G816" s="8">
        <v>43010.003472222219</v>
      </c>
      <c r="H816" s="1" t="s">
        <v>45</v>
      </c>
      <c r="I816" s="1">
        <v>0</v>
      </c>
      <c r="J816" s="1">
        <v>0</v>
      </c>
      <c r="K816" s="1">
        <v>0</v>
      </c>
      <c r="L816" s="1" t="s">
        <v>40</v>
      </c>
      <c r="M816" s="1">
        <v>1</v>
      </c>
      <c r="N816" s="1">
        <v>1</v>
      </c>
      <c r="O816" s="1">
        <v>0</v>
      </c>
      <c r="P816" s="11" t="str">
        <f t="shared" si="12"/>
        <v>负</v>
      </c>
      <c r="Q816" s="11" t="str">
        <f t="shared" si="12"/>
        <v>负</v>
      </c>
    </row>
    <row r="817" spans="4:17" customFormat="1" hidden="1" x14ac:dyDescent="0.15">
      <c r="D817" t="s">
        <v>6</v>
      </c>
      <c r="E817" s="1">
        <v>399718</v>
      </c>
      <c r="F817" s="1">
        <v>399718</v>
      </c>
      <c r="G817" s="8">
        <v>43010.083333333336</v>
      </c>
      <c r="H817" s="1" t="s">
        <v>37</v>
      </c>
      <c r="I817" s="1">
        <v>0</v>
      </c>
      <c r="J817" s="1">
        <v>1</v>
      </c>
      <c r="K817" s="1">
        <v>0</v>
      </c>
      <c r="L817" s="1" t="s">
        <v>41</v>
      </c>
      <c r="M817" s="1">
        <v>0</v>
      </c>
      <c r="N817" s="1">
        <v>1</v>
      </c>
      <c r="O817" s="1">
        <v>0</v>
      </c>
      <c r="P817" s="11" t="str">
        <f t="shared" si="12"/>
        <v>平</v>
      </c>
      <c r="Q817" s="11" t="str">
        <f t="shared" si="12"/>
        <v>平</v>
      </c>
    </row>
    <row r="818" spans="4:17" customFormat="1" hidden="1" x14ac:dyDescent="0.15">
      <c r="D818" t="s">
        <v>6</v>
      </c>
      <c r="E818" s="1">
        <v>402021</v>
      </c>
      <c r="F818" s="1">
        <v>402021</v>
      </c>
      <c r="G818" s="8">
        <v>43022.899305555555</v>
      </c>
      <c r="H818" s="1" t="s">
        <v>53</v>
      </c>
      <c r="I818" s="1">
        <v>0</v>
      </c>
      <c r="J818" s="1">
        <v>0</v>
      </c>
      <c r="K818" s="1">
        <v>0</v>
      </c>
      <c r="L818" s="1" t="s">
        <v>37</v>
      </c>
      <c r="M818" s="1">
        <v>1</v>
      </c>
      <c r="N818" s="1">
        <v>3</v>
      </c>
      <c r="O818" s="1">
        <v>0</v>
      </c>
      <c r="P818" s="11" t="str">
        <f t="shared" si="12"/>
        <v>负</v>
      </c>
      <c r="Q818" s="11" t="str">
        <f t="shared" si="12"/>
        <v>负</v>
      </c>
    </row>
    <row r="819" spans="4:17" customFormat="1" hidden="1" x14ac:dyDescent="0.15">
      <c r="D819" t="s">
        <v>6</v>
      </c>
      <c r="E819" s="1">
        <v>402022</v>
      </c>
      <c r="F819" s="1">
        <v>402022</v>
      </c>
      <c r="G819" s="8">
        <v>43023</v>
      </c>
      <c r="H819" s="1" t="s">
        <v>40</v>
      </c>
      <c r="I819" s="1">
        <v>0</v>
      </c>
      <c r="J819" s="1">
        <v>1</v>
      </c>
      <c r="K819" s="1">
        <v>0</v>
      </c>
      <c r="L819" s="1" t="s">
        <v>54</v>
      </c>
      <c r="M819" s="1">
        <v>0</v>
      </c>
      <c r="N819" s="1">
        <v>0</v>
      </c>
      <c r="O819" s="1">
        <v>0</v>
      </c>
      <c r="P819" s="11" t="str">
        <f t="shared" si="12"/>
        <v>平</v>
      </c>
      <c r="Q819" s="11" t="str">
        <f t="shared" si="12"/>
        <v>胜</v>
      </c>
    </row>
    <row r="820" spans="4:17" customFormat="1" hidden="1" x14ac:dyDescent="0.15">
      <c r="D820" t="s">
        <v>6</v>
      </c>
      <c r="E820" s="1">
        <v>402023</v>
      </c>
      <c r="F820" s="1">
        <v>402023</v>
      </c>
      <c r="G820" s="8">
        <v>43024.003472222219</v>
      </c>
      <c r="H820" s="1" t="s">
        <v>48</v>
      </c>
      <c r="I820" s="1">
        <v>1</v>
      </c>
      <c r="J820" s="1">
        <v>2</v>
      </c>
      <c r="K820" s="1">
        <v>0</v>
      </c>
      <c r="L820" s="1" t="s">
        <v>52</v>
      </c>
      <c r="M820" s="1">
        <v>0</v>
      </c>
      <c r="N820" s="1">
        <v>0</v>
      </c>
      <c r="O820" s="1">
        <v>0</v>
      </c>
      <c r="P820" s="11" t="str">
        <f t="shared" si="12"/>
        <v>胜</v>
      </c>
      <c r="Q820" s="11" t="str">
        <f t="shared" si="12"/>
        <v>胜</v>
      </c>
    </row>
    <row r="821" spans="4:17" customFormat="1" hidden="1" x14ac:dyDescent="0.15">
      <c r="D821" t="s">
        <v>6</v>
      </c>
      <c r="E821" s="1">
        <v>402024</v>
      </c>
      <c r="F821" s="1">
        <v>402024</v>
      </c>
      <c r="G821" s="8">
        <v>43024.003472222219</v>
      </c>
      <c r="H821" s="1" t="s">
        <v>56</v>
      </c>
      <c r="I821" s="1">
        <v>0</v>
      </c>
      <c r="J821" s="1">
        <v>0</v>
      </c>
      <c r="K821" s="1">
        <v>0</v>
      </c>
      <c r="L821" s="1" t="s">
        <v>45</v>
      </c>
      <c r="M821" s="1">
        <v>1</v>
      </c>
      <c r="N821" s="1">
        <v>2</v>
      </c>
      <c r="O821" s="1">
        <v>0</v>
      </c>
      <c r="P821" s="11" t="str">
        <f t="shared" si="12"/>
        <v>负</v>
      </c>
      <c r="Q821" s="11" t="str">
        <f t="shared" si="12"/>
        <v>负</v>
      </c>
    </row>
    <row r="822" spans="4:17" customFormat="1" hidden="1" x14ac:dyDescent="0.15">
      <c r="D822" t="s">
        <v>6</v>
      </c>
      <c r="E822" s="1">
        <v>402025</v>
      </c>
      <c r="F822" s="1">
        <v>402025</v>
      </c>
      <c r="G822" s="8">
        <v>43024.003472222219</v>
      </c>
      <c r="H822" s="1" t="s">
        <v>44</v>
      </c>
      <c r="I822" s="1">
        <v>0</v>
      </c>
      <c r="J822" s="1">
        <v>1</v>
      </c>
      <c r="K822" s="1">
        <v>0</v>
      </c>
      <c r="L822" s="1" t="s">
        <v>35</v>
      </c>
      <c r="M822" s="1">
        <v>0</v>
      </c>
      <c r="N822" s="1">
        <v>0</v>
      </c>
      <c r="O822" s="1">
        <v>0</v>
      </c>
      <c r="P822" s="11" t="str">
        <f t="shared" si="12"/>
        <v>平</v>
      </c>
      <c r="Q822" s="11" t="str">
        <f t="shared" si="12"/>
        <v>胜</v>
      </c>
    </row>
    <row r="823" spans="4:17" customFormat="1" hidden="1" x14ac:dyDescent="0.15">
      <c r="D823" t="s">
        <v>6</v>
      </c>
      <c r="E823" s="1">
        <v>402026</v>
      </c>
      <c r="F823" s="1">
        <v>402026</v>
      </c>
      <c r="G823" s="8">
        <v>43024.003472222219</v>
      </c>
      <c r="H823" s="1" t="s">
        <v>49</v>
      </c>
      <c r="I823" s="1">
        <v>3</v>
      </c>
      <c r="J823" s="1">
        <v>5</v>
      </c>
      <c r="K823" s="1">
        <v>0</v>
      </c>
      <c r="L823" s="1" t="s">
        <v>43</v>
      </c>
      <c r="M823" s="1">
        <v>1</v>
      </c>
      <c r="N823" s="1">
        <v>1</v>
      </c>
      <c r="O823" s="1">
        <v>0</v>
      </c>
      <c r="P823" s="11" t="str">
        <f t="shared" si="12"/>
        <v>胜</v>
      </c>
      <c r="Q823" s="11" t="str">
        <f t="shared" si="12"/>
        <v>胜</v>
      </c>
    </row>
    <row r="824" spans="4:17" customFormat="1" hidden="1" x14ac:dyDescent="0.15">
      <c r="D824" t="s">
        <v>6</v>
      </c>
      <c r="E824" s="1">
        <v>402027</v>
      </c>
      <c r="F824" s="1">
        <v>402027</v>
      </c>
      <c r="G824" s="8">
        <v>43024.083333333336</v>
      </c>
      <c r="H824" s="1" t="s">
        <v>38</v>
      </c>
      <c r="I824" s="1">
        <v>0</v>
      </c>
      <c r="J824" s="1">
        <v>1</v>
      </c>
      <c r="K824" s="1">
        <v>0</v>
      </c>
      <c r="L824" s="1" t="s">
        <v>46</v>
      </c>
      <c r="M824" s="1">
        <v>0</v>
      </c>
      <c r="N824" s="1">
        <v>0</v>
      </c>
      <c r="O824" s="1">
        <v>0</v>
      </c>
      <c r="P824" s="11" t="str">
        <f t="shared" si="12"/>
        <v>平</v>
      </c>
      <c r="Q824" s="11" t="str">
        <f t="shared" si="12"/>
        <v>胜</v>
      </c>
    </row>
    <row r="825" spans="4:17" customFormat="1" hidden="1" x14ac:dyDescent="0.15">
      <c r="D825" t="s">
        <v>6</v>
      </c>
      <c r="E825" s="1">
        <v>402028</v>
      </c>
      <c r="F825" s="1">
        <v>402028</v>
      </c>
      <c r="G825" s="8">
        <v>43025.041666666664</v>
      </c>
      <c r="H825" s="1" t="s">
        <v>41</v>
      </c>
      <c r="I825" s="1">
        <v>2</v>
      </c>
      <c r="J825" s="1">
        <v>2</v>
      </c>
      <c r="K825" s="1">
        <v>0</v>
      </c>
      <c r="L825" s="1" t="s">
        <v>42</v>
      </c>
      <c r="M825" s="1">
        <v>1</v>
      </c>
      <c r="N825" s="1">
        <v>2</v>
      </c>
      <c r="O825" s="1">
        <v>0</v>
      </c>
      <c r="P825" s="11" t="str">
        <f t="shared" si="12"/>
        <v>胜</v>
      </c>
      <c r="Q825" s="11" t="str">
        <f t="shared" si="12"/>
        <v>平</v>
      </c>
    </row>
    <row r="826" spans="4:17" customFormat="1" hidden="1" x14ac:dyDescent="0.15">
      <c r="D826" t="s">
        <v>6</v>
      </c>
      <c r="E826" s="1">
        <v>402107</v>
      </c>
      <c r="F826" s="1">
        <v>402107</v>
      </c>
      <c r="G826" s="8">
        <v>43021.041666666664</v>
      </c>
      <c r="H826" s="1" t="s">
        <v>49</v>
      </c>
      <c r="I826" s="1">
        <v>2</v>
      </c>
      <c r="J826" s="1">
        <v>3</v>
      </c>
      <c r="K826" s="1">
        <v>0</v>
      </c>
      <c r="L826" s="1" t="s">
        <v>48</v>
      </c>
      <c r="M826" s="1">
        <v>0</v>
      </c>
      <c r="N826" s="1">
        <v>0</v>
      </c>
      <c r="O826" s="1">
        <v>0</v>
      </c>
      <c r="P826" s="11" t="str">
        <f t="shared" si="12"/>
        <v>胜</v>
      </c>
      <c r="Q826" s="11" t="str">
        <f t="shared" si="12"/>
        <v>胜</v>
      </c>
    </row>
    <row r="827" spans="4:17" customFormat="1" hidden="1" x14ac:dyDescent="0.15">
      <c r="D827" t="s">
        <v>6</v>
      </c>
      <c r="E827" s="1">
        <v>407549</v>
      </c>
      <c r="F827" s="1">
        <v>407549</v>
      </c>
      <c r="G827" s="8">
        <v>43030</v>
      </c>
      <c r="H827" s="1" t="s">
        <v>43</v>
      </c>
      <c r="I827" s="1">
        <v>0</v>
      </c>
      <c r="J827" s="1">
        <v>1</v>
      </c>
      <c r="K827" s="1">
        <v>0</v>
      </c>
      <c r="L827" s="1" t="s">
        <v>56</v>
      </c>
      <c r="M827" s="1">
        <v>0</v>
      </c>
      <c r="N827" s="1">
        <v>1</v>
      </c>
      <c r="O827" s="1">
        <v>0</v>
      </c>
      <c r="P827" s="11" t="str">
        <f t="shared" si="12"/>
        <v>平</v>
      </c>
      <c r="Q827" s="11" t="str">
        <f t="shared" si="12"/>
        <v>平</v>
      </c>
    </row>
    <row r="828" spans="4:17" customFormat="1" hidden="1" x14ac:dyDescent="0.15">
      <c r="D828" t="s">
        <v>6</v>
      </c>
      <c r="E828" s="1">
        <v>407550</v>
      </c>
      <c r="F828" s="1">
        <v>407550</v>
      </c>
      <c r="G828" s="8">
        <v>43031</v>
      </c>
      <c r="H828" s="1" t="s">
        <v>38</v>
      </c>
      <c r="I828" s="1">
        <v>1</v>
      </c>
      <c r="J828" s="1">
        <v>1</v>
      </c>
      <c r="K828" s="1">
        <v>0</v>
      </c>
      <c r="L828" s="1" t="s">
        <v>48</v>
      </c>
      <c r="M828" s="1">
        <v>0</v>
      </c>
      <c r="N828" s="1">
        <v>0</v>
      </c>
      <c r="O828" s="1">
        <v>0</v>
      </c>
      <c r="P828" s="11" t="str">
        <f t="shared" si="12"/>
        <v>胜</v>
      </c>
      <c r="Q828" s="11" t="str">
        <f t="shared" si="12"/>
        <v>胜</v>
      </c>
    </row>
    <row r="829" spans="4:17" customFormat="1" hidden="1" x14ac:dyDescent="0.15">
      <c r="D829" t="s">
        <v>6</v>
      </c>
      <c r="E829" s="1">
        <v>407551</v>
      </c>
      <c r="F829" s="1">
        <v>407551</v>
      </c>
      <c r="G829" s="8">
        <v>43031</v>
      </c>
      <c r="H829" s="1" t="s">
        <v>52</v>
      </c>
      <c r="I829" s="1">
        <v>0</v>
      </c>
      <c r="J829" s="1">
        <v>1</v>
      </c>
      <c r="K829" s="1">
        <v>0</v>
      </c>
      <c r="L829" s="1" t="s">
        <v>40</v>
      </c>
      <c r="M829" s="1">
        <v>1</v>
      </c>
      <c r="N829" s="1">
        <v>2</v>
      </c>
      <c r="O829" s="1">
        <v>0</v>
      </c>
      <c r="P829" s="11" t="str">
        <f t="shared" si="12"/>
        <v>负</v>
      </c>
      <c r="Q829" s="11" t="str">
        <f t="shared" si="12"/>
        <v>负</v>
      </c>
    </row>
    <row r="830" spans="4:17" customFormat="1" hidden="1" x14ac:dyDescent="0.15">
      <c r="D830" t="s">
        <v>6</v>
      </c>
      <c r="E830" s="1">
        <v>407552</v>
      </c>
      <c r="F830" s="1">
        <v>407552</v>
      </c>
      <c r="G830" s="8">
        <v>43031</v>
      </c>
      <c r="H830" s="1" t="s">
        <v>35</v>
      </c>
      <c r="I830" s="1">
        <v>3</v>
      </c>
      <c r="J830" s="1">
        <v>3</v>
      </c>
      <c r="K830" s="1">
        <v>0</v>
      </c>
      <c r="L830" s="1" t="s">
        <v>41</v>
      </c>
      <c r="M830" s="1">
        <v>1</v>
      </c>
      <c r="N830" s="1">
        <v>3</v>
      </c>
      <c r="O830" s="1">
        <v>0</v>
      </c>
      <c r="P830" s="11" t="str">
        <f t="shared" si="12"/>
        <v>胜</v>
      </c>
      <c r="Q830" s="11" t="str">
        <f t="shared" si="12"/>
        <v>平</v>
      </c>
    </row>
    <row r="831" spans="4:17" customFormat="1" hidden="1" x14ac:dyDescent="0.15">
      <c r="D831" t="s">
        <v>6</v>
      </c>
      <c r="E831" s="1">
        <v>407553</v>
      </c>
      <c r="F831" s="1">
        <v>407553</v>
      </c>
      <c r="G831" s="8">
        <v>43031.000694444447</v>
      </c>
      <c r="H831" s="1" t="s">
        <v>45</v>
      </c>
      <c r="I831" s="1">
        <v>0</v>
      </c>
      <c r="J831" s="1">
        <v>1</v>
      </c>
      <c r="K831" s="1">
        <v>0</v>
      </c>
      <c r="L831" s="1" t="s">
        <v>49</v>
      </c>
      <c r="M831" s="1">
        <v>4</v>
      </c>
      <c r="N831" s="1">
        <v>7</v>
      </c>
      <c r="O831" s="1">
        <v>0</v>
      </c>
      <c r="P831" s="11" t="str">
        <f t="shared" si="12"/>
        <v>负</v>
      </c>
      <c r="Q831" s="11" t="str">
        <f t="shared" si="12"/>
        <v>负</v>
      </c>
    </row>
    <row r="832" spans="4:17" customFormat="1" hidden="1" x14ac:dyDescent="0.15">
      <c r="D832" t="s">
        <v>6</v>
      </c>
      <c r="E832" s="1">
        <v>407554</v>
      </c>
      <c r="F832" s="1">
        <v>407554</v>
      </c>
      <c r="G832" s="8">
        <v>43031.083333333336</v>
      </c>
      <c r="H832" s="1" t="s">
        <v>46</v>
      </c>
      <c r="I832" s="1">
        <v>0</v>
      </c>
      <c r="J832" s="1">
        <v>0</v>
      </c>
      <c r="K832" s="1">
        <v>0</v>
      </c>
      <c r="L832" s="1" t="s">
        <v>37</v>
      </c>
      <c r="M832" s="1">
        <v>0</v>
      </c>
      <c r="N832" s="1">
        <v>3</v>
      </c>
      <c r="O832" s="1">
        <v>0</v>
      </c>
      <c r="P832" s="11" t="str">
        <f t="shared" si="12"/>
        <v>平</v>
      </c>
      <c r="Q832" s="11" t="str">
        <f t="shared" si="12"/>
        <v>负</v>
      </c>
    </row>
    <row r="833" spans="4:17" customFormat="1" hidden="1" x14ac:dyDescent="0.15">
      <c r="D833" t="s">
        <v>6</v>
      </c>
      <c r="E833" s="1">
        <v>407555</v>
      </c>
      <c r="F833" s="1">
        <v>407555</v>
      </c>
      <c r="G833" s="8">
        <v>43032.041666666664</v>
      </c>
      <c r="H833" s="1" t="s">
        <v>54</v>
      </c>
      <c r="I833" s="1">
        <v>1</v>
      </c>
      <c r="J833" s="1">
        <v>1</v>
      </c>
      <c r="K833" s="1">
        <v>0</v>
      </c>
      <c r="L833" s="1" t="s">
        <v>44</v>
      </c>
      <c r="M833" s="1">
        <v>0</v>
      </c>
      <c r="N833" s="1">
        <v>0</v>
      </c>
      <c r="O833" s="1">
        <v>0</v>
      </c>
      <c r="P833" s="11" t="str">
        <f t="shared" si="12"/>
        <v>胜</v>
      </c>
      <c r="Q833" s="11" t="str">
        <f t="shared" si="12"/>
        <v>胜</v>
      </c>
    </row>
    <row r="834" spans="4:17" customFormat="1" hidden="1" x14ac:dyDescent="0.15">
      <c r="D834" t="s">
        <v>6</v>
      </c>
      <c r="E834" s="1">
        <v>407790</v>
      </c>
      <c r="F834" s="1">
        <v>407790</v>
      </c>
      <c r="G834" s="8">
        <v>43031</v>
      </c>
      <c r="H834" s="1" t="s">
        <v>42</v>
      </c>
      <c r="I834" s="1">
        <v>0</v>
      </c>
      <c r="J834" s="1">
        <v>1</v>
      </c>
      <c r="K834" s="1">
        <v>0</v>
      </c>
      <c r="L834" s="1" t="s">
        <v>53</v>
      </c>
      <c r="M834" s="1">
        <v>2</v>
      </c>
      <c r="N834" s="1">
        <v>2</v>
      </c>
      <c r="O834" s="1">
        <v>0</v>
      </c>
      <c r="P834" s="11" t="str">
        <f t="shared" si="12"/>
        <v>负</v>
      </c>
      <c r="Q834" s="11" t="str">
        <f t="shared" si="12"/>
        <v>负</v>
      </c>
    </row>
    <row r="835" spans="4:17" customFormat="1" hidden="1" x14ac:dyDescent="0.15">
      <c r="D835" t="s">
        <v>6</v>
      </c>
      <c r="E835" s="1">
        <v>410611</v>
      </c>
      <c r="F835" s="1">
        <v>410611</v>
      </c>
      <c r="G835" s="8">
        <v>43037</v>
      </c>
      <c r="H835" s="1" t="s">
        <v>48</v>
      </c>
      <c r="I835" s="1">
        <v>2</v>
      </c>
      <c r="J835" s="1">
        <v>2</v>
      </c>
      <c r="K835" s="1">
        <v>0</v>
      </c>
      <c r="L835" s="1" t="s">
        <v>46</v>
      </c>
      <c r="M835" s="1">
        <v>1</v>
      </c>
      <c r="N835" s="1">
        <v>3</v>
      </c>
      <c r="O835" s="1">
        <v>0</v>
      </c>
      <c r="P835" s="11" t="str">
        <f t="shared" si="12"/>
        <v>胜</v>
      </c>
      <c r="Q835" s="11" t="str">
        <f t="shared" si="12"/>
        <v>负</v>
      </c>
    </row>
    <row r="836" spans="4:17" customFormat="1" hidden="1" x14ac:dyDescent="0.15">
      <c r="D836" t="s">
        <v>6</v>
      </c>
      <c r="E836" s="1">
        <v>410612</v>
      </c>
      <c r="F836" s="1">
        <v>410612</v>
      </c>
      <c r="G836" s="8">
        <v>43038.041666666664</v>
      </c>
      <c r="H836" s="1" t="s">
        <v>56</v>
      </c>
      <c r="I836" s="1">
        <v>1</v>
      </c>
      <c r="J836" s="1">
        <v>2</v>
      </c>
      <c r="K836" s="1">
        <v>0</v>
      </c>
      <c r="L836" s="1" t="s">
        <v>54</v>
      </c>
      <c r="M836" s="1">
        <v>1</v>
      </c>
      <c r="N836" s="1">
        <v>2</v>
      </c>
      <c r="O836" s="1">
        <v>0</v>
      </c>
      <c r="P836" s="11" t="str">
        <f t="shared" si="12"/>
        <v>平</v>
      </c>
      <c r="Q836" s="11" t="str">
        <f t="shared" si="12"/>
        <v>平</v>
      </c>
    </row>
    <row r="837" spans="4:17" customFormat="1" hidden="1" x14ac:dyDescent="0.15">
      <c r="D837" t="s">
        <v>6</v>
      </c>
      <c r="E837" s="1">
        <v>410613</v>
      </c>
      <c r="F837" s="1">
        <v>410613</v>
      </c>
      <c r="G837" s="8">
        <v>43038.041666666664</v>
      </c>
      <c r="H837" s="1" t="s">
        <v>37</v>
      </c>
      <c r="I837" s="1">
        <v>0</v>
      </c>
      <c r="J837" s="1">
        <v>0</v>
      </c>
      <c r="K837" s="1">
        <v>0</v>
      </c>
      <c r="L837" s="1" t="s">
        <v>42</v>
      </c>
      <c r="M837" s="1">
        <v>0</v>
      </c>
      <c r="N837" s="1">
        <v>0</v>
      </c>
      <c r="O837" s="1">
        <v>0</v>
      </c>
      <c r="P837" s="11" t="str">
        <f t="shared" si="12"/>
        <v>平</v>
      </c>
      <c r="Q837" s="11" t="str">
        <f t="shared" si="12"/>
        <v>平</v>
      </c>
    </row>
    <row r="838" spans="4:17" customFormat="1" hidden="1" x14ac:dyDescent="0.15">
      <c r="D838" t="s">
        <v>6</v>
      </c>
      <c r="E838" s="1">
        <v>410614</v>
      </c>
      <c r="F838" s="1">
        <v>410614</v>
      </c>
      <c r="G838" s="8">
        <v>43038.041666666664</v>
      </c>
      <c r="H838" s="1" t="s">
        <v>41</v>
      </c>
      <c r="I838" s="1">
        <v>3</v>
      </c>
      <c r="J838" s="1">
        <v>5</v>
      </c>
      <c r="K838" s="1">
        <v>0</v>
      </c>
      <c r="L838" s="1" t="s">
        <v>52</v>
      </c>
      <c r="M838" s="1">
        <v>0</v>
      </c>
      <c r="N838" s="1">
        <v>0</v>
      </c>
      <c r="O838" s="1">
        <v>0</v>
      </c>
      <c r="P838" s="11" t="str">
        <f t="shared" si="12"/>
        <v>胜</v>
      </c>
      <c r="Q838" s="11" t="str">
        <f t="shared" si="12"/>
        <v>胜</v>
      </c>
    </row>
    <row r="839" spans="4:17" customFormat="1" hidden="1" x14ac:dyDescent="0.15">
      <c r="D839" t="s">
        <v>6</v>
      </c>
      <c r="E839" s="1">
        <v>410615</v>
      </c>
      <c r="F839" s="1">
        <v>410615</v>
      </c>
      <c r="G839" s="8">
        <v>43038.041666666664</v>
      </c>
      <c r="H839" s="1" t="s">
        <v>40</v>
      </c>
      <c r="I839" s="1">
        <v>1</v>
      </c>
      <c r="J839" s="1">
        <v>4</v>
      </c>
      <c r="K839" s="1">
        <v>0</v>
      </c>
      <c r="L839" s="1" t="s">
        <v>35</v>
      </c>
      <c r="M839" s="1">
        <v>1</v>
      </c>
      <c r="N839" s="1">
        <v>1</v>
      </c>
      <c r="O839" s="1">
        <v>0</v>
      </c>
      <c r="P839" s="11" t="str">
        <f t="shared" si="12"/>
        <v>平</v>
      </c>
      <c r="Q839" s="11" t="str">
        <f t="shared" si="12"/>
        <v>胜</v>
      </c>
    </row>
    <row r="840" spans="4:17" customFormat="1" hidden="1" x14ac:dyDescent="0.15">
      <c r="D840" t="s">
        <v>6</v>
      </c>
      <c r="E840" s="1">
        <v>410616</v>
      </c>
      <c r="F840" s="1">
        <v>410616</v>
      </c>
      <c r="G840" s="8">
        <v>43038.042361111111</v>
      </c>
      <c r="H840" s="1" t="s">
        <v>53</v>
      </c>
      <c r="I840" s="1">
        <v>2</v>
      </c>
      <c r="J840" s="1">
        <v>3</v>
      </c>
      <c r="K840" s="1">
        <v>0</v>
      </c>
      <c r="L840" s="1" t="s">
        <v>45</v>
      </c>
      <c r="M840" s="1">
        <v>0</v>
      </c>
      <c r="N840" s="1">
        <v>0</v>
      </c>
      <c r="O840" s="1">
        <v>0</v>
      </c>
      <c r="P840" s="11" t="str">
        <f t="shared" si="12"/>
        <v>胜</v>
      </c>
      <c r="Q840" s="11" t="str">
        <f t="shared" si="12"/>
        <v>胜</v>
      </c>
    </row>
    <row r="841" spans="4:17" customFormat="1" hidden="1" x14ac:dyDescent="0.15">
      <c r="D841" t="s">
        <v>6</v>
      </c>
      <c r="E841" s="1">
        <v>410617</v>
      </c>
      <c r="F841" s="1">
        <v>410617</v>
      </c>
      <c r="G841" s="8">
        <v>43038.125</v>
      </c>
      <c r="H841" s="1" t="s">
        <v>49</v>
      </c>
      <c r="I841" s="1">
        <v>1</v>
      </c>
      <c r="J841" s="1">
        <v>1</v>
      </c>
      <c r="K841" s="1">
        <v>0</v>
      </c>
      <c r="L841" s="1" t="s">
        <v>38</v>
      </c>
      <c r="M841" s="1">
        <v>1</v>
      </c>
      <c r="N841" s="1">
        <v>2</v>
      </c>
      <c r="O841" s="1">
        <v>0</v>
      </c>
      <c r="P841" s="11" t="str">
        <f t="shared" si="12"/>
        <v>平</v>
      </c>
      <c r="Q841" s="11" t="str">
        <f t="shared" si="12"/>
        <v>负</v>
      </c>
    </row>
    <row r="842" spans="4:17" customFormat="1" hidden="1" x14ac:dyDescent="0.15">
      <c r="D842" t="s">
        <v>6</v>
      </c>
      <c r="E842" s="1">
        <v>410618</v>
      </c>
      <c r="F842" s="1">
        <v>410618</v>
      </c>
      <c r="G842" s="8">
        <v>43039.084027777775</v>
      </c>
      <c r="H842" s="1" t="s">
        <v>44</v>
      </c>
      <c r="I842" s="1">
        <v>1</v>
      </c>
      <c r="J842" s="1">
        <v>4</v>
      </c>
      <c r="K842" s="1">
        <v>0</v>
      </c>
      <c r="L842" s="1" t="s">
        <v>43</v>
      </c>
      <c r="M842" s="1">
        <v>0</v>
      </c>
      <c r="N842" s="1">
        <v>0</v>
      </c>
      <c r="O842" s="1">
        <v>0</v>
      </c>
      <c r="P842" s="11" t="str">
        <f t="shared" si="12"/>
        <v>胜</v>
      </c>
      <c r="Q842" s="11" t="str">
        <f t="shared" si="12"/>
        <v>胜</v>
      </c>
    </row>
    <row r="843" spans="4:17" customFormat="1" hidden="1" x14ac:dyDescent="0.15">
      <c r="D843" t="s">
        <v>6</v>
      </c>
      <c r="E843" s="1">
        <v>413617</v>
      </c>
      <c r="F843" s="1">
        <v>413617</v>
      </c>
      <c r="G843" s="8">
        <v>43043.083333333336</v>
      </c>
      <c r="H843" s="1" t="s">
        <v>52</v>
      </c>
      <c r="I843" s="1">
        <v>1</v>
      </c>
      <c r="J843" s="1">
        <v>2</v>
      </c>
      <c r="K843" s="1">
        <v>0</v>
      </c>
      <c r="L843" s="1" t="s">
        <v>49</v>
      </c>
      <c r="M843" s="1">
        <v>0</v>
      </c>
      <c r="N843" s="1">
        <v>0</v>
      </c>
      <c r="O843" s="1">
        <v>0</v>
      </c>
      <c r="P843" s="11" t="str">
        <f t="shared" si="12"/>
        <v>胜</v>
      </c>
      <c r="Q843" s="11" t="str">
        <f t="shared" si="12"/>
        <v>胜</v>
      </c>
    </row>
    <row r="844" spans="4:17" customFormat="1" hidden="1" x14ac:dyDescent="0.15">
      <c r="D844" t="s">
        <v>6</v>
      </c>
      <c r="E844" s="1">
        <v>413618</v>
      </c>
      <c r="F844" s="1">
        <v>413618</v>
      </c>
      <c r="G844" s="8">
        <v>43044.045138888891</v>
      </c>
      <c r="H844" s="1" t="s">
        <v>38</v>
      </c>
      <c r="I844" s="1">
        <v>0</v>
      </c>
      <c r="J844" s="1">
        <v>0</v>
      </c>
      <c r="K844" s="1">
        <v>0</v>
      </c>
      <c r="L844" s="1" t="s">
        <v>56</v>
      </c>
      <c r="M844" s="1">
        <v>0</v>
      </c>
      <c r="N844" s="1">
        <v>1</v>
      </c>
      <c r="O844" s="1">
        <v>0</v>
      </c>
      <c r="P844" s="11" t="str">
        <f t="shared" si="12"/>
        <v>平</v>
      </c>
      <c r="Q844" s="11" t="str">
        <f t="shared" si="12"/>
        <v>负</v>
      </c>
    </row>
    <row r="845" spans="4:17" customFormat="1" hidden="1" x14ac:dyDescent="0.15">
      <c r="D845" t="s">
        <v>6</v>
      </c>
      <c r="E845" s="1">
        <v>413619</v>
      </c>
      <c r="F845" s="1">
        <v>413619</v>
      </c>
      <c r="G845" s="8">
        <v>43045.040972222225</v>
      </c>
      <c r="H845" s="1" t="s">
        <v>48</v>
      </c>
      <c r="I845" s="1">
        <v>1</v>
      </c>
      <c r="J845" s="1">
        <v>1</v>
      </c>
      <c r="K845" s="1">
        <v>0</v>
      </c>
      <c r="L845" s="1" t="s">
        <v>40</v>
      </c>
      <c r="M845" s="1">
        <v>1</v>
      </c>
      <c r="N845" s="1">
        <v>3</v>
      </c>
      <c r="O845" s="1">
        <v>0</v>
      </c>
      <c r="P845" s="11" t="str">
        <f t="shared" ref="P845:Q908" si="13">IF(I845=M845,"平",IF(I845&gt;M845,"胜","负"))</f>
        <v>平</v>
      </c>
      <c r="Q845" s="11" t="str">
        <f t="shared" si="13"/>
        <v>负</v>
      </c>
    </row>
    <row r="846" spans="4:17" customFormat="1" hidden="1" x14ac:dyDescent="0.15">
      <c r="D846" t="s">
        <v>6</v>
      </c>
      <c r="E846" s="1">
        <v>413620</v>
      </c>
      <c r="F846" s="1">
        <v>413620</v>
      </c>
      <c r="G846" s="8">
        <v>43045.041666666664</v>
      </c>
      <c r="H846" s="1" t="s">
        <v>54</v>
      </c>
      <c r="I846" s="1">
        <v>0</v>
      </c>
      <c r="J846" s="1">
        <v>0</v>
      </c>
      <c r="K846" s="1">
        <v>0</v>
      </c>
      <c r="L846" s="1" t="s">
        <v>42</v>
      </c>
      <c r="M846" s="1">
        <v>4</v>
      </c>
      <c r="N846" s="1">
        <v>5</v>
      </c>
      <c r="O846" s="1">
        <v>0</v>
      </c>
      <c r="P846" s="11" t="str">
        <f t="shared" si="13"/>
        <v>负</v>
      </c>
      <c r="Q846" s="11" t="str">
        <f t="shared" si="13"/>
        <v>负</v>
      </c>
    </row>
    <row r="847" spans="4:17" customFormat="1" hidden="1" x14ac:dyDescent="0.15">
      <c r="D847" t="s">
        <v>6</v>
      </c>
      <c r="E847" s="1">
        <v>413621</v>
      </c>
      <c r="F847" s="1">
        <v>413621</v>
      </c>
      <c r="G847" s="8">
        <v>43045.043055555558</v>
      </c>
      <c r="H847" s="1" t="s">
        <v>46</v>
      </c>
      <c r="I847" s="1">
        <v>1</v>
      </c>
      <c r="J847" s="1">
        <v>2</v>
      </c>
      <c r="K847" s="1">
        <v>0</v>
      </c>
      <c r="L847" s="1" t="s">
        <v>44</v>
      </c>
      <c r="M847" s="1">
        <v>0</v>
      </c>
      <c r="N847" s="1">
        <v>0</v>
      </c>
      <c r="O847" s="1">
        <v>0</v>
      </c>
      <c r="P847" s="11" t="str">
        <f t="shared" si="13"/>
        <v>胜</v>
      </c>
      <c r="Q847" s="11" t="str">
        <f t="shared" si="13"/>
        <v>胜</v>
      </c>
    </row>
    <row r="848" spans="4:17" customFormat="1" hidden="1" x14ac:dyDescent="0.15">
      <c r="D848" t="s">
        <v>6</v>
      </c>
      <c r="E848" s="1">
        <v>413622</v>
      </c>
      <c r="F848" s="1">
        <v>413622</v>
      </c>
      <c r="G848" s="8">
        <v>43045.045138888891</v>
      </c>
      <c r="H848" s="1" t="s">
        <v>35</v>
      </c>
      <c r="I848" s="1">
        <v>0</v>
      </c>
      <c r="J848" s="1">
        <v>0</v>
      </c>
      <c r="K848" s="1">
        <v>0</v>
      </c>
      <c r="L848" s="1" t="s">
        <v>53</v>
      </c>
      <c r="M848" s="1">
        <v>1</v>
      </c>
      <c r="N848" s="1">
        <v>2</v>
      </c>
      <c r="O848" s="1">
        <v>0</v>
      </c>
      <c r="P848" s="11" t="str">
        <f t="shared" si="13"/>
        <v>负</v>
      </c>
      <c r="Q848" s="11" t="str">
        <f t="shared" si="13"/>
        <v>负</v>
      </c>
    </row>
    <row r="849" spans="4:17" customFormat="1" hidden="1" x14ac:dyDescent="0.15">
      <c r="D849" t="s">
        <v>6</v>
      </c>
      <c r="E849" s="1">
        <v>413623</v>
      </c>
      <c r="F849" s="1">
        <v>413623</v>
      </c>
      <c r="G849" s="8">
        <v>43045.045138888891</v>
      </c>
      <c r="H849" s="1" t="s">
        <v>45</v>
      </c>
      <c r="I849" s="1">
        <v>1</v>
      </c>
      <c r="J849" s="1">
        <v>2</v>
      </c>
      <c r="K849" s="1">
        <v>0</v>
      </c>
      <c r="L849" s="1" t="s">
        <v>41</v>
      </c>
      <c r="M849" s="1">
        <v>1</v>
      </c>
      <c r="N849" s="1">
        <v>1</v>
      </c>
      <c r="O849" s="1">
        <v>0</v>
      </c>
      <c r="P849" s="11" t="str">
        <f t="shared" si="13"/>
        <v>平</v>
      </c>
      <c r="Q849" s="11" t="str">
        <f t="shared" si="13"/>
        <v>胜</v>
      </c>
    </row>
    <row r="850" spans="4:17" customFormat="1" hidden="1" x14ac:dyDescent="0.15">
      <c r="D850" t="s">
        <v>6</v>
      </c>
      <c r="E850" s="1">
        <v>413624</v>
      </c>
      <c r="F850" s="1">
        <v>413624</v>
      </c>
      <c r="G850" s="8">
        <v>43045.125</v>
      </c>
      <c r="H850" s="1" t="s">
        <v>43</v>
      </c>
      <c r="I850" s="1">
        <v>0</v>
      </c>
      <c r="J850" s="1">
        <v>2</v>
      </c>
      <c r="K850" s="1">
        <v>0</v>
      </c>
      <c r="L850" s="1" t="s">
        <v>37</v>
      </c>
      <c r="M850" s="1">
        <v>0</v>
      </c>
      <c r="N850" s="1">
        <v>1</v>
      </c>
      <c r="O850" s="1">
        <v>0</v>
      </c>
      <c r="P850" s="11" t="str">
        <f t="shared" si="13"/>
        <v>平</v>
      </c>
      <c r="Q850" s="11" t="str">
        <f t="shared" si="13"/>
        <v>胜</v>
      </c>
    </row>
    <row r="851" spans="4:17" customFormat="1" hidden="1" x14ac:dyDescent="0.15">
      <c r="D851" t="s">
        <v>6</v>
      </c>
      <c r="E851" s="1">
        <v>417071</v>
      </c>
      <c r="F851" s="1">
        <v>417071</v>
      </c>
      <c r="G851" s="8">
        <v>43059.041666666664</v>
      </c>
      <c r="H851" s="1" t="s">
        <v>56</v>
      </c>
      <c r="I851" s="1">
        <v>2</v>
      </c>
      <c r="J851" s="1">
        <v>3</v>
      </c>
      <c r="K851" s="1">
        <v>0</v>
      </c>
      <c r="L851" s="1" t="s">
        <v>52</v>
      </c>
      <c r="M851" s="1">
        <v>1</v>
      </c>
      <c r="N851" s="1">
        <v>2</v>
      </c>
      <c r="O851" s="1">
        <v>0</v>
      </c>
      <c r="P851" s="11" t="str">
        <f t="shared" si="13"/>
        <v>胜</v>
      </c>
      <c r="Q851" s="11" t="str">
        <f t="shared" si="13"/>
        <v>胜</v>
      </c>
    </row>
    <row r="852" spans="4:17" customFormat="1" hidden="1" x14ac:dyDescent="0.15">
      <c r="D852" t="s">
        <v>6</v>
      </c>
      <c r="E852" s="1">
        <v>417072</v>
      </c>
      <c r="F852" s="1">
        <v>417072</v>
      </c>
      <c r="G852" s="8">
        <v>43059.043055555558</v>
      </c>
      <c r="H852" s="1" t="s">
        <v>44</v>
      </c>
      <c r="I852" s="1">
        <v>0</v>
      </c>
      <c r="J852" s="1">
        <v>0</v>
      </c>
      <c r="K852" s="1">
        <v>0</v>
      </c>
      <c r="L852" s="1" t="s">
        <v>38</v>
      </c>
      <c r="M852" s="1">
        <v>1</v>
      </c>
      <c r="N852" s="1">
        <v>1</v>
      </c>
      <c r="O852" s="1">
        <v>0</v>
      </c>
      <c r="P852" s="11" t="str">
        <f t="shared" si="13"/>
        <v>负</v>
      </c>
      <c r="Q852" s="11" t="str">
        <f t="shared" si="13"/>
        <v>负</v>
      </c>
    </row>
    <row r="853" spans="4:17" customFormat="1" hidden="1" x14ac:dyDescent="0.15">
      <c r="D853" t="s">
        <v>6</v>
      </c>
      <c r="E853" s="1">
        <v>417073</v>
      </c>
      <c r="F853" s="1">
        <v>417073</v>
      </c>
      <c r="G853" s="8">
        <v>43059.041666666664</v>
      </c>
      <c r="H853" s="1" t="s">
        <v>40</v>
      </c>
      <c r="I853" s="1">
        <v>1</v>
      </c>
      <c r="J853" s="1">
        <v>2</v>
      </c>
      <c r="K853" s="1">
        <v>0</v>
      </c>
      <c r="L853" s="1" t="s">
        <v>46</v>
      </c>
      <c r="M853" s="1">
        <v>0</v>
      </c>
      <c r="N853" s="1">
        <v>1</v>
      </c>
      <c r="O853" s="1">
        <v>0</v>
      </c>
      <c r="P853" s="11" t="str">
        <f t="shared" si="13"/>
        <v>胜</v>
      </c>
      <c r="Q853" s="11" t="str">
        <f t="shared" si="13"/>
        <v>胜</v>
      </c>
    </row>
    <row r="854" spans="4:17" customFormat="1" hidden="1" x14ac:dyDescent="0.15">
      <c r="D854" t="s">
        <v>6</v>
      </c>
      <c r="E854" s="1">
        <v>417074</v>
      </c>
      <c r="F854" s="1">
        <v>417074</v>
      </c>
      <c r="G854" s="8">
        <v>43059.041666666664</v>
      </c>
      <c r="H854" s="1" t="s">
        <v>42</v>
      </c>
      <c r="I854" s="1">
        <v>1</v>
      </c>
      <c r="J854" s="1">
        <v>1</v>
      </c>
      <c r="K854" s="1">
        <v>0</v>
      </c>
      <c r="L854" s="1" t="s">
        <v>35</v>
      </c>
      <c r="M854" s="1">
        <v>0</v>
      </c>
      <c r="N854" s="1">
        <v>1</v>
      </c>
      <c r="O854" s="1">
        <v>0</v>
      </c>
      <c r="P854" s="11" t="str">
        <f t="shared" si="13"/>
        <v>胜</v>
      </c>
      <c r="Q854" s="11" t="str">
        <f t="shared" si="13"/>
        <v>平</v>
      </c>
    </row>
    <row r="855" spans="4:17" customFormat="1" hidden="1" x14ac:dyDescent="0.15">
      <c r="D855" t="s">
        <v>6</v>
      </c>
      <c r="E855" s="1">
        <v>417075</v>
      </c>
      <c r="F855" s="1">
        <v>417075</v>
      </c>
      <c r="G855" s="8">
        <v>43059.041666666664</v>
      </c>
      <c r="H855" s="1" t="s">
        <v>53</v>
      </c>
      <c r="I855" s="1">
        <v>1</v>
      </c>
      <c r="J855" s="1">
        <v>2</v>
      </c>
      <c r="K855" s="1">
        <v>0</v>
      </c>
      <c r="L855" s="1" t="s">
        <v>48</v>
      </c>
      <c r="M855" s="1">
        <v>0</v>
      </c>
      <c r="N855" s="1">
        <v>0</v>
      </c>
      <c r="O855" s="1">
        <v>0</v>
      </c>
      <c r="P855" s="11" t="str">
        <f t="shared" si="13"/>
        <v>胜</v>
      </c>
      <c r="Q855" s="11" t="str">
        <f t="shared" si="13"/>
        <v>胜</v>
      </c>
    </row>
    <row r="856" spans="4:17" customFormat="1" hidden="1" x14ac:dyDescent="0.15">
      <c r="D856" t="s">
        <v>6</v>
      </c>
      <c r="E856" s="1">
        <v>417076</v>
      </c>
      <c r="F856" s="1">
        <v>417076</v>
      </c>
      <c r="G856" s="8">
        <v>43059.041666666664</v>
      </c>
      <c r="H856" s="1" t="s">
        <v>49</v>
      </c>
      <c r="I856" s="1">
        <v>1</v>
      </c>
      <c r="J856" s="1">
        <v>2</v>
      </c>
      <c r="K856" s="1">
        <v>0</v>
      </c>
      <c r="L856" s="1" t="s">
        <v>54</v>
      </c>
      <c r="M856" s="1">
        <v>0</v>
      </c>
      <c r="N856" s="1">
        <v>0</v>
      </c>
      <c r="O856" s="1">
        <v>0</v>
      </c>
      <c r="P856" s="11" t="str">
        <f t="shared" si="13"/>
        <v>胜</v>
      </c>
      <c r="Q856" s="11" t="str">
        <f t="shared" si="13"/>
        <v>胜</v>
      </c>
    </row>
    <row r="857" spans="4:17" customFormat="1" hidden="1" x14ac:dyDescent="0.15">
      <c r="D857" t="s">
        <v>6</v>
      </c>
      <c r="E857" s="1">
        <v>417077</v>
      </c>
      <c r="F857" s="1">
        <v>417077</v>
      </c>
      <c r="G857" s="8">
        <v>43059.041666666664</v>
      </c>
      <c r="H857" s="1" t="s">
        <v>37</v>
      </c>
      <c r="I857" s="1">
        <v>2</v>
      </c>
      <c r="J857" s="1">
        <v>2</v>
      </c>
      <c r="K857" s="1">
        <v>0</v>
      </c>
      <c r="L857" s="1" t="s">
        <v>45</v>
      </c>
      <c r="M857" s="1">
        <v>0</v>
      </c>
      <c r="N857" s="1">
        <v>0</v>
      </c>
      <c r="O857" s="1">
        <v>0</v>
      </c>
      <c r="P857" s="11" t="str">
        <f t="shared" si="13"/>
        <v>胜</v>
      </c>
      <c r="Q857" s="11" t="str">
        <f t="shared" si="13"/>
        <v>胜</v>
      </c>
    </row>
    <row r="858" spans="4:17" customFormat="1" hidden="1" x14ac:dyDescent="0.15">
      <c r="D858" t="s">
        <v>6</v>
      </c>
      <c r="E858" s="1">
        <v>417078</v>
      </c>
      <c r="F858" s="1">
        <v>417078</v>
      </c>
      <c r="G858" s="8">
        <v>43059.040972222225</v>
      </c>
      <c r="H858" s="1" t="s">
        <v>41</v>
      </c>
      <c r="I858" s="1">
        <v>0</v>
      </c>
      <c r="J858" s="1">
        <v>1</v>
      </c>
      <c r="K858" s="1">
        <v>0</v>
      </c>
      <c r="L858" s="1" t="s">
        <v>43</v>
      </c>
      <c r="M858" s="1">
        <v>0</v>
      </c>
      <c r="N858" s="1">
        <v>0</v>
      </c>
      <c r="O858" s="1">
        <v>0</v>
      </c>
      <c r="P858" s="11" t="str">
        <f t="shared" si="13"/>
        <v>平</v>
      </c>
      <c r="Q858" s="11" t="str">
        <f t="shared" si="13"/>
        <v>胜</v>
      </c>
    </row>
    <row r="859" spans="4:17" customFormat="1" hidden="1" x14ac:dyDescent="0.15">
      <c r="D859" t="s">
        <v>6</v>
      </c>
      <c r="E859" s="1">
        <v>420603</v>
      </c>
      <c r="F859" s="1">
        <v>420603</v>
      </c>
      <c r="G859" s="8">
        <v>43066.041666666664</v>
      </c>
      <c r="H859" s="1" t="s">
        <v>43</v>
      </c>
      <c r="I859" s="1">
        <v>1</v>
      </c>
      <c r="J859" s="1">
        <v>4</v>
      </c>
      <c r="K859" s="1">
        <v>0</v>
      </c>
      <c r="L859" s="1" t="s">
        <v>40</v>
      </c>
      <c r="M859" s="1">
        <v>1</v>
      </c>
      <c r="N859" s="1">
        <v>3</v>
      </c>
      <c r="O859" s="1">
        <v>0</v>
      </c>
      <c r="P859" s="11" t="str">
        <f t="shared" si="13"/>
        <v>平</v>
      </c>
      <c r="Q859" s="11" t="str">
        <f t="shared" si="13"/>
        <v>胜</v>
      </c>
    </row>
    <row r="860" spans="4:17" customFormat="1" hidden="1" x14ac:dyDescent="0.15">
      <c r="D860" t="s">
        <v>6</v>
      </c>
      <c r="E860" s="1">
        <v>420604</v>
      </c>
      <c r="F860" s="1">
        <v>420604</v>
      </c>
      <c r="G860" s="8">
        <v>43066.041666666664</v>
      </c>
      <c r="H860" s="1" t="s">
        <v>48</v>
      </c>
      <c r="I860" s="1">
        <v>2</v>
      </c>
      <c r="J860" s="1">
        <v>2</v>
      </c>
      <c r="K860" s="1">
        <v>0</v>
      </c>
      <c r="L860" s="1" t="s">
        <v>56</v>
      </c>
      <c r="M860" s="1">
        <v>1</v>
      </c>
      <c r="N860" s="1">
        <v>3</v>
      </c>
      <c r="O860" s="1">
        <v>0</v>
      </c>
      <c r="P860" s="11" t="str">
        <f t="shared" si="13"/>
        <v>胜</v>
      </c>
      <c r="Q860" s="11" t="str">
        <f t="shared" si="13"/>
        <v>负</v>
      </c>
    </row>
    <row r="861" spans="4:17" customFormat="1" hidden="1" x14ac:dyDescent="0.15">
      <c r="D861" t="s">
        <v>6</v>
      </c>
      <c r="E861" s="1">
        <v>420605</v>
      </c>
      <c r="F861" s="1">
        <v>420605</v>
      </c>
      <c r="G861" s="8">
        <v>43066.041666666664</v>
      </c>
      <c r="H861" s="1" t="s">
        <v>38</v>
      </c>
      <c r="I861" s="1">
        <v>0</v>
      </c>
      <c r="J861" s="1">
        <v>2</v>
      </c>
      <c r="K861" s="1">
        <v>0</v>
      </c>
      <c r="L861" s="1" t="s">
        <v>41</v>
      </c>
      <c r="M861" s="1">
        <v>0</v>
      </c>
      <c r="N861" s="1">
        <v>2</v>
      </c>
      <c r="O861" s="1">
        <v>0</v>
      </c>
      <c r="P861" s="11" t="str">
        <f t="shared" si="13"/>
        <v>平</v>
      </c>
      <c r="Q861" s="11" t="str">
        <f t="shared" si="13"/>
        <v>平</v>
      </c>
    </row>
    <row r="862" spans="4:17" customFormat="1" hidden="1" x14ac:dyDescent="0.15">
      <c r="D862" t="s">
        <v>6</v>
      </c>
      <c r="E862" s="1">
        <v>420606</v>
      </c>
      <c r="F862" s="1">
        <v>420606</v>
      </c>
      <c r="G862" s="8">
        <v>43066.042361111111</v>
      </c>
      <c r="H862" s="1" t="s">
        <v>54</v>
      </c>
      <c r="I862" s="1">
        <v>0</v>
      </c>
      <c r="J862" s="1">
        <v>1</v>
      </c>
      <c r="K862" s="1">
        <v>0</v>
      </c>
      <c r="L862" s="1" t="s">
        <v>37</v>
      </c>
      <c r="M862" s="1">
        <v>0</v>
      </c>
      <c r="N862" s="1">
        <v>0</v>
      </c>
      <c r="O862" s="1">
        <v>0</v>
      </c>
      <c r="P862" s="11" t="str">
        <f t="shared" si="13"/>
        <v>平</v>
      </c>
      <c r="Q862" s="11" t="str">
        <f t="shared" si="13"/>
        <v>胜</v>
      </c>
    </row>
    <row r="863" spans="4:17" customFormat="1" hidden="1" x14ac:dyDescent="0.15">
      <c r="D863" t="s">
        <v>6</v>
      </c>
      <c r="E863" s="1">
        <v>420607</v>
      </c>
      <c r="F863" s="1">
        <v>420607</v>
      </c>
      <c r="G863" s="8">
        <v>43066.041666666664</v>
      </c>
      <c r="H863" s="1" t="s">
        <v>52</v>
      </c>
      <c r="I863" s="1">
        <v>1</v>
      </c>
      <c r="J863" s="1">
        <v>1</v>
      </c>
      <c r="K863" s="1">
        <v>0</v>
      </c>
      <c r="L863" s="1" t="s">
        <v>44</v>
      </c>
      <c r="M863" s="1">
        <v>2</v>
      </c>
      <c r="N863" s="1">
        <v>3</v>
      </c>
      <c r="O863" s="1">
        <v>0</v>
      </c>
      <c r="P863" s="11" t="str">
        <f t="shared" si="13"/>
        <v>负</v>
      </c>
      <c r="Q863" s="11" t="str">
        <f t="shared" si="13"/>
        <v>负</v>
      </c>
    </row>
    <row r="864" spans="4:17" customFormat="1" hidden="1" x14ac:dyDescent="0.15">
      <c r="D864" t="s">
        <v>6</v>
      </c>
      <c r="E864" s="1">
        <v>420608</v>
      </c>
      <c r="F864" s="1">
        <v>420608</v>
      </c>
      <c r="G864" s="8">
        <v>43066.042361111111</v>
      </c>
      <c r="H864" s="1" t="s">
        <v>46</v>
      </c>
      <c r="I864" s="1">
        <v>1</v>
      </c>
      <c r="J864" s="1">
        <v>2</v>
      </c>
      <c r="K864" s="1">
        <v>0</v>
      </c>
      <c r="L864" s="1" t="s">
        <v>53</v>
      </c>
      <c r="M864" s="1">
        <v>1</v>
      </c>
      <c r="N864" s="1">
        <v>2</v>
      </c>
      <c r="O864" s="1">
        <v>0</v>
      </c>
      <c r="P864" s="11" t="str">
        <f t="shared" si="13"/>
        <v>平</v>
      </c>
      <c r="Q864" s="11" t="str">
        <f t="shared" si="13"/>
        <v>平</v>
      </c>
    </row>
    <row r="865" spans="4:17" customFormat="1" hidden="1" x14ac:dyDescent="0.15">
      <c r="D865" t="s">
        <v>6</v>
      </c>
      <c r="E865" s="1">
        <v>420609</v>
      </c>
      <c r="F865" s="1">
        <v>420609</v>
      </c>
      <c r="G865" s="8">
        <v>43066.041666666664</v>
      </c>
      <c r="H865" s="1" t="s">
        <v>35</v>
      </c>
      <c r="I865" s="1">
        <v>2</v>
      </c>
      <c r="J865" s="1">
        <v>5</v>
      </c>
      <c r="K865" s="1">
        <v>0</v>
      </c>
      <c r="L865" s="1" t="s">
        <v>49</v>
      </c>
      <c r="M865" s="1">
        <v>1</v>
      </c>
      <c r="N865" s="1">
        <v>2</v>
      </c>
      <c r="O865" s="1">
        <v>0</v>
      </c>
      <c r="P865" s="11" t="str">
        <f t="shared" si="13"/>
        <v>胜</v>
      </c>
      <c r="Q865" s="11" t="str">
        <f t="shared" si="13"/>
        <v>胜</v>
      </c>
    </row>
    <row r="866" spans="4:17" customFormat="1" hidden="1" x14ac:dyDescent="0.15">
      <c r="D866" t="s">
        <v>6</v>
      </c>
      <c r="E866" s="1">
        <v>420610</v>
      </c>
      <c r="F866" s="1">
        <v>420610</v>
      </c>
      <c r="G866" s="8">
        <v>43066.041666666664</v>
      </c>
      <c r="H866" s="1" t="s">
        <v>45</v>
      </c>
      <c r="I866" s="1">
        <v>1</v>
      </c>
      <c r="J866" s="1">
        <v>2</v>
      </c>
      <c r="K866" s="1">
        <v>0</v>
      </c>
      <c r="L866" s="1" t="s">
        <v>42</v>
      </c>
      <c r="M866" s="1">
        <v>0</v>
      </c>
      <c r="N866" s="1">
        <v>0</v>
      </c>
      <c r="O866" s="1">
        <v>0</v>
      </c>
      <c r="P866" s="11" t="str">
        <f t="shared" si="13"/>
        <v>胜</v>
      </c>
      <c r="Q866" s="11" t="str">
        <f t="shared" si="13"/>
        <v>胜</v>
      </c>
    </row>
    <row r="867" spans="4:17" x14ac:dyDescent="0.15">
      <c r="D867" s="2" t="s">
        <v>6</v>
      </c>
      <c r="E867" s="6">
        <v>449074</v>
      </c>
      <c r="F867" s="6">
        <v>449074</v>
      </c>
      <c r="G867" s="24">
        <v>43171.068055555559</v>
      </c>
      <c r="H867" s="6" t="s">
        <v>32</v>
      </c>
      <c r="I867" s="6">
        <v>1</v>
      </c>
      <c r="J867" s="6">
        <v>3</v>
      </c>
      <c r="K867" s="6">
        <v>0</v>
      </c>
      <c r="L867" s="6" t="s">
        <v>44</v>
      </c>
      <c r="M867" s="6">
        <v>0</v>
      </c>
      <c r="N867" s="6">
        <v>1</v>
      </c>
      <c r="O867" s="6">
        <v>0</v>
      </c>
      <c r="P867" s="11" t="str">
        <f t="shared" si="13"/>
        <v>胜</v>
      </c>
      <c r="Q867" s="11" t="str">
        <f t="shared" si="13"/>
        <v>胜</v>
      </c>
    </row>
    <row r="868" spans="4:17" customFormat="1" hidden="1" x14ac:dyDescent="0.15">
      <c r="D868" t="s">
        <v>6</v>
      </c>
      <c r="E868" s="1">
        <v>449075</v>
      </c>
      <c r="F868" s="1">
        <v>449075</v>
      </c>
      <c r="G868" s="8">
        <v>43171.041666666664</v>
      </c>
      <c r="H868" s="1" t="s">
        <v>36</v>
      </c>
      <c r="I868" s="1">
        <v>2</v>
      </c>
      <c r="J868" s="1">
        <v>4</v>
      </c>
      <c r="K868" s="1">
        <v>0</v>
      </c>
      <c r="L868" s="1" t="s">
        <v>53</v>
      </c>
      <c r="M868" s="1">
        <v>0</v>
      </c>
      <c r="N868" s="1">
        <v>1</v>
      </c>
      <c r="O868" s="1">
        <v>0</v>
      </c>
      <c r="P868" s="11" t="str">
        <f t="shared" si="13"/>
        <v>胜</v>
      </c>
      <c r="Q868" s="11" t="str">
        <f t="shared" si="13"/>
        <v>胜</v>
      </c>
    </row>
    <row r="869" spans="4:17" customFormat="1" hidden="1" x14ac:dyDescent="0.15">
      <c r="D869" t="s">
        <v>6</v>
      </c>
      <c r="E869" s="1">
        <v>449076</v>
      </c>
      <c r="F869" s="1">
        <v>449076</v>
      </c>
      <c r="G869" s="8">
        <v>43171.041666666664</v>
      </c>
      <c r="H869" s="1" t="s">
        <v>38</v>
      </c>
      <c r="I869" s="1">
        <v>2</v>
      </c>
      <c r="J869" s="1">
        <v>5</v>
      </c>
      <c r="K869" s="1">
        <v>0</v>
      </c>
      <c r="L869" s="1" t="s">
        <v>52</v>
      </c>
      <c r="M869" s="1">
        <v>0</v>
      </c>
      <c r="N869" s="1">
        <v>0</v>
      </c>
      <c r="O869" s="1">
        <v>0</v>
      </c>
      <c r="P869" s="11" t="str">
        <f t="shared" si="13"/>
        <v>胜</v>
      </c>
      <c r="Q869" s="11" t="str">
        <f t="shared" si="13"/>
        <v>胜</v>
      </c>
    </row>
    <row r="870" spans="4:17" customFormat="1" hidden="1" x14ac:dyDescent="0.15">
      <c r="D870" t="s">
        <v>6</v>
      </c>
      <c r="E870" s="1">
        <v>449077</v>
      </c>
      <c r="F870" s="1">
        <v>449077</v>
      </c>
      <c r="G870" s="8">
        <v>43171.040972222225</v>
      </c>
      <c r="H870" s="1" t="s">
        <v>54</v>
      </c>
      <c r="I870" s="1">
        <v>0</v>
      </c>
      <c r="J870" s="1">
        <v>1</v>
      </c>
      <c r="K870" s="1">
        <v>0</v>
      </c>
      <c r="L870" s="1" t="s">
        <v>48</v>
      </c>
      <c r="M870" s="1">
        <v>0</v>
      </c>
      <c r="N870" s="1">
        <v>2</v>
      </c>
      <c r="O870" s="1">
        <v>0</v>
      </c>
      <c r="P870" s="11" t="str">
        <f t="shared" si="13"/>
        <v>平</v>
      </c>
      <c r="Q870" s="11" t="str">
        <f t="shared" si="13"/>
        <v>负</v>
      </c>
    </row>
    <row r="871" spans="4:17" customFormat="1" hidden="1" x14ac:dyDescent="0.15">
      <c r="D871" t="s">
        <v>6</v>
      </c>
      <c r="E871" s="1">
        <v>449078</v>
      </c>
      <c r="F871" s="1">
        <v>449078</v>
      </c>
      <c r="G871" s="8">
        <v>43171.041666666664</v>
      </c>
      <c r="H871" s="1" t="s">
        <v>40</v>
      </c>
      <c r="I871" s="1">
        <v>1</v>
      </c>
      <c r="J871" s="1">
        <v>2</v>
      </c>
      <c r="K871" s="1">
        <v>0</v>
      </c>
      <c r="L871" s="1" t="s">
        <v>42</v>
      </c>
      <c r="M871" s="1">
        <v>2</v>
      </c>
      <c r="N871" s="1">
        <v>2</v>
      </c>
      <c r="O871" s="1">
        <v>0</v>
      </c>
      <c r="P871" s="11" t="str">
        <f t="shared" si="13"/>
        <v>负</v>
      </c>
      <c r="Q871" s="11" t="str">
        <f t="shared" si="13"/>
        <v>平</v>
      </c>
    </row>
    <row r="872" spans="4:17" customFormat="1" hidden="1" x14ac:dyDescent="0.15">
      <c r="D872" t="s">
        <v>6</v>
      </c>
      <c r="E872" s="1">
        <v>449122</v>
      </c>
      <c r="F872" s="1">
        <v>449122</v>
      </c>
      <c r="G872" s="8">
        <v>43171.128472222219</v>
      </c>
      <c r="H872" s="1" t="s">
        <v>41</v>
      </c>
      <c r="I872" s="1">
        <v>0</v>
      </c>
      <c r="J872" s="1">
        <v>1</v>
      </c>
      <c r="K872" s="1">
        <v>0</v>
      </c>
      <c r="L872" s="1" t="s">
        <v>37</v>
      </c>
      <c r="M872" s="1">
        <v>0</v>
      </c>
      <c r="N872" s="1">
        <v>0</v>
      </c>
      <c r="O872" s="1">
        <v>0</v>
      </c>
      <c r="P872" s="11" t="str">
        <f t="shared" si="13"/>
        <v>平</v>
      </c>
      <c r="Q872" s="11" t="str">
        <f t="shared" si="13"/>
        <v>胜</v>
      </c>
    </row>
    <row r="873" spans="4:17" customFormat="1" hidden="1" x14ac:dyDescent="0.15">
      <c r="D873" t="s">
        <v>6</v>
      </c>
      <c r="E873" s="1">
        <v>449123</v>
      </c>
      <c r="F873" s="1">
        <v>449123</v>
      </c>
      <c r="G873" s="8">
        <v>43172.084027777775</v>
      </c>
      <c r="H873" s="1" t="s">
        <v>56</v>
      </c>
      <c r="I873" s="1">
        <v>0</v>
      </c>
      <c r="J873" s="1">
        <v>0</v>
      </c>
      <c r="K873" s="1">
        <v>0</v>
      </c>
      <c r="L873" s="1" t="s">
        <v>49</v>
      </c>
      <c r="M873" s="1">
        <v>0</v>
      </c>
      <c r="N873" s="1">
        <v>1</v>
      </c>
      <c r="O873" s="1">
        <v>0</v>
      </c>
      <c r="P873" s="11" t="str">
        <f t="shared" si="13"/>
        <v>平</v>
      </c>
      <c r="Q873" s="11" t="str">
        <f t="shared" si="13"/>
        <v>负</v>
      </c>
    </row>
    <row r="874" spans="4:17" customFormat="1" hidden="1" x14ac:dyDescent="0.15">
      <c r="D874" t="s">
        <v>6</v>
      </c>
      <c r="E874" s="1">
        <v>452895</v>
      </c>
      <c r="F874" s="1">
        <v>452895</v>
      </c>
      <c r="G874" s="8">
        <v>43176.940972222219</v>
      </c>
      <c r="H874" s="1" t="s">
        <v>44</v>
      </c>
      <c r="I874" s="1">
        <v>1</v>
      </c>
      <c r="J874" s="1">
        <v>2</v>
      </c>
      <c r="K874" s="1">
        <v>0</v>
      </c>
      <c r="L874" s="1" t="s">
        <v>41</v>
      </c>
      <c r="M874" s="1">
        <v>1</v>
      </c>
      <c r="N874" s="1">
        <v>2</v>
      </c>
      <c r="O874" s="1">
        <v>0</v>
      </c>
      <c r="P874" s="11" t="str">
        <f t="shared" si="13"/>
        <v>平</v>
      </c>
      <c r="Q874" s="11" t="str">
        <f t="shared" si="13"/>
        <v>平</v>
      </c>
    </row>
    <row r="875" spans="4:17" customFormat="1" hidden="1" x14ac:dyDescent="0.15">
      <c r="D875" t="s">
        <v>6</v>
      </c>
      <c r="E875" s="1">
        <v>453526</v>
      </c>
      <c r="F875" s="1">
        <v>453526</v>
      </c>
      <c r="G875" s="8">
        <v>43177.041666666664</v>
      </c>
      <c r="H875" s="1" t="s">
        <v>37</v>
      </c>
      <c r="I875" s="1">
        <v>0</v>
      </c>
      <c r="J875" s="1">
        <v>2</v>
      </c>
      <c r="K875" s="1">
        <v>0</v>
      </c>
      <c r="L875" s="1" t="s">
        <v>56</v>
      </c>
      <c r="M875" s="1">
        <v>1</v>
      </c>
      <c r="N875" s="1">
        <v>2</v>
      </c>
      <c r="O875" s="1">
        <v>0</v>
      </c>
      <c r="P875" s="11" t="str">
        <f t="shared" si="13"/>
        <v>负</v>
      </c>
      <c r="Q875" s="11" t="str">
        <f t="shared" si="13"/>
        <v>平</v>
      </c>
    </row>
    <row r="876" spans="4:17" customFormat="1" hidden="1" x14ac:dyDescent="0.15">
      <c r="D876" t="s">
        <v>6</v>
      </c>
      <c r="E876" s="1">
        <v>453801</v>
      </c>
      <c r="F876" s="1">
        <v>453801</v>
      </c>
      <c r="G876" s="8">
        <v>43178.041666666664</v>
      </c>
      <c r="H876" s="1" t="s">
        <v>48</v>
      </c>
      <c r="I876" s="1">
        <v>0</v>
      </c>
      <c r="J876" s="1">
        <v>0</v>
      </c>
      <c r="K876" s="1">
        <v>0</v>
      </c>
      <c r="L876" s="1" t="s">
        <v>38</v>
      </c>
      <c r="M876" s="1">
        <v>1</v>
      </c>
      <c r="N876" s="1">
        <v>1</v>
      </c>
      <c r="O876" s="1">
        <v>0</v>
      </c>
      <c r="P876" s="11" t="str">
        <f t="shared" si="13"/>
        <v>负</v>
      </c>
      <c r="Q876" s="11" t="str">
        <f t="shared" si="13"/>
        <v>负</v>
      </c>
    </row>
    <row r="877" spans="4:17" customFormat="1" hidden="1" x14ac:dyDescent="0.15">
      <c r="D877" t="s">
        <v>6</v>
      </c>
      <c r="E877" s="1">
        <v>453802</v>
      </c>
      <c r="F877" s="1">
        <v>453802</v>
      </c>
      <c r="G877" s="8">
        <v>43178.042361111111</v>
      </c>
      <c r="H877" s="1" t="s">
        <v>46</v>
      </c>
      <c r="I877" s="1">
        <v>2</v>
      </c>
      <c r="J877" s="1">
        <v>2</v>
      </c>
      <c r="K877" s="1">
        <v>0</v>
      </c>
      <c r="L877" s="1" t="s">
        <v>32</v>
      </c>
      <c r="M877" s="1">
        <v>0</v>
      </c>
      <c r="N877" s="1">
        <v>0</v>
      </c>
      <c r="O877" s="1">
        <v>0</v>
      </c>
      <c r="P877" s="11" t="str">
        <f t="shared" si="13"/>
        <v>胜</v>
      </c>
      <c r="Q877" s="11" t="str">
        <f t="shared" si="13"/>
        <v>胜</v>
      </c>
    </row>
    <row r="878" spans="4:17" customFormat="1" hidden="1" x14ac:dyDescent="0.15">
      <c r="D878" t="s">
        <v>6</v>
      </c>
      <c r="E878" s="1">
        <v>453806</v>
      </c>
      <c r="F878" s="1">
        <v>453806</v>
      </c>
      <c r="G878" s="8">
        <v>43178.125</v>
      </c>
      <c r="H878" s="1" t="s">
        <v>49</v>
      </c>
      <c r="I878" s="1">
        <v>0</v>
      </c>
      <c r="J878" s="1">
        <v>2</v>
      </c>
      <c r="K878" s="1">
        <v>0</v>
      </c>
      <c r="L878" s="1" t="s">
        <v>54</v>
      </c>
      <c r="M878" s="1">
        <v>0</v>
      </c>
      <c r="N878" s="1">
        <v>1</v>
      </c>
      <c r="O878" s="1">
        <v>0</v>
      </c>
      <c r="P878" s="11" t="str">
        <f t="shared" si="13"/>
        <v>平</v>
      </c>
      <c r="Q878" s="11" t="str">
        <f t="shared" si="13"/>
        <v>胜</v>
      </c>
    </row>
    <row r="879" spans="4:17" x14ac:dyDescent="0.15">
      <c r="D879" s="2" t="s">
        <v>6</v>
      </c>
      <c r="E879" s="6">
        <v>456825</v>
      </c>
      <c r="F879" s="6">
        <v>456825</v>
      </c>
      <c r="G879" s="24">
        <v>43193</v>
      </c>
      <c r="H879" s="6" t="s">
        <v>32</v>
      </c>
      <c r="I879" s="6">
        <v>0</v>
      </c>
      <c r="J879" s="6">
        <v>0</v>
      </c>
      <c r="K879" s="6">
        <v>0</v>
      </c>
      <c r="L879" s="6" t="s">
        <v>48</v>
      </c>
      <c r="M879" s="6">
        <v>2</v>
      </c>
      <c r="N879" s="6">
        <v>3</v>
      </c>
      <c r="O879" s="6">
        <v>0</v>
      </c>
      <c r="P879" s="11" t="str">
        <f t="shared" si="13"/>
        <v>负</v>
      </c>
      <c r="Q879" s="11" t="str">
        <f t="shared" si="13"/>
        <v>负</v>
      </c>
    </row>
    <row r="880" spans="4:17" customFormat="1" hidden="1" x14ac:dyDescent="0.15">
      <c r="D880" t="s">
        <v>6</v>
      </c>
      <c r="E880" s="1">
        <v>456826</v>
      </c>
      <c r="F880" s="1">
        <v>456826</v>
      </c>
      <c r="G880" s="8">
        <v>43192.999305555553</v>
      </c>
      <c r="H880" s="1" t="s">
        <v>36</v>
      </c>
      <c r="I880" s="1">
        <v>1</v>
      </c>
      <c r="J880" s="1">
        <v>1</v>
      </c>
      <c r="K880" s="1">
        <v>0</v>
      </c>
      <c r="L880" s="1" t="s">
        <v>52</v>
      </c>
      <c r="M880" s="1">
        <v>1</v>
      </c>
      <c r="N880" s="1">
        <v>4</v>
      </c>
      <c r="O880" s="1">
        <v>0</v>
      </c>
      <c r="P880" s="11" t="str">
        <f t="shared" si="13"/>
        <v>平</v>
      </c>
      <c r="Q880" s="11" t="str">
        <f t="shared" si="13"/>
        <v>负</v>
      </c>
    </row>
    <row r="881" spans="4:17" customFormat="1" hidden="1" x14ac:dyDescent="0.15">
      <c r="D881" t="s">
        <v>6</v>
      </c>
      <c r="E881" s="1">
        <v>456827</v>
      </c>
      <c r="F881" s="1">
        <v>456827</v>
      </c>
      <c r="G881" s="8">
        <v>43193.000694444447</v>
      </c>
      <c r="H881" s="1" t="s">
        <v>56</v>
      </c>
      <c r="I881" s="1">
        <v>0</v>
      </c>
      <c r="J881" s="1">
        <v>2</v>
      </c>
      <c r="K881" s="1">
        <v>0</v>
      </c>
      <c r="L881" s="1" t="s">
        <v>44</v>
      </c>
      <c r="M881" s="1">
        <v>1</v>
      </c>
      <c r="N881" s="1">
        <v>1</v>
      </c>
      <c r="O881" s="1">
        <v>0</v>
      </c>
      <c r="P881" s="11" t="str">
        <f t="shared" si="13"/>
        <v>负</v>
      </c>
      <c r="Q881" s="11" t="str">
        <f t="shared" si="13"/>
        <v>胜</v>
      </c>
    </row>
    <row r="882" spans="4:17" customFormat="1" hidden="1" x14ac:dyDescent="0.15">
      <c r="D882" t="s">
        <v>6</v>
      </c>
      <c r="E882" s="1">
        <v>456828</v>
      </c>
      <c r="F882" s="1">
        <v>456828</v>
      </c>
      <c r="G882" s="8">
        <v>43193</v>
      </c>
      <c r="H882" s="1" t="s">
        <v>38</v>
      </c>
      <c r="I882" s="1">
        <v>2</v>
      </c>
      <c r="J882" s="1">
        <v>2</v>
      </c>
      <c r="K882" s="1">
        <v>0</v>
      </c>
      <c r="L882" s="1" t="s">
        <v>53</v>
      </c>
      <c r="M882" s="1">
        <v>1</v>
      </c>
      <c r="N882" s="1">
        <v>1</v>
      </c>
      <c r="O882" s="1">
        <v>0</v>
      </c>
      <c r="P882" s="11" t="str">
        <f t="shared" si="13"/>
        <v>胜</v>
      </c>
      <c r="Q882" s="11" t="str">
        <f t="shared" si="13"/>
        <v>胜</v>
      </c>
    </row>
    <row r="883" spans="4:17" customFormat="1" hidden="1" x14ac:dyDescent="0.15">
      <c r="D883" t="s">
        <v>6</v>
      </c>
      <c r="E883" s="1">
        <v>456829</v>
      </c>
      <c r="F883" s="1">
        <v>456829</v>
      </c>
      <c r="G883" s="8">
        <v>43193</v>
      </c>
      <c r="H883" s="1" t="s">
        <v>57</v>
      </c>
      <c r="I883" s="1">
        <v>2</v>
      </c>
      <c r="J883" s="1">
        <v>4</v>
      </c>
      <c r="K883" s="1">
        <v>0</v>
      </c>
      <c r="L883" s="1" t="s">
        <v>42</v>
      </c>
      <c r="M883" s="1">
        <v>0</v>
      </c>
      <c r="N883" s="1">
        <v>1</v>
      </c>
      <c r="O883" s="1">
        <v>0</v>
      </c>
      <c r="P883" s="11" t="str">
        <f t="shared" si="13"/>
        <v>胜</v>
      </c>
      <c r="Q883" s="11" t="str">
        <f t="shared" si="13"/>
        <v>胜</v>
      </c>
    </row>
    <row r="884" spans="4:17" customFormat="1" hidden="1" x14ac:dyDescent="0.15">
      <c r="D884" t="s">
        <v>6</v>
      </c>
      <c r="E884" s="1">
        <v>456830</v>
      </c>
      <c r="F884" s="1">
        <v>456830</v>
      </c>
      <c r="G884" s="8">
        <v>43193.000694444447</v>
      </c>
      <c r="H884" s="1" t="s">
        <v>41</v>
      </c>
      <c r="I884" s="1">
        <v>1</v>
      </c>
      <c r="J884" s="1">
        <v>3</v>
      </c>
      <c r="K884" s="1">
        <v>0</v>
      </c>
      <c r="L884" s="1" t="s">
        <v>49</v>
      </c>
      <c r="M884" s="1">
        <v>0</v>
      </c>
      <c r="N884" s="1">
        <v>0</v>
      </c>
      <c r="O884" s="1">
        <v>0</v>
      </c>
      <c r="P884" s="11" t="str">
        <f t="shared" si="13"/>
        <v>胜</v>
      </c>
      <c r="Q884" s="11" t="str">
        <f t="shared" si="13"/>
        <v>胜</v>
      </c>
    </row>
    <row r="885" spans="4:17" customFormat="1" hidden="1" x14ac:dyDescent="0.15">
      <c r="D885" t="s">
        <v>6</v>
      </c>
      <c r="E885" s="1">
        <v>456831</v>
      </c>
      <c r="F885" s="1">
        <v>456831</v>
      </c>
      <c r="G885" s="8">
        <v>43192.988888888889</v>
      </c>
      <c r="H885" s="1" t="s">
        <v>40</v>
      </c>
      <c r="I885" s="1">
        <v>0</v>
      </c>
      <c r="J885" s="1">
        <v>1</v>
      </c>
      <c r="K885" s="1">
        <v>0</v>
      </c>
      <c r="L885" s="1" t="s">
        <v>46</v>
      </c>
      <c r="M885" s="1">
        <v>0</v>
      </c>
      <c r="N885" s="1">
        <v>1</v>
      </c>
      <c r="O885" s="1">
        <v>0</v>
      </c>
      <c r="P885" s="11" t="str">
        <f t="shared" si="13"/>
        <v>平</v>
      </c>
      <c r="Q885" s="11" t="str">
        <f t="shared" si="13"/>
        <v>平</v>
      </c>
    </row>
    <row r="886" spans="4:17" customFormat="1" hidden="1" x14ac:dyDescent="0.15">
      <c r="D886" t="s">
        <v>6</v>
      </c>
      <c r="E886" s="1">
        <v>456832</v>
      </c>
      <c r="F886" s="1">
        <v>456832</v>
      </c>
      <c r="G886" s="8">
        <v>43193.083333333336</v>
      </c>
      <c r="H886" s="1" t="s">
        <v>54</v>
      </c>
      <c r="I886" s="1">
        <v>0</v>
      </c>
      <c r="J886" s="1">
        <v>1</v>
      </c>
      <c r="K886" s="1">
        <v>0</v>
      </c>
      <c r="L886" s="1" t="s">
        <v>37</v>
      </c>
      <c r="M886" s="1">
        <v>0</v>
      </c>
      <c r="N886" s="1">
        <v>1</v>
      </c>
      <c r="O886" s="1">
        <v>0</v>
      </c>
      <c r="P886" s="11" t="str">
        <f t="shared" si="13"/>
        <v>平</v>
      </c>
      <c r="Q886" s="11" t="str">
        <f t="shared" si="13"/>
        <v>平</v>
      </c>
    </row>
    <row r="887" spans="4:17" customFormat="1" hidden="1" x14ac:dyDescent="0.15">
      <c r="D887" t="s">
        <v>6</v>
      </c>
      <c r="E887" s="1">
        <v>462362</v>
      </c>
      <c r="F887" s="1">
        <v>462362</v>
      </c>
      <c r="G887" s="8">
        <v>43198</v>
      </c>
      <c r="H887" s="1" t="s">
        <v>49</v>
      </c>
      <c r="I887" s="1">
        <v>1</v>
      </c>
      <c r="J887" s="1">
        <v>1</v>
      </c>
      <c r="K887" s="1">
        <v>0</v>
      </c>
      <c r="L887" s="1" t="s">
        <v>40</v>
      </c>
      <c r="M887" s="1">
        <v>1</v>
      </c>
      <c r="N887" s="1">
        <v>4</v>
      </c>
      <c r="O887" s="1">
        <v>0</v>
      </c>
      <c r="P887" s="11" t="str">
        <f t="shared" si="13"/>
        <v>平</v>
      </c>
      <c r="Q887" s="11" t="str">
        <f t="shared" si="13"/>
        <v>负</v>
      </c>
    </row>
    <row r="888" spans="4:17" customFormat="1" hidden="1" x14ac:dyDescent="0.15">
      <c r="D888" t="s">
        <v>6</v>
      </c>
      <c r="E888" s="1">
        <v>462690</v>
      </c>
      <c r="F888" s="1">
        <v>462690</v>
      </c>
      <c r="G888" s="8">
        <v>43199</v>
      </c>
      <c r="H888" s="1" t="s">
        <v>48</v>
      </c>
      <c r="I888" s="1">
        <v>1</v>
      </c>
      <c r="J888" s="1">
        <v>1</v>
      </c>
      <c r="K888" s="1">
        <v>0</v>
      </c>
      <c r="L888" s="1" t="s">
        <v>41</v>
      </c>
      <c r="M888" s="1">
        <v>0</v>
      </c>
      <c r="N888" s="1">
        <v>1</v>
      </c>
      <c r="O888" s="1">
        <v>0</v>
      </c>
      <c r="P888" s="11" t="str">
        <f t="shared" si="13"/>
        <v>胜</v>
      </c>
      <c r="Q888" s="11" t="str">
        <f t="shared" si="13"/>
        <v>平</v>
      </c>
    </row>
    <row r="889" spans="4:17" customFormat="1" hidden="1" x14ac:dyDescent="0.15">
      <c r="D889" t="s">
        <v>6</v>
      </c>
      <c r="E889" s="1">
        <v>462691</v>
      </c>
      <c r="F889" s="1">
        <v>462691</v>
      </c>
      <c r="G889" s="8">
        <v>43199</v>
      </c>
      <c r="H889" s="1" t="s">
        <v>53</v>
      </c>
      <c r="I889" s="1">
        <v>0</v>
      </c>
      <c r="J889" s="1">
        <v>4</v>
      </c>
      <c r="K889" s="1">
        <v>0</v>
      </c>
      <c r="L889" s="1" t="s">
        <v>57</v>
      </c>
      <c r="M889" s="1">
        <v>0</v>
      </c>
      <c r="N889" s="1">
        <v>0</v>
      </c>
      <c r="O889" s="1">
        <v>0</v>
      </c>
      <c r="P889" s="11" t="str">
        <f t="shared" si="13"/>
        <v>平</v>
      </c>
      <c r="Q889" s="11" t="str">
        <f t="shared" si="13"/>
        <v>胜</v>
      </c>
    </row>
    <row r="890" spans="4:17" customFormat="1" hidden="1" x14ac:dyDescent="0.15">
      <c r="D890" t="s">
        <v>6</v>
      </c>
      <c r="E890" s="1">
        <v>462692</v>
      </c>
      <c r="F890" s="1">
        <v>462692</v>
      </c>
      <c r="G890" s="8">
        <v>43198.999305555553</v>
      </c>
      <c r="H890" s="1" t="s">
        <v>54</v>
      </c>
      <c r="I890" s="1">
        <v>0</v>
      </c>
      <c r="J890" s="1">
        <v>1</v>
      </c>
      <c r="K890" s="1">
        <v>0</v>
      </c>
      <c r="L890" s="1" t="s">
        <v>32</v>
      </c>
      <c r="M890" s="1">
        <v>0</v>
      </c>
      <c r="N890" s="1">
        <v>0</v>
      </c>
      <c r="O890" s="1">
        <v>0</v>
      </c>
      <c r="P890" s="11" t="str">
        <f t="shared" si="13"/>
        <v>平</v>
      </c>
      <c r="Q890" s="11" t="str">
        <f t="shared" si="13"/>
        <v>胜</v>
      </c>
    </row>
    <row r="891" spans="4:17" customFormat="1" hidden="1" x14ac:dyDescent="0.15">
      <c r="D891" t="s">
        <v>6</v>
      </c>
      <c r="E891" s="1">
        <v>462693</v>
      </c>
      <c r="F891" s="1">
        <v>462693</v>
      </c>
      <c r="G891" s="8">
        <v>43199.000694444447</v>
      </c>
      <c r="H891" s="1" t="s">
        <v>46</v>
      </c>
      <c r="I891" s="1">
        <v>0</v>
      </c>
      <c r="J891" s="1">
        <v>1</v>
      </c>
      <c r="K891" s="1">
        <v>0</v>
      </c>
      <c r="L891" s="1" t="s">
        <v>56</v>
      </c>
      <c r="M891" s="1">
        <v>0</v>
      </c>
      <c r="N891" s="1">
        <v>0</v>
      </c>
      <c r="O891" s="1">
        <v>0</v>
      </c>
      <c r="P891" s="11" t="str">
        <f t="shared" si="13"/>
        <v>平</v>
      </c>
      <c r="Q891" s="11" t="str">
        <f t="shared" si="13"/>
        <v>胜</v>
      </c>
    </row>
    <row r="892" spans="4:17" customFormat="1" hidden="1" x14ac:dyDescent="0.15">
      <c r="D892" t="s">
        <v>6</v>
      </c>
      <c r="E892" s="1">
        <v>462694</v>
      </c>
      <c r="F892" s="1">
        <v>462694</v>
      </c>
      <c r="G892" s="8">
        <v>43199</v>
      </c>
      <c r="H892" s="1" t="s">
        <v>52</v>
      </c>
      <c r="I892" s="1">
        <v>1</v>
      </c>
      <c r="J892" s="1">
        <v>1</v>
      </c>
      <c r="K892" s="1">
        <v>0</v>
      </c>
      <c r="L892" s="1" t="s">
        <v>42</v>
      </c>
      <c r="M892" s="1">
        <v>1</v>
      </c>
      <c r="N892" s="1">
        <v>1</v>
      </c>
      <c r="O892" s="1">
        <v>0</v>
      </c>
      <c r="P892" s="11" t="str">
        <f t="shared" si="13"/>
        <v>平</v>
      </c>
      <c r="Q892" s="11" t="str">
        <f t="shared" si="13"/>
        <v>平</v>
      </c>
    </row>
    <row r="893" spans="4:17" customFormat="1" hidden="1" x14ac:dyDescent="0.15">
      <c r="D893" t="s">
        <v>6</v>
      </c>
      <c r="E893" s="1">
        <v>462695</v>
      </c>
      <c r="F893" s="1">
        <v>462695</v>
      </c>
      <c r="G893" s="8">
        <v>43199.083333333336</v>
      </c>
      <c r="H893" s="1" t="s">
        <v>37</v>
      </c>
      <c r="I893" s="1">
        <v>2</v>
      </c>
      <c r="J893" s="1">
        <v>4</v>
      </c>
      <c r="K893" s="1">
        <v>0</v>
      </c>
      <c r="L893" s="1" t="s">
        <v>38</v>
      </c>
      <c r="M893" s="1">
        <v>0</v>
      </c>
      <c r="N893" s="1">
        <v>0</v>
      </c>
      <c r="O893" s="1">
        <v>0</v>
      </c>
      <c r="P893" s="11" t="str">
        <f t="shared" si="13"/>
        <v>胜</v>
      </c>
      <c r="Q893" s="11" t="str">
        <f t="shared" si="13"/>
        <v>胜</v>
      </c>
    </row>
    <row r="894" spans="4:17" customFormat="1" hidden="1" x14ac:dyDescent="0.15">
      <c r="D894" t="s">
        <v>6</v>
      </c>
      <c r="E894" s="1">
        <v>463126</v>
      </c>
      <c r="F894" s="1">
        <v>463126</v>
      </c>
      <c r="G894" s="8">
        <v>43200.042361111111</v>
      </c>
      <c r="H894" s="1" t="s">
        <v>44</v>
      </c>
      <c r="I894" s="1">
        <v>1</v>
      </c>
      <c r="J894" s="1">
        <v>1</v>
      </c>
      <c r="K894" s="1">
        <v>0</v>
      </c>
      <c r="L894" s="1" t="s">
        <v>36</v>
      </c>
      <c r="M894" s="1">
        <v>0</v>
      </c>
      <c r="N894" s="1">
        <v>0</v>
      </c>
      <c r="O894" s="1">
        <v>0</v>
      </c>
      <c r="P894" s="11" t="str">
        <f t="shared" si="13"/>
        <v>胜</v>
      </c>
      <c r="Q894" s="11" t="str">
        <f t="shared" si="13"/>
        <v>胜</v>
      </c>
    </row>
    <row r="895" spans="4:17" customFormat="1" hidden="1" x14ac:dyDescent="0.15">
      <c r="D895" t="s">
        <v>6</v>
      </c>
      <c r="E895" s="1">
        <v>463940</v>
      </c>
      <c r="F895" s="1">
        <v>463940</v>
      </c>
      <c r="G895" s="8">
        <v>43202.020833333336</v>
      </c>
      <c r="H895" s="1" t="s">
        <v>52</v>
      </c>
      <c r="I895" s="1">
        <v>1</v>
      </c>
      <c r="J895" s="1">
        <v>1</v>
      </c>
      <c r="K895" s="1">
        <v>0</v>
      </c>
      <c r="L895" s="1" t="s">
        <v>57</v>
      </c>
      <c r="M895" s="1">
        <v>0</v>
      </c>
      <c r="N895" s="1">
        <v>2</v>
      </c>
      <c r="O895" s="1">
        <v>0</v>
      </c>
      <c r="P895" s="11" t="str">
        <f t="shared" si="13"/>
        <v>胜</v>
      </c>
      <c r="Q895" s="11" t="str">
        <f t="shared" si="13"/>
        <v>负</v>
      </c>
    </row>
    <row r="896" spans="4:17" customFormat="1" hidden="1" x14ac:dyDescent="0.15">
      <c r="D896" t="s">
        <v>6</v>
      </c>
      <c r="E896" s="1">
        <v>463953</v>
      </c>
      <c r="F896" s="1">
        <v>463953</v>
      </c>
      <c r="G896" s="8">
        <v>43202.020833333336</v>
      </c>
      <c r="H896" s="1" t="s">
        <v>53</v>
      </c>
      <c r="I896" s="1">
        <v>2</v>
      </c>
      <c r="J896" s="1">
        <v>3</v>
      </c>
      <c r="K896" s="1">
        <v>0</v>
      </c>
      <c r="L896" s="1" t="s">
        <v>40</v>
      </c>
      <c r="M896" s="1">
        <v>0</v>
      </c>
      <c r="N896" s="1">
        <v>1</v>
      </c>
      <c r="O896" s="1">
        <v>0</v>
      </c>
      <c r="P896" s="11" t="str">
        <f t="shared" si="13"/>
        <v>胜</v>
      </c>
      <c r="Q896" s="11" t="str">
        <f t="shared" si="13"/>
        <v>胜</v>
      </c>
    </row>
    <row r="897" spans="4:17" customFormat="1" hidden="1" x14ac:dyDescent="0.15">
      <c r="D897" t="s">
        <v>6</v>
      </c>
      <c r="E897" s="1">
        <v>465639</v>
      </c>
      <c r="F897" s="1">
        <v>465639</v>
      </c>
      <c r="G897" s="8">
        <v>43205.000694444447</v>
      </c>
      <c r="H897" s="1" t="s">
        <v>36</v>
      </c>
      <c r="I897" s="1">
        <v>1</v>
      </c>
      <c r="J897" s="1">
        <v>1</v>
      </c>
      <c r="K897" s="1">
        <v>0</v>
      </c>
      <c r="L897" s="1" t="s">
        <v>49</v>
      </c>
      <c r="M897" s="1">
        <v>2</v>
      </c>
      <c r="N897" s="1">
        <v>6</v>
      </c>
      <c r="O897" s="1">
        <v>0</v>
      </c>
      <c r="P897" s="11" t="str">
        <f t="shared" si="13"/>
        <v>负</v>
      </c>
      <c r="Q897" s="11" t="str">
        <f t="shared" si="13"/>
        <v>负</v>
      </c>
    </row>
    <row r="898" spans="4:17" customFormat="1" hidden="1" x14ac:dyDescent="0.15">
      <c r="D898" t="s">
        <v>6</v>
      </c>
      <c r="E898" s="1">
        <v>465811</v>
      </c>
      <c r="F898" s="1">
        <v>465811</v>
      </c>
      <c r="G898" s="8">
        <v>43206</v>
      </c>
      <c r="H898" s="1" t="s">
        <v>38</v>
      </c>
      <c r="I898" s="1">
        <v>1</v>
      </c>
      <c r="J898" s="1">
        <v>2</v>
      </c>
      <c r="K898" s="1">
        <v>0</v>
      </c>
      <c r="L898" s="1" t="s">
        <v>44</v>
      </c>
      <c r="M898" s="1">
        <v>1</v>
      </c>
      <c r="N898" s="1">
        <v>1</v>
      </c>
      <c r="O898" s="1">
        <v>0</v>
      </c>
      <c r="P898" s="11" t="str">
        <f t="shared" si="13"/>
        <v>平</v>
      </c>
      <c r="Q898" s="11" t="str">
        <f t="shared" si="13"/>
        <v>胜</v>
      </c>
    </row>
    <row r="899" spans="4:17" customFormat="1" hidden="1" x14ac:dyDescent="0.15">
      <c r="D899" t="s">
        <v>6</v>
      </c>
      <c r="E899" s="1">
        <v>465812</v>
      </c>
      <c r="F899" s="1">
        <v>465812</v>
      </c>
      <c r="G899" s="8">
        <v>43205.999305555553</v>
      </c>
      <c r="H899" s="1" t="s">
        <v>57</v>
      </c>
      <c r="I899" s="1">
        <v>2</v>
      </c>
      <c r="J899" s="1">
        <v>4</v>
      </c>
      <c r="K899" s="1">
        <v>0</v>
      </c>
      <c r="L899" s="1" t="s">
        <v>48</v>
      </c>
      <c r="M899" s="1">
        <v>1</v>
      </c>
      <c r="N899" s="1">
        <v>2</v>
      </c>
      <c r="O899" s="1">
        <v>0</v>
      </c>
      <c r="P899" s="11" t="str">
        <f t="shared" si="13"/>
        <v>胜</v>
      </c>
      <c r="Q899" s="11" t="str">
        <f t="shared" si="13"/>
        <v>胜</v>
      </c>
    </row>
    <row r="900" spans="4:17" customFormat="1" hidden="1" x14ac:dyDescent="0.15">
      <c r="D900" t="s">
        <v>6</v>
      </c>
      <c r="E900" s="1">
        <v>465813</v>
      </c>
      <c r="F900" s="1">
        <v>465813</v>
      </c>
      <c r="G900" s="8">
        <v>43206</v>
      </c>
      <c r="H900" s="1" t="s">
        <v>52</v>
      </c>
      <c r="I900" s="1">
        <v>1</v>
      </c>
      <c r="J900" s="1">
        <v>3</v>
      </c>
      <c r="K900" s="1">
        <v>0</v>
      </c>
      <c r="L900" s="1" t="s">
        <v>56</v>
      </c>
      <c r="M900" s="1">
        <v>1</v>
      </c>
      <c r="N900" s="1">
        <v>3</v>
      </c>
      <c r="O900" s="1">
        <v>0</v>
      </c>
      <c r="P900" s="11" t="str">
        <f t="shared" si="13"/>
        <v>平</v>
      </c>
      <c r="Q900" s="11" t="str">
        <f t="shared" si="13"/>
        <v>平</v>
      </c>
    </row>
    <row r="901" spans="4:17" customFormat="1" hidden="1" x14ac:dyDescent="0.15">
      <c r="D901" t="s">
        <v>6</v>
      </c>
      <c r="E901" s="1">
        <v>465814</v>
      </c>
      <c r="F901" s="1">
        <v>465814</v>
      </c>
      <c r="G901" s="8">
        <v>43206</v>
      </c>
      <c r="H901" s="1" t="s">
        <v>42</v>
      </c>
      <c r="I901" s="1">
        <v>1</v>
      </c>
      <c r="J901" s="1">
        <v>1</v>
      </c>
      <c r="K901" s="1">
        <v>0</v>
      </c>
      <c r="L901" s="1" t="s">
        <v>53</v>
      </c>
      <c r="M901" s="1">
        <v>1</v>
      </c>
      <c r="N901" s="1">
        <v>1</v>
      </c>
      <c r="O901" s="1">
        <v>0</v>
      </c>
      <c r="P901" s="11" t="str">
        <f t="shared" si="13"/>
        <v>平</v>
      </c>
      <c r="Q901" s="11" t="str">
        <f t="shared" si="13"/>
        <v>平</v>
      </c>
    </row>
    <row r="902" spans="4:17" customFormat="1" hidden="1" x14ac:dyDescent="0.15">
      <c r="D902" t="s">
        <v>6</v>
      </c>
      <c r="E902" s="1">
        <v>465815</v>
      </c>
      <c r="F902" s="1">
        <v>465815</v>
      </c>
      <c r="G902" s="8">
        <v>43205.999305555553</v>
      </c>
      <c r="H902" s="1" t="s">
        <v>40</v>
      </c>
      <c r="I902" s="1">
        <v>0</v>
      </c>
      <c r="J902" s="1">
        <v>3</v>
      </c>
      <c r="K902" s="1">
        <v>0</v>
      </c>
      <c r="L902" s="1" t="s">
        <v>54</v>
      </c>
      <c r="M902" s="1">
        <v>0</v>
      </c>
      <c r="N902" s="1">
        <v>0</v>
      </c>
      <c r="O902" s="1">
        <v>0</v>
      </c>
      <c r="P902" s="11" t="str">
        <f t="shared" si="13"/>
        <v>平</v>
      </c>
      <c r="Q902" s="11" t="str">
        <f t="shared" si="13"/>
        <v>胜</v>
      </c>
    </row>
    <row r="903" spans="4:17" customFormat="1" hidden="1" x14ac:dyDescent="0.15">
      <c r="D903" t="s">
        <v>6</v>
      </c>
      <c r="E903" s="1">
        <v>465816</v>
      </c>
      <c r="F903" s="1">
        <v>465816</v>
      </c>
      <c r="G903" s="8">
        <v>43206.083333333336</v>
      </c>
      <c r="H903" s="1" t="s">
        <v>41</v>
      </c>
      <c r="I903" s="1">
        <v>0</v>
      </c>
      <c r="J903" s="1">
        <v>1</v>
      </c>
      <c r="K903" s="1">
        <v>0</v>
      </c>
      <c r="L903" s="1" t="s">
        <v>46</v>
      </c>
      <c r="M903" s="1">
        <v>1</v>
      </c>
      <c r="N903" s="1">
        <v>2</v>
      </c>
      <c r="O903" s="1">
        <v>0</v>
      </c>
      <c r="P903" s="11" t="str">
        <f t="shared" si="13"/>
        <v>负</v>
      </c>
      <c r="Q903" s="11" t="str">
        <f t="shared" si="13"/>
        <v>负</v>
      </c>
    </row>
    <row r="904" spans="4:17" x14ac:dyDescent="0.15">
      <c r="D904" s="2" t="s">
        <v>6</v>
      </c>
      <c r="E904" s="6">
        <v>465817</v>
      </c>
      <c r="F904" s="6">
        <v>465817</v>
      </c>
      <c r="G904" s="24">
        <v>43207.041666666664</v>
      </c>
      <c r="H904" s="6" t="s">
        <v>32</v>
      </c>
      <c r="I904" s="6">
        <v>0</v>
      </c>
      <c r="J904" s="6">
        <v>0</v>
      </c>
      <c r="K904" s="6">
        <v>0</v>
      </c>
      <c r="L904" s="6" t="s">
        <v>37</v>
      </c>
      <c r="M904" s="6">
        <v>0</v>
      </c>
      <c r="N904" s="6">
        <v>1</v>
      </c>
      <c r="O904" s="6">
        <v>0</v>
      </c>
      <c r="P904" s="11" t="str">
        <f t="shared" si="13"/>
        <v>平</v>
      </c>
      <c r="Q904" s="11" t="str">
        <f t="shared" si="13"/>
        <v>负</v>
      </c>
    </row>
    <row r="905" spans="4:17" customFormat="1" hidden="1" x14ac:dyDescent="0.15">
      <c r="D905" t="s">
        <v>6</v>
      </c>
      <c r="E905" s="1">
        <v>468918</v>
      </c>
      <c r="F905" s="1">
        <v>468918</v>
      </c>
      <c r="G905" s="8">
        <v>43212.000694444447</v>
      </c>
      <c r="H905" s="1" t="s">
        <v>46</v>
      </c>
      <c r="I905" s="1">
        <v>2</v>
      </c>
      <c r="J905" s="1">
        <v>3</v>
      </c>
      <c r="K905" s="1">
        <v>0</v>
      </c>
      <c r="L905" s="1" t="s">
        <v>42</v>
      </c>
      <c r="M905" s="1">
        <v>0</v>
      </c>
      <c r="N905" s="1">
        <v>0</v>
      </c>
      <c r="O905" s="1">
        <v>0</v>
      </c>
      <c r="P905" s="11" t="str">
        <f t="shared" si="13"/>
        <v>胜</v>
      </c>
      <c r="Q905" s="11" t="str">
        <f t="shared" si="13"/>
        <v>胜</v>
      </c>
    </row>
    <row r="906" spans="4:17" customFormat="1" hidden="1" x14ac:dyDescent="0.15">
      <c r="D906" t="s">
        <v>6</v>
      </c>
      <c r="E906" s="1">
        <v>469177</v>
      </c>
      <c r="F906" s="1">
        <v>469177</v>
      </c>
      <c r="G906" s="8">
        <v>43213</v>
      </c>
      <c r="H906" s="1" t="s">
        <v>48</v>
      </c>
      <c r="I906" s="1">
        <v>1</v>
      </c>
      <c r="J906" s="1">
        <v>1</v>
      </c>
      <c r="K906" s="1">
        <v>0</v>
      </c>
      <c r="L906" s="1" t="s">
        <v>40</v>
      </c>
      <c r="M906" s="1">
        <v>0</v>
      </c>
      <c r="N906" s="1">
        <v>0</v>
      </c>
      <c r="O906" s="1">
        <v>0</v>
      </c>
      <c r="P906" s="11" t="str">
        <f t="shared" si="13"/>
        <v>胜</v>
      </c>
      <c r="Q906" s="11" t="str">
        <f t="shared" si="13"/>
        <v>胜</v>
      </c>
    </row>
    <row r="907" spans="4:17" customFormat="1" hidden="1" x14ac:dyDescent="0.15">
      <c r="D907" t="s">
        <v>6</v>
      </c>
      <c r="E907" s="1">
        <v>469178</v>
      </c>
      <c r="F907" s="1">
        <v>469178</v>
      </c>
      <c r="G907" s="8">
        <v>43213</v>
      </c>
      <c r="H907" s="1" t="s">
        <v>56</v>
      </c>
      <c r="I907" s="1">
        <v>1</v>
      </c>
      <c r="J907" s="1">
        <v>1</v>
      </c>
      <c r="K907" s="1">
        <v>0</v>
      </c>
      <c r="L907" s="1" t="s">
        <v>32</v>
      </c>
      <c r="M907" s="1">
        <v>1</v>
      </c>
      <c r="N907" s="1">
        <v>1</v>
      </c>
      <c r="O907" s="1">
        <v>0</v>
      </c>
      <c r="P907" s="11" t="str">
        <f t="shared" si="13"/>
        <v>平</v>
      </c>
      <c r="Q907" s="11" t="str">
        <f t="shared" si="13"/>
        <v>平</v>
      </c>
    </row>
    <row r="908" spans="4:17" customFormat="1" hidden="1" x14ac:dyDescent="0.15">
      <c r="D908" t="s">
        <v>6</v>
      </c>
      <c r="E908" s="1">
        <v>469179</v>
      </c>
      <c r="F908" s="1">
        <v>469179</v>
      </c>
      <c r="G908" s="8">
        <v>43213</v>
      </c>
      <c r="H908" s="1" t="s">
        <v>44</v>
      </c>
      <c r="I908" s="1">
        <v>0</v>
      </c>
      <c r="J908" s="1">
        <v>0</v>
      </c>
      <c r="K908" s="1">
        <v>0</v>
      </c>
      <c r="L908" s="1" t="s">
        <v>57</v>
      </c>
      <c r="M908" s="1">
        <v>0</v>
      </c>
      <c r="N908" s="1">
        <v>1</v>
      </c>
      <c r="O908" s="1">
        <v>0</v>
      </c>
      <c r="P908" s="11" t="str">
        <f t="shared" si="13"/>
        <v>平</v>
      </c>
      <c r="Q908" s="11" t="str">
        <f t="shared" si="13"/>
        <v>负</v>
      </c>
    </row>
    <row r="909" spans="4:17" customFormat="1" hidden="1" x14ac:dyDescent="0.15">
      <c r="D909" t="s">
        <v>6</v>
      </c>
      <c r="E909" s="1">
        <v>469180</v>
      </c>
      <c r="F909" s="1">
        <v>469180</v>
      </c>
      <c r="G909" s="8">
        <v>43213</v>
      </c>
      <c r="H909" s="1" t="s">
        <v>37</v>
      </c>
      <c r="I909" s="1">
        <v>0</v>
      </c>
      <c r="J909" s="1">
        <v>2</v>
      </c>
      <c r="K909" s="1">
        <v>0</v>
      </c>
      <c r="L909" s="1" t="s">
        <v>36</v>
      </c>
      <c r="M909" s="1">
        <v>0</v>
      </c>
      <c r="N909" s="1">
        <v>0</v>
      </c>
      <c r="O909" s="1">
        <v>0</v>
      </c>
      <c r="P909" s="11" t="str">
        <f t="shared" ref="P909:Q972" si="14">IF(I909=M909,"平",IF(I909&gt;M909,"胜","负"))</f>
        <v>平</v>
      </c>
      <c r="Q909" s="11" t="str">
        <f t="shared" si="14"/>
        <v>胜</v>
      </c>
    </row>
    <row r="910" spans="4:17" customFormat="1" hidden="1" x14ac:dyDescent="0.15">
      <c r="D910" t="s">
        <v>6</v>
      </c>
      <c r="E910" s="1">
        <v>469181</v>
      </c>
      <c r="F910" s="1">
        <v>469181</v>
      </c>
      <c r="G910" s="8">
        <v>43213</v>
      </c>
      <c r="H910" s="1" t="s">
        <v>53</v>
      </c>
      <c r="I910" s="1">
        <v>4</v>
      </c>
      <c r="J910" s="1">
        <v>4</v>
      </c>
      <c r="K910" s="1">
        <v>0</v>
      </c>
      <c r="L910" s="1" t="s">
        <v>52</v>
      </c>
      <c r="M910" s="1">
        <v>1</v>
      </c>
      <c r="N910" s="1">
        <v>1</v>
      </c>
      <c r="O910" s="1">
        <v>0</v>
      </c>
      <c r="P910" s="11" t="str">
        <f t="shared" si="14"/>
        <v>胜</v>
      </c>
      <c r="Q910" s="11" t="str">
        <f t="shared" si="14"/>
        <v>胜</v>
      </c>
    </row>
    <row r="911" spans="4:17" customFormat="1" hidden="1" x14ac:dyDescent="0.15">
      <c r="D911" t="s">
        <v>6</v>
      </c>
      <c r="E911" s="1">
        <v>469182</v>
      </c>
      <c r="F911" s="1">
        <v>469182</v>
      </c>
      <c r="G911" s="8">
        <v>43213.083333333336</v>
      </c>
      <c r="H911" s="1" t="s">
        <v>49</v>
      </c>
      <c r="I911" s="1">
        <v>0</v>
      </c>
      <c r="J911" s="1">
        <v>0</v>
      </c>
      <c r="K911" s="1">
        <v>0</v>
      </c>
      <c r="L911" s="1" t="s">
        <v>38</v>
      </c>
      <c r="M911" s="1">
        <v>0</v>
      </c>
      <c r="N911" s="1">
        <v>0</v>
      </c>
      <c r="O911" s="1">
        <v>0</v>
      </c>
      <c r="P911" s="11" t="str">
        <f t="shared" si="14"/>
        <v>平</v>
      </c>
      <c r="Q911" s="11" t="str">
        <f t="shared" si="14"/>
        <v>平</v>
      </c>
    </row>
    <row r="912" spans="4:17" customFormat="1" hidden="1" x14ac:dyDescent="0.15">
      <c r="D912" t="s">
        <v>6</v>
      </c>
      <c r="E912" s="1">
        <v>469183</v>
      </c>
      <c r="F912" s="1">
        <v>469183</v>
      </c>
      <c r="G912" s="8">
        <v>43214.040972222225</v>
      </c>
      <c r="H912" s="1" t="s">
        <v>54</v>
      </c>
      <c r="I912" s="1">
        <v>1</v>
      </c>
      <c r="J912" s="1">
        <v>3</v>
      </c>
      <c r="K912" s="1">
        <v>0</v>
      </c>
      <c r="L912" s="1" t="s">
        <v>41</v>
      </c>
      <c r="M912" s="1">
        <v>1</v>
      </c>
      <c r="N912" s="1">
        <v>1</v>
      </c>
      <c r="O912" s="1">
        <v>0</v>
      </c>
      <c r="P912" s="11" t="str">
        <f t="shared" si="14"/>
        <v>平</v>
      </c>
      <c r="Q912" s="11" t="str">
        <f t="shared" si="14"/>
        <v>胜</v>
      </c>
    </row>
    <row r="913" spans="4:17" customFormat="1" hidden="1" x14ac:dyDescent="0.15">
      <c r="D913" t="s">
        <v>6</v>
      </c>
      <c r="E913" s="1">
        <v>470280</v>
      </c>
      <c r="F913" s="1">
        <v>470280</v>
      </c>
      <c r="G913" s="8">
        <v>43216.020833333336</v>
      </c>
      <c r="H913" s="1" t="s">
        <v>42</v>
      </c>
      <c r="I913" s="1">
        <v>0</v>
      </c>
      <c r="J913" s="1">
        <v>1</v>
      </c>
      <c r="K913" s="1">
        <v>0</v>
      </c>
      <c r="L913" s="1" t="s">
        <v>36</v>
      </c>
      <c r="M913" s="1">
        <v>0</v>
      </c>
      <c r="N913" s="1">
        <v>1</v>
      </c>
      <c r="O913" s="1">
        <v>0</v>
      </c>
      <c r="P913" s="11" t="str">
        <f t="shared" si="14"/>
        <v>平</v>
      </c>
      <c r="Q913" s="11" t="str">
        <f t="shared" si="14"/>
        <v>平</v>
      </c>
    </row>
    <row r="914" spans="4:17" customFormat="1" hidden="1" x14ac:dyDescent="0.15">
      <c r="D914" t="s">
        <v>6</v>
      </c>
      <c r="E914" s="1">
        <v>470281</v>
      </c>
      <c r="F914" s="1">
        <v>470281</v>
      </c>
      <c r="G914" s="8">
        <v>43216.020833333336</v>
      </c>
      <c r="H914" s="1" t="s">
        <v>57</v>
      </c>
      <c r="I914" s="1">
        <v>0</v>
      </c>
      <c r="J914" s="1">
        <v>0</v>
      </c>
      <c r="K914" s="1">
        <v>0</v>
      </c>
      <c r="L914" s="1" t="s">
        <v>46</v>
      </c>
      <c r="M914" s="1">
        <v>1</v>
      </c>
      <c r="N914" s="1">
        <v>2</v>
      </c>
      <c r="O914" s="1">
        <v>0</v>
      </c>
      <c r="P914" s="11" t="str">
        <f t="shared" si="14"/>
        <v>负</v>
      </c>
      <c r="Q914" s="11" t="str">
        <f t="shared" si="14"/>
        <v>负</v>
      </c>
    </row>
    <row r="915" spans="4:17" customFormat="1" hidden="1" x14ac:dyDescent="0.15">
      <c r="D915" t="s">
        <v>6</v>
      </c>
      <c r="E915" s="1">
        <v>472111</v>
      </c>
      <c r="F915" s="1">
        <v>472111</v>
      </c>
      <c r="G915" s="8">
        <v>43219</v>
      </c>
      <c r="H915" s="1" t="s">
        <v>57</v>
      </c>
      <c r="I915" s="1">
        <v>1</v>
      </c>
      <c r="J915" s="1">
        <v>2</v>
      </c>
      <c r="K915" s="1">
        <v>0</v>
      </c>
      <c r="L915" s="1" t="s">
        <v>49</v>
      </c>
      <c r="M915" s="1">
        <v>1</v>
      </c>
      <c r="N915" s="1">
        <v>2</v>
      </c>
      <c r="O915" s="1">
        <v>0</v>
      </c>
      <c r="P915" s="11" t="str">
        <f t="shared" si="14"/>
        <v>平</v>
      </c>
      <c r="Q915" s="11" t="str">
        <f t="shared" si="14"/>
        <v>平</v>
      </c>
    </row>
    <row r="916" spans="4:17" customFormat="1" hidden="1" x14ac:dyDescent="0.15">
      <c r="D916" t="s">
        <v>6</v>
      </c>
      <c r="E916" s="1">
        <v>472307</v>
      </c>
      <c r="F916" s="1">
        <v>472307</v>
      </c>
      <c r="G916" s="8">
        <v>43220</v>
      </c>
      <c r="H916" s="1" t="s">
        <v>36</v>
      </c>
      <c r="I916" s="1">
        <v>0</v>
      </c>
      <c r="J916" s="1">
        <v>0</v>
      </c>
      <c r="K916" s="1">
        <v>0</v>
      </c>
      <c r="L916" s="1" t="s">
        <v>48</v>
      </c>
      <c r="M916" s="1">
        <v>0</v>
      </c>
      <c r="N916" s="1">
        <v>1</v>
      </c>
      <c r="O916" s="1">
        <v>0</v>
      </c>
      <c r="P916" s="11" t="str">
        <f t="shared" si="14"/>
        <v>平</v>
      </c>
      <c r="Q916" s="11" t="str">
        <f t="shared" si="14"/>
        <v>负</v>
      </c>
    </row>
    <row r="917" spans="4:17" customFormat="1" hidden="1" x14ac:dyDescent="0.15">
      <c r="D917" t="s">
        <v>6</v>
      </c>
      <c r="E917" s="1">
        <v>472308</v>
      </c>
      <c r="F917" s="1">
        <v>472308</v>
      </c>
      <c r="G917" s="8">
        <v>43220</v>
      </c>
      <c r="H917" s="1" t="s">
        <v>38</v>
      </c>
      <c r="I917" s="1">
        <v>0</v>
      </c>
      <c r="J917" s="1">
        <v>0</v>
      </c>
      <c r="K917" s="1">
        <v>0</v>
      </c>
      <c r="L917" s="1" t="s">
        <v>54</v>
      </c>
      <c r="M917" s="1">
        <v>1</v>
      </c>
      <c r="N917" s="1">
        <v>1</v>
      </c>
      <c r="O917" s="1">
        <v>0</v>
      </c>
      <c r="P917" s="11" t="str">
        <f t="shared" si="14"/>
        <v>负</v>
      </c>
      <c r="Q917" s="11" t="str">
        <f t="shared" si="14"/>
        <v>负</v>
      </c>
    </row>
    <row r="918" spans="4:17" customFormat="1" hidden="1" x14ac:dyDescent="0.15">
      <c r="D918" t="s">
        <v>6</v>
      </c>
      <c r="E918" s="1">
        <v>472317</v>
      </c>
      <c r="F918" s="1">
        <v>472317</v>
      </c>
      <c r="G918" s="8">
        <v>43220</v>
      </c>
      <c r="H918" s="1" t="s">
        <v>52</v>
      </c>
      <c r="I918" s="1">
        <v>0</v>
      </c>
      <c r="J918" s="1">
        <v>0</v>
      </c>
      <c r="K918" s="1">
        <v>0</v>
      </c>
      <c r="L918" s="1" t="s">
        <v>46</v>
      </c>
      <c r="M918" s="1">
        <v>0</v>
      </c>
      <c r="N918" s="1">
        <v>1</v>
      </c>
      <c r="O918" s="1">
        <v>0</v>
      </c>
      <c r="P918" s="11" t="str">
        <f t="shared" si="14"/>
        <v>平</v>
      </c>
      <c r="Q918" s="11" t="str">
        <f t="shared" si="14"/>
        <v>负</v>
      </c>
    </row>
    <row r="919" spans="4:17" customFormat="1" hidden="1" x14ac:dyDescent="0.15">
      <c r="D919" t="s">
        <v>6</v>
      </c>
      <c r="E919" s="1">
        <v>472318</v>
      </c>
      <c r="F919" s="1">
        <v>472318</v>
      </c>
      <c r="G919" s="8">
        <v>43220</v>
      </c>
      <c r="H919" s="1" t="s">
        <v>41</v>
      </c>
      <c r="I919" s="1">
        <v>0</v>
      </c>
      <c r="J919" s="1">
        <v>0</v>
      </c>
      <c r="K919" s="1">
        <v>0</v>
      </c>
      <c r="L919" s="1" t="s">
        <v>32</v>
      </c>
      <c r="M919" s="1">
        <v>0</v>
      </c>
      <c r="N919" s="1">
        <v>0</v>
      </c>
      <c r="O919" s="1">
        <v>0</v>
      </c>
      <c r="P919" s="11" t="str">
        <f t="shared" si="14"/>
        <v>平</v>
      </c>
      <c r="Q919" s="11" t="str">
        <f t="shared" si="14"/>
        <v>平</v>
      </c>
    </row>
    <row r="920" spans="4:17" customFormat="1" hidden="1" x14ac:dyDescent="0.15">
      <c r="D920" t="s">
        <v>6</v>
      </c>
      <c r="E920" s="1">
        <v>472319</v>
      </c>
      <c r="F920" s="1">
        <v>472319</v>
      </c>
      <c r="G920" s="8">
        <v>43220</v>
      </c>
      <c r="H920" s="1" t="s">
        <v>53</v>
      </c>
      <c r="I920" s="1">
        <v>0</v>
      </c>
      <c r="J920" s="1">
        <v>0</v>
      </c>
      <c r="K920" s="1">
        <v>0</v>
      </c>
      <c r="L920" s="1" t="s">
        <v>56</v>
      </c>
      <c r="M920" s="1">
        <v>0</v>
      </c>
      <c r="N920" s="1">
        <v>0</v>
      </c>
      <c r="O920" s="1">
        <v>0</v>
      </c>
      <c r="P920" s="11" t="str">
        <f t="shared" si="14"/>
        <v>平</v>
      </c>
      <c r="Q920" s="11" t="str">
        <f t="shared" si="14"/>
        <v>平</v>
      </c>
    </row>
    <row r="921" spans="4:17" customFormat="1" hidden="1" x14ac:dyDescent="0.15">
      <c r="D921" t="s">
        <v>6</v>
      </c>
      <c r="E921" s="1">
        <v>472320</v>
      </c>
      <c r="F921" s="1">
        <v>472320</v>
      </c>
      <c r="G921" s="8">
        <v>43220.083333333336</v>
      </c>
      <c r="H921" s="1" t="s">
        <v>40</v>
      </c>
      <c r="I921" s="1">
        <v>0</v>
      </c>
      <c r="J921" s="1">
        <v>0</v>
      </c>
      <c r="K921" s="1">
        <v>0</v>
      </c>
      <c r="L921" s="1" t="s">
        <v>37</v>
      </c>
      <c r="M921" s="1">
        <v>1</v>
      </c>
      <c r="N921" s="1">
        <v>1</v>
      </c>
      <c r="O921" s="1">
        <v>0</v>
      </c>
      <c r="P921" s="11" t="str">
        <f t="shared" si="14"/>
        <v>负</v>
      </c>
      <c r="Q921" s="11" t="str">
        <f t="shared" si="14"/>
        <v>负</v>
      </c>
    </row>
    <row r="922" spans="4:17" customFormat="1" hidden="1" x14ac:dyDescent="0.15">
      <c r="D922" t="s">
        <v>6</v>
      </c>
      <c r="E922" s="1">
        <v>472321</v>
      </c>
      <c r="F922" s="1">
        <v>472321</v>
      </c>
      <c r="G922" s="8">
        <v>43221.042361111111</v>
      </c>
      <c r="H922" s="1" t="s">
        <v>42</v>
      </c>
      <c r="I922" s="1">
        <v>1</v>
      </c>
      <c r="J922" s="1">
        <v>3</v>
      </c>
      <c r="K922" s="1">
        <v>0</v>
      </c>
      <c r="L922" s="1" t="s">
        <v>44</v>
      </c>
      <c r="M922" s="1">
        <v>1</v>
      </c>
      <c r="N922" s="1">
        <v>2</v>
      </c>
      <c r="O922" s="1">
        <v>0</v>
      </c>
      <c r="P922" s="11" t="str">
        <f t="shared" si="14"/>
        <v>平</v>
      </c>
      <c r="Q922" s="11" t="str">
        <f t="shared" si="14"/>
        <v>胜</v>
      </c>
    </row>
    <row r="923" spans="4:17" customFormat="1" hidden="1" x14ac:dyDescent="0.15">
      <c r="D923" t="s">
        <v>6</v>
      </c>
      <c r="E923" s="1">
        <v>475346</v>
      </c>
      <c r="F923" s="1">
        <v>475346</v>
      </c>
      <c r="G923" s="8">
        <v>43226</v>
      </c>
      <c r="H923" s="1" t="s">
        <v>37</v>
      </c>
      <c r="I923" s="1">
        <v>0</v>
      </c>
      <c r="J923" s="1">
        <v>1</v>
      </c>
      <c r="K923" s="1">
        <v>0</v>
      </c>
      <c r="L923" s="1" t="s">
        <v>57</v>
      </c>
      <c r="M923" s="1">
        <v>0</v>
      </c>
      <c r="N923" s="1">
        <v>1</v>
      </c>
      <c r="O923" s="1">
        <v>0</v>
      </c>
      <c r="P923" s="11" t="str">
        <f t="shared" si="14"/>
        <v>平</v>
      </c>
      <c r="Q923" s="11" t="str">
        <f t="shared" si="14"/>
        <v>平</v>
      </c>
    </row>
    <row r="924" spans="4:17" x14ac:dyDescent="0.15">
      <c r="D924" s="2" t="s">
        <v>6</v>
      </c>
      <c r="E924" s="6">
        <v>475558</v>
      </c>
      <c r="F924" s="6">
        <v>475558</v>
      </c>
      <c r="G924" s="24">
        <v>43226.999305555553</v>
      </c>
      <c r="H924" s="6" t="s">
        <v>32</v>
      </c>
      <c r="I924" s="6">
        <v>1</v>
      </c>
      <c r="J924" s="6">
        <v>2</v>
      </c>
      <c r="K924" s="6">
        <v>0</v>
      </c>
      <c r="L924" s="6" t="s">
        <v>40</v>
      </c>
      <c r="M924" s="6">
        <v>1</v>
      </c>
      <c r="N924" s="6">
        <v>2</v>
      </c>
      <c r="O924" s="6">
        <v>0</v>
      </c>
      <c r="P924" s="11" t="str">
        <f t="shared" si="14"/>
        <v>平</v>
      </c>
      <c r="Q924" s="11" t="str">
        <f t="shared" si="14"/>
        <v>平</v>
      </c>
    </row>
    <row r="925" spans="4:17" customFormat="1" hidden="1" x14ac:dyDescent="0.15">
      <c r="D925" t="s">
        <v>6</v>
      </c>
      <c r="E925" s="1">
        <v>475559</v>
      </c>
      <c r="F925" s="1">
        <v>475559</v>
      </c>
      <c r="G925" s="8">
        <v>43226.999305555553</v>
      </c>
      <c r="H925" s="1" t="s">
        <v>54</v>
      </c>
      <c r="I925" s="1">
        <v>2</v>
      </c>
      <c r="J925" s="1">
        <v>3</v>
      </c>
      <c r="K925" s="1">
        <v>0</v>
      </c>
      <c r="L925" s="1" t="s">
        <v>36</v>
      </c>
      <c r="M925" s="1">
        <v>0</v>
      </c>
      <c r="N925" s="1">
        <v>0</v>
      </c>
      <c r="O925" s="1">
        <v>0</v>
      </c>
      <c r="P925" s="11" t="str">
        <f t="shared" si="14"/>
        <v>胜</v>
      </c>
      <c r="Q925" s="11" t="str">
        <f t="shared" si="14"/>
        <v>胜</v>
      </c>
    </row>
    <row r="926" spans="4:17" customFormat="1" hidden="1" x14ac:dyDescent="0.15">
      <c r="D926" t="s">
        <v>6</v>
      </c>
      <c r="E926" s="1">
        <v>475560</v>
      </c>
      <c r="F926" s="1">
        <v>475560</v>
      </c>
      <c r="G926" s="8">
        <v>43227.084027777775</v>
      </c>
      <c r="H926" s="1" t="s">
        <v>46</v>
      </c>
      <c r="I926" s="1">
        <v>2</v>
      </c>
      <c r="J926" s="1">
        <v>3</v>
      </c>
      <c r="K926" s="1">
        <v>0</v>
      </c>
      <c r="L926" s="1" t="s">
        <v>53</v>
      </c>
      <c r="M926" s="1">
        <v>0</v>
      </c>
      <c r="N926" s="1">
        <v>0</v>
      </c>
      <c r="O926" s="1">
        <v>0</v>
      </c>
      <c r="P926" s="11" t="str">
        <f t="shared" si="14"/>
        <v>胜</v>
      </c>
      <c r="Q926" s="11" t="str">
        <f t="shared" si="14"/>
        <v>胜</v>
      </c>
    </row>
    <row r="927" spans="4:17" customFormat="1" hidden="1" x14ac:dyDescent="0.15">
      <c r="D927" t="s">
        <v>6</v>
      </c>
      <c r="E927" s="1">
        <v>475561</v>
      </c>
      <c r="F927" s="1">
        <v>475561</v>
      </c>
      <c r="G927" s="8">
        <v>43228.041666666664</v>
      </c>
      <c r="H927" s="1" t="s">
        <v>41</v>
      </c>
      <c r="I927" s="1">
        <v>2</v>
      </c>
      <c r="J927" s="1">
        <v>2</v>
      </c>
      <c r="K927" s="1">
        <v>0</v>
      </c>
      <c r="L927" s="1" t="s">
        <v>38</v>
      </c>
      <c r="M927" s="1">
        <v>2</v>
      </c>
      <c r="N927" s="1">
        <v>2</v>
      </c>
      <c r="O927" s="1">
        <v>0</v>
      </c>
      <c r="P927" s="11" t="str">
        <f t="shared" si="14"/>
        <v>平</v>
      </c>
      <c r="Q927" s="11" t="str">
        <f t="shared" si="14"/>
        <v>平</v>
      </c>
    </row>
    <row r="928" spans="4:17" customFormat="1" hidden="1" x14ac:dyDescent="0.15">
      <c r="D928" t="s">
        <v>6</v>
      </c>
      <c r="E928" s="1">
        <v>475562</v>
      </c>
      <c r="F928" s="1">
        <v>475562</v>
      </c>
      <c r="G928" s="8">
        <v>43227</v>
      </c>
      <c r="H928" s="1" t="s">
        <v>56</v>
      </c>
      <c r="I928" s="1">
        <v>0</v>
      </c>
      <c r="J928" s="1">
        <v>1</v>
      </c>
      <c r="K928" s="1">
        <v>0</v>
      </c>
      <c r="L928" s="1" t="s">
        <v>42</v>
      </c>
      <c r="M928" s="1">
        <v>0</v>
      </c>
      <c r="N928" s="1">
        <v>0</v>
      </c>
      <c r="O928" s="1">
        <v>0</v>
      </c>
      <c r="P928" s="11" t="str">
        <f t="shared" si="14"/>
        <v>平</v>
      </c>
      <c r="Q928" s="11" t="str">
        <f t="shared" si="14"/>
        <v>胜</v>
      </c>
    </row>
    <row r="929" spans="4:17" customFormat="1" hidden="1" x14ac:dyDescent="0.15">
      <c r="D929" t="s">
        <v>6</v>
      </c>
      <c r="E929" s="1">
        <v>475563</v>
      </c>
      <c r="F929" s="1">
        <v>475563</v>
      </c>
      <c r="G929" s="8">
        <v>43227.000694444447</v>
      </c>
      <c r="H929" s="1" t="s">
        <v>44</v>
      </c>
      <c r="I929" s="1">
        <v>1</v>
      </c>
      <c r="J929" s="1">
        <v>1</v>
      </c>
      <c r="K929" s="1">
        <v>0</v>
      </c>
      <c r="L929" s="1" t="s">
        <v>52</v>
      </c>
      <c r="M929" s="1">
        <v>0</v>
      </c>
      <c r="N929" s="1">
        <v>0</v>
      </c>
      <c r="O929" s="1">
        <v>0</v>
      </c>
      <c r="P929" s="11" t="str">
        <f t="shared" si="14"/>
        <v>胜</v>
      </c>
      <c r="Q929" s="11" t="str">
        <f t="shared" si="14"/>
        <v>胜</v>
      </c>
    </row>
    <row r="930" spans="4:17" customFormat="1" hidden="1" x14ac:dyDescent="0.15">
      <c r="D930" t="s">
        <v>6</v>
      </c>
      <c r="E930" s="1">
        <v>475564</v>
      </c>
      <c r="F930" s="1">
        <v>475564</v>
      </c>
      <c r="G930" s="8">
        <v>43227</v>
      </c>
      <c r="H930" s="1" t="s">
        <v>49</v>
      </c>
      <c r="I930" s="1">
        <v>1</v>
      </c>
      <c r="J930" s="1">
        <v>2</v>
      </c>
      <c r="K930" s="1">
        <v>0</v>
      </c>
      <c r="L930" s="1" t="s">
        <v>48</v>
      </c>
      <c r="M930" s="1">
        <v>1</v>
      </c>
      <c r="N930" s="1">
        <v>2</v>
      </c>
      <c r="O930" s="1">
        <v>0</v>
      </c>
      <c r="P930" s="11" t="str">
        <f t="shared" si="14"/>
        <v>平</v>
      </c>
      <c r="Q930" s="11" t="str">
        <f t="shared" si="14"/>
        <v>平</v>
      </c>
    </row>
    <row r="931" spans="4:17" customFormat="1" hidden="1" x14ac:dyDescent="0.15">
      <c r="D931" t="s">
        <v>6</v>
      </c>
      <c r="E931" s="1">
        <v>478015</v>
      </c>
      <c r="F931" s="1">
        <v>478015</v>
      </c>
      <c r="G931" s="8">
        <v>43232.895833333336</v>
      </c>
      <c r="H931" s="1" t="s">
        <v>52</v>
      </c>
      <c r="I931" s="1">
        <v>0</v>
      </c>
      <c r="J931" s="1">
        <v>0</v>
      </c>
      <c r="K931" s="1">
        <v>0</v>
      </c>
      <c r="L931" s="1" t="s">
        <v>49</v>
      </c>
      <c r="M931" s="1">
        <v>0</v>
      </c>
      <c r="N931" s="1">
        <v>1</v>
      </c>
      <c r="O931" s="1">
        <v>0</v>
      </c>
      <c r="P931" s="11" t="str">
        <f t="shared" si="14"/>
        <v>平</v>
      </c>
      <c r="Q931" s="11" t="str">
        <f t="shared" si="14"/>
        <v>负</v>
      </c>
    </row>
    <row r="932" spans="4:17" customFormat="1" hidden="1" x14ac:dyDescent="0.15">
      <c r="D932" t="s">
        <v>6</v>
      </c>
      <c r="E932" s="1">
        <v>478454</v>
      </c>
      <c r="F932" s="1">
        <v>478454</v>
      </c>
      <c r="G932" s="8">
        <v>43233</v>
      </c>
      <c r="H932" s="1" t="s">
        <v>36</v>
      </c>
      <c r="I932" s="1">
        <v>0</v>
      </c>
      <c r="J932" s="1">
        <v>0</v>
      </c>
      <c r="K932" s="1">
        <v>0</v>
      </c>
      <c r="L932" s="1" t="s">
        <v>46</v>
      </c>
      <c r="M932" s="1">
        <v>0</v>
      </c>
      <c r="N932" s="1">
        <v>1</v>
      </c>
      <c r="O932" s="1">
        <v>0</v>
      </c>
      <c r="P932" s="11" t="str">
        <f t="shared" si="14"/>
        <v>平</v>
      </c>
      <c r="Q932" s="11" t="str">
        <f t="shared" si="14"/>
        <v>负</v>
      </c>
    </row>
    <row r="933" spans="4:17" customFormat="1" hidden="1" x14ac:dyDescent="0.15">
      <c r="D933" t="s">
        <v>6</v>
      </c>
      <c r="E933" s="1">
        <v>478776</v>
      </c>
      <c r="F933" s="1">
        <v>478776</v>
      </c>
      <c r="G933" s="8">
        <v>43234.003472222219</v>
      </c>
      <c r="H933" s="1" t="s">
        <v>57</v>
      </c>
      <c r="I933" s="1">
        <v>2</v>
      </c>
      <c r="J933" s="1">
        <v>3</v>
      </c>
      <c r="K933" s="1">
        <v>0</v>
      </c>
      <c r="L933" s="1" t="s">
        <v>54</v>
      </c>
      <c r="M933" s="1">
        <v>1</v>
      </c>
      <c r="N933" s="1">
        <v>1</v>
      </c>
      <c r="O933" s="1">
        <v>0</v>
      </c>
      <c r="P933" s="11" t="str">
        <f t="shared" si="14"/>
        <v>胜</v>
      </c>
      <c r="Q933" s="11" t="str">
        <f t="shared" si="14"/>
        <v>胜</v>
      </c>
    </row>
    <row r="934" spans="4:17" customFormat="1" hidden="1" x14ac:dyDescent="0.15">
      <c r="D934" t="s">
        <v>6</v>
      </c>
      <c r="E934" s="1">
        <v>478777</v>
      </c>
      <c r="F934" s="1">
        <v>478777</v>
      </c>
      <c r="G934" s="8">
        <v>43234.003472222219</v>
      </c>
      <c r="H934" s="1" t="s">
        <v>48</v>
      </c>
      <c r="I934" s="1">
        <v>1</v>
      </c>
      <c r="J934" s="1">
        <v>3</v>
      </c>
      <c r="K934" s="1">
        <v>0</v>
      </c>
      <c r="L934" s="1" t="s">
        <v>56</v>
      </c>
      <c r="M934" s="1">
        <v>1</v>
      </c>
      <c r="N934" s="1">
        <v>2</v>
      </c>
      <c r="O934" s="1">
        <v>0</v>
      </c>
      <c r="P934" s="11" t="str">
        <f t="shared" si="14"/>
        <v>平</v>
      </c>
      <c r="Q934" s="11" t="str">
        <f t="shared" si="14"/>
        <v>胜</v>
      </c>
    </row>
    <row r="935" spans="4:17" customFormat="1" hidden="1" x14ac:dyDescent="0.15">
      <c r="D935" t="s">
        <v>6</v>
      </c>
      <c r="E935" s="1">
        <v>478778</v>
      </c>
      <c r="F935" s="1">
        <v>478778</v>
      </c>
      <c r="G935" s="8">
        <v>43234.003472222219</v>
      </c>
      <c r="H935" s="1" t="s">
        <v>38</v>
      </c>
      <c r="I935" s="1">
        <v>1</v>
      </c>
      <c r="J935" s="1">
        <v>1</v>
      </c>
      <c r="K935" s="1">
        <v>0</v>
      </c>
      <c r="L935" s="1" t="s">
        <v>32</v>
      </c>
      <c r="M935" s="1">
        <v>0</v>
      </c>
      <c r="N935" s="1">
        <v>2</v>
      </c>
      <c r="O935" s="1">
        <v>0</v>
      </c>
      <c r="P935" s="11" t="str">
        <f t="shared" si="14"/>
        <v>胜</v>
      </c>
      <c r="Q935" s="11" t="str">
        <f t="shared" si="14"/>
        <v>负</v>
      </c>
    </row>
    <row r="936" spans="4:17" customFormat="1" hidden="1" x14ac:dyDescent="0.15">
      <c r="D936" t="s">
        <v>6</v>
      </c>
      <c r="E936" s="1">
        <v>478779</v>
      </c>
      <c r="F936" s="1">
        <v>478779</v>
      </c>
      <c r="G936" s="8">
        <v>43234.003472222219</v>
      </c>
      <c r="H936" s="1" t="s">
        <v>53</v>
      </c>
      <c r="I936" s="1">
        <v>1</v>
      </c>
      <c r="J936" s="1">
        <v>1</v>
      </c>
      <c r="K936" s="1">
        <v>0</v>
      </c>
      <c r="L936" s="1" t="s">
        <v>44</v>
      </c>
      <c r="M936" s="1">
        <v>2</v>
      </c>
      <c r="N936" s="1">
        <v>2</v>
      </c>
      <c r="O936" s="1">
        <v>0</v>
      </c>
      <c r="P936" s="11" t="str">
        <f t="shared" si="14"/>
        <v>负</v>
      </c>
      <c r="Q936" s="11" t="str">
        <f t="shared" si="14"/>
        <v>负</v>
      </c>
    </row>
    <row r="937" spans="4:17" customFormat="1" hidden="1" x14ac:dyDescent="0.15">
      <c r="D937" t="s">
        <v>6</v>
      </c>
      <c r="E937" s="1">
        <v>478780</v>
      </c>
      <c r="F937" s="1">
        <v>478780</v>
      </c>
      <c r="G937" s="8">
        <v>43234.003472222219</v>
      </c>
      <c r="H937" s="1" t="s">
        <v>40</v>
      </c>
      <c r="I937" s="1">
        <v>1</v>
      </c>
      <c r="J937" s="1">
        <v>1</v>
      </c>
      <c r="K937" s="1">
        <v>0</v>
      </c>
      <c r="L937" s="1" t="s">
        <v>41</v>
      </c>
      <c r="M937" s="1">
        <v>0</v>
      </c>
      <c r="N937" s="1">
        <v>2</v>
      </c>
      <c r="O937" s="1">
        <v>0</v>
      </c>
      <c r="P937" s="11" t="str">
        <f t="shared" si="14"/>
        <v>胜</v>
      </c>
      <c r="Q937" s="11" t="str">
        <f t="shared" si="14"/>
        <v>负</v>
      </c>
    </row>
    <row r="938" spans="4:17" customFormat="1" hidden="1" x14ac:dyDescent="0.15">
      <c r="D938" t="s">
        <v>6</v>
      </c>
      <c r="E938" s="1">
        <v>478781</v>
      </c>
      <c r="F938" s="1">
        <v>478781</v>
      </c>
      <c r="G938" s="8">
        <v>43234.083333333336</v>
      </c>
      <c r="H938" s="1" t="s">
        <v>42</v>
      </c>
      <c r="I938" s="1">
        <v>0</v>
      </c>
      <c r="J938" s="1">
        <v>0</v>
      </c>
      <c r="K938" s="1">
        <v>0</v>
      </c>
      <c r="L938" s="1" t="s">
        <v>37</v>
      </c>
      <c r="M938" s="1">
        <v>0</v>
      </c>
      <c r="N938" s="1">
        <v>1</v>
      </c>
      <c r="O938" s="1">
        <v>0</v>
      </c>
      <c r="P938" s="11" t="str">
        <f t="shared" si="14"/>
        <v>平</v>
      </c>
      <c r="Q938" s="11" t="str">
        <f t="shared" si="14"/>
        <v>负</v>
      </c>
    </row>
    <row r="939" spans="4:17" x14ac:dyDescent="0.15">
      <c r="D939" s="2" t="s">
        <v>6</v>
      </c>
      <c r="E939" s="6">
        <v>479653</v>
      </c>
      <c r="F939" s="6">
        <v>479653</v>
      </c>
      <c r="G939" s="24">
        <v>43237</v>
      </c>
      <c r="H939" s="6" t="s">
        <v>32</v>
      </c>
      <c r="I939" s="6">
        <v>0</v>
      </c>
      <c r="J939" s="6">
        <v>0</v>
      </c>
      <c r="K939" s="6">
        <v>0</v>
      </c>
      <c r="L939" s="6" t="s">
        <v>53</v>
      </c>
      <c r="M939" s="6">
        <v>1</v>
      </c>
      <c r="N939" s="6">
        <v>1</v>
      </c>
      <c r="O939" s="6">
        <v>0</v>
      </c>
      <c r="P939" s="11" t="str">
        <f t="shared" si="14"/>
        <v>负</v>
      </c>
      <c r="Q939" s="11" t="str">
        <f t="shared" si="14"/>
        <v>负</v>
      </c>
    </row>
    <row r="940" spans="4:17" customFormat="1" hidden="1" x14ac:dyDescent="0.15">
      <c r="D940" t="s">
        <v>6</v>
      </c>
      <c r="E940" s="1">
        <v>479654</v>
      </c>
      <c r="F940" s="1">
        <v>479654</v>
      </c>
      <c r="G940" s="8">
        <v>43237.000694444447</v>
      </c>
      <c r="H940" s="1" t="s">
        <v>46</v>
      </c>
      <c r="I940" s="1">
        <v>0</v>
      </c>
      <c r="J940" s="1">
        <v>1</v>
      </c>
      <c r="K940" s="1">
        <v>0</v>
      </c>
      <c r="L940" s="1" t="s">
        <v>48</v>
      </c>
      <c r="M940" s="1">
        <v>0</v>
      </c>
      <c r="N940" s="1">
        <v>1</v>
      </c>
      <c r="O940" s="1">
        <v>0</v>
      </c>
      <c r="P940" s="11" t="str">
        <f t="shared" si="14"/>
        <v>平</v>
      </c>
      <c r="Q940" s="11" t="str">
        <f t="shared" si="14"/>
        <v>平</v>
      </c>
    </row>
    <row r="941" spans="4:17" customFormat="1" hidden="1" x14ac:dyDescent="0.15">
      <c r="D941" t="s">
        <v>6</v>
      </c>
      <c r="E941" s="1">
        <v>479655</v>
      </c>
      <c r="F941" s="1">
        <v>479655</v>
      </c>
      <c r="G941" s="8">
        <v>43237</v>
      </c>
      <c r="H941" s="1" t="s">
        <v>56</v>
      </c>
      <c r="I941" s="1">
        <v>0</v>
      </c>
      <c r="J941" s="1">
        <v>1</v>
      </c>
      <c r="K941" s="1">
        <v>0</v>
      </c>
      <c r="L941" s="1" t="s">
        <v>57</v>
      </c>
      <c r="M941" s="1">
        <v>1</v>
      </c>
      <c r="N941" s="1">
        <v>3</v>
      </c>
      <c r="O941" s="1">
        <v>0</v>
      </c>
      <c r="P941" s="11" t="str">
        <f t="shared" si="14"/>
        <v>负</v>
      </c>
      <c r="Q941" s="11" t="str">
        <f t="shared" si="14"/>
        <v>负</v>
      </c>
    </row>
    <row r="942" spans="4:17" customFormat="1" hidden="1" x14ac:dyDescent="0.15">
      <c r="D942" t="s">
        <v>6</v>
      </c>
      <c r="E942" s="1">
        <v>479656</v>
      </c>
      <c r="F942" s="1">
        <v>479656</v>
      </c>
      <c r="G942" s="8">
        <v>43237</v>
      </c>
      <c r="H942" s="1" t="s">
        <v>38</v>
      </c>
      <c r="I942" s="1">
        <v>0</v>
      </c>
      <c r="J942" s="1">
        <v>2</v>
      </c>
      <c r="K942" s="1">
        <v>0</v>
      </c>
      <c r="L942" s="1" t="s">
        <v>40</v>
      </c>
      <c r="M942" s="1">
        <v>0</v>
      </c>
      <c r="N942" s="1">
        <v>0</v>
      </c>
      <c r="O942" s="1">
        <v>0</v>
      </c>
      <c r="P942" s="11" t="str">
        <f t="shared" si="14"/>
        <v>平</v>
      </c>
      <c r="Q942" s="11" t="str">
        <f t="shared" si="14"/>
        <v>胜</v>
      </c>
    </row>
    <row r="943" spans="4:17" customFormat="1" hidden="1" x14ac:dyDescent="0.15">
      <c r="D943" t="s">
        <v>6</v>
      </c>
      <c r="E943" s="1">
        <v>479657</v>
      </c>
      <c r="F943" s="1">
        <v>479657</v>
      </c>
      <c r="G943" s="8">
        <v>43236.999305555553</v>
      </c>
      <c r="H943" s="1" t="s">
        <v>54</v>
      </c>
      <c r="I943" s="1">
        <v>3</v>
      </c>
      <c r="J943" s="1">
        <v>5</v>
      </c>
      <c r="K943" s="1">
        <v>0</v>
      </c>
      <c r="L943" s="1" t="s">
        <v>52</v>
      </c>
      <c r="M943" s="1">
        <v>0</v>
      </c>
      <c r="N943" s="1">
        <v>0</v>
      </c>
      <c r="O943" s="1">
        <v>0</v>
      </c>
      <c r="P943" s="11" t="str">
        <f t="shared" si="14"/>
        <v>胜</v>
      </c>
      <c r="Q943" s="11" t="str">
        <f t="shared" si="14"/>
        <v>胜</v>
      </c>
    </row>
    <row r="944" spans="4:17" customFormat="1" hidden="1" x14ac:dyDescent="0.15">
      <c r="D944" t="s">
        <v>6</v>
      </c>
      <c r="E944" s="1">
        <v>479658</v>
      </c>
      <c r="F944" s="1">
        <v>479658</v>
      </c>
      <c r="G944" s="8">
        <v>43237</v>
      </c>
      <c r="H944" s="1" t="s">
        <v>37</v>
      </c>
      <c r="I944" s="1">
        <v>1</v>
      </c>
      <c r="J944" s="1">
        <v>3</v>
      </c>
      <c r="K944" s="1">
        <v>0</v>
      </c>
      <c r="L944" s="1" t="s">
        <v>44</v>
      </c>
      <c r="M944" s="1">
        <v>0</v>
      </c>
      <c r="N944" s="1">
        <v>0</v>
      </c>
      <c r="O944" s="1">
        <v>0</v>
      </c>
      <c r="P944" s="11" t="str">
        <f t="shared" si="14"/>
        <v>胜</v>
      </c>
      <c r="Q944" s="11" t="str">
        <f t="shared" si="14"/>
        <v>胜</v>
      </c>
    </row>
    <row r="945" spans="4:17" customFormat="1" hidden="1" x14ac:dyDescent="0.15">
      <c r="D945" t="s">
        <v>6</v>
      </c>
      <c r="E945" s="1">
        <v>479659</v>
      </c>
      <c r="F945" s="1">
        <v>479659</v>
      </c>
      <c r="G945" s="8">
        <v>43237</v>
      </c>
      <c r="H945" s="1" t="s">
        <v>41</v>
      </c>
      <c r="I945" s="1">
        <v>2</v>
      </c>
      <c r="J945" s="1">
        <v>4</v>
      </c>
      <c r="K945" s="1">
        <v>0</v>
      </c>
      <c r="L945" s="1" t="s">
        <v>36</v>
      </c>
      <c r="M945" s="1">
        <v>0</v>
      </c>
      <c r="N945" s="1">
        <v>0</v>
      </c>
      <c r="O945" s="1">
        <v>0</v>
      </c>
      <c r="P945" s="11" t="str">
        <f t="shared" si="14"/>
        <v>胜</v>
      </c>
      <c r="Q945" s="11" t="str">
        <f t="shared" si="14"/>
        <v>胜</v>
      </c>
    </row>
    <row r="946" spans="4:17" customFormat="1" hidden="1" x14ac:dyDescent="0.15">
      <c r="D946" t="s">
        <v>6</v>
      </c>
      <c r="E946" s="1">
        <v>479660</v>
      </c>
      <c r="F946" s="1">
        <v>479660</v>
      </c>
      <c r="G946" s="8">
        <v>43237</v>
      </c>
      <c r="H946" s="1" t="s">
        <v>49</v>
      </c>
      <c r="I946" s="1">
        <v>1</v>
      </c>
      <c r="J946" s="1">
        <v>1</v>
      </c>
      <c r="K946" s="1">
        <v>0</v>
      </c>
      <c r="L946" s="1" t="s">
        <v>42</v>
      </c>
      <c r="M946" s="1">
        <v>0</v>
      </c>
      <c r="N946" s="1">
        <v>0</v>
      </c>
      <c r="O946" s="1">
        <v>0</v>
      </c>
      <c r="P946" s="11" t="str">
        <f t="shared" si="14"/>
        <v>胜</v>
      </c>
      <c r="Q946" s="11" t="str">
        <f t="shared" si="14"/>
        <v>胜</v>
      </c>
    </row>
    <row r="947" spans="4:17" customFormat="1" hidden="1" x14ac:dyDescent="0.15">
      <c r="D947" t="s">
        <v>6</v>
      </c>
      <c r="E947" s="1">
        <v>481869</v>
      </c>
      <c r="F947" s="1">
        <v>481869</v>
      </c>
      <c r="G947" s="8">
        <v>43242</v>
      </c>
      <c r="H947" s="1" t="s">
        <v>48</v>
      </c>
      <c r="I947" s="1">
        <v>0</v>
      </c>
      <c r="J947" s="1">
        <v>1</v>
      </c>
      <c r="K947" s="1">
        <v>0</v>
      </c>
      <c r="L947" s="1" t="s">
        <v>37</v>
      </c>
      <c r="M947" s="1">
        <v>2</v>
      </c>
      <c r="N947" s="1">
        <v>2</v>
      </c>
      <c r="O947" s="1">
        <v>0</v>
      </c>
      <c r="P947" s="11" t="str">
        <f t="shared" si="14"/>
        <v>负</v>
      </c>
      <c r="Q947" s="11" t="str">
        <f t="shared" si="14"/>
        <v>负</v>
      </c>
    </row>
    <row r="948" spans="4:17" customFormat="1" hidden="1" x14ac:dyDescent="0.15">
      <c r="D948" t="s">
        <v>6</v>
      </c>
      <c r="E948" s="1">
        <v>481870</v>
      </c>
      <c r="F948" s="1">
        <v>481870</v>
      </c>
      <c r="G948" s="8">
        <v>43242.000694444447</v>
      </c>
      <c r="H948" s="1" t="s">
        <v>56</v>
      </c>
      <c r="I948" s="1">
        <v>3</v>
      </c>
      <c r="J948" s="1">
        <v>4</v>
      </c>
      <c r="K948" s="1">
        <v>0</v>
      </c>
      <c r="L948" s="1" t="s">
        <v>40</v>
      </c>
      <c r="M948" s="1">
        <v>0</v>
      </c>
      <c r="N948" s="1">
        <v>0</v>
      </c>
      <c r="O948" s="1">
        <v>0</v>
      </c>
      <c r="P948" s="11" t="str">
        <f t="shared" si="14"/>
        <v>胜</v>
      </c>
      <c r="Q948" s="11" t="str">
        <f t="shared" si="14"/>
        <v>胜</v>
      </c>
    </row>
    <row r="949" spans="4:17" customFormat="1" hidden="1" x14ac:dyDescent="0.15">
      <c r="D949" t="s">
        <v>6</v>
      </c>
      <c r="E949" s="1">
        <v>481871</v>
      </c>
      <c r="F949" s="1">
        <v>481871</v>
      </c>
      <c r="G949" s="8">
        <v>43242</v>
      </c>
      <c r="H949" s="1" t="s">
        <v>53</v>
      </c>
      <c r="I949" s="1">
        <v>2</v>
      </c>
      <c r="J949" s="1">
        <v>3</v>
      </c>
      <c r="K949" s="1">
        <v>0</v>
      </c>
      <c r="L949" s="1" t="s">
        <v>49</v>
      </c>
      <c r="M949" s="1">
        <v>0</v>
      </c>
      <c r="N949" s="1">
        <v>0</v>
      </c>
      <c r="O949" s="1">
        <v>0</v>
      </c>
      <c r="P949" s="11" t="str">
        <f t="shared" si="14"/>
        <v>胜</v>
      </c>
      <c r="Q949" s="11" t="str">
        <f t="shared" si="14"/>
        <v>胜</v>
      </c>
    </row>
    <row r="950" spans="4:17" customFormat="1" hidden="1" x14ac:dyDescent="0.15">
      <c r="D950" t="s">
        <v>6</v>
      </c>
      <c r="E950" s="1">
        <v>481872</v>
      </c>
      <c r="F950" s="1">
        <v>481872</v>
      </c>
      <c r="G950" s="8">
        <v>43241.998611111114</v>
      </c>
      <c r="H950" s="1" t="s">
        <v>57</v>
      </c>
      <c r="I950" s="1">
        <v>0</v>
      </c>
      <c r="J950" s="1">
        <v>3</v>
      </c>
      <c r="K950" s="1">
        <v>0</v>
      </c>
      <c r="L950" s="1" t="s">
        <v>38</v>
      </c>
      <c r="M950" s="1">
        <v>1</v>
      </c>
      <c r="N950" s="1">
        <v>1</v>
      </c>
      <c r="O950" s="1">
        <v>0</v>
      </c>
      <c r="P950" s="11" t="str">
        <f t="shared" si="14"/>
        <v>负</v>
      </c>
      <c r="Q950" s="11" t="str">
        <f t="shared" si="14"/>
        <v>胜</v>
      </c>
    </row>
    <row r="951" spans="4:17" customFormat="1" hidden="1" x14ac:dyDescent="0.15">
      <c r="D951" t="s">
        <v>6</v>
      </c>
      <c r="E951" s="1">
        <v>481873</v>
      </c>
      <c r="F951" s="1">
        <v>481873</v>
      </c>
      <c r="G951" s="8">
        <v>43242</v>
      </c>
      <c r="H951" s="1" t="s">
        <v>52</v>
      </c>
      <c r="I951" s="1">
        <v>0</v>
      </c>
      <c r="J951" s="1">
        <v>0</v>
      </c>
      <c r="K951" s="1">
        <v>0</v>
      </c>
      <c r="L951" s="1" t="s">
        <v>41</v>
      </c>
      <c r="M951" s="1">
        <v>1</v>
      </c>
      <c r="N951" s="1">
        <v>1</v>
      </c>
      <c r="O951" s="1">
        <v>0</v>
      </c>
      <c r="P951" s="11" t="str">
        <f t="shared" si="14"/>
        <v>负</v>
      </c>
      <c r="Q951" s="11" t="str">
        <f t="shared" si="14"/>
        <v>负</v>
      </c>
    </row>
    <row r="952" spans="4:17" customFormat="1" hidden="1" x14ac:dyDescent="0.15">
      <c r="D952" t="s">
        <v>6</v>
      </c>
      <c r="E952" s="1">
        <v>481874</v>
      </c>
      <c r="F952" s="1">
        <v>481874</v>
      </c>
      <c r="G952" s="8">
        <v>43242</v>
      </c>
      <c r="H952" s="1" t="s">
        <v>42</v>
      </c>
      <c r="I952" s="1">
        <v>0</v>
      </c>
      <c r="J952" s="1">
        <v>2</v>
      </c>
      <c r="K952" s="1">
        <v>0</v>
      </c>
      <c r="L952" s="1" t="s">
        <v>54</v>
      </c>
      <c r="M952" s="1">
        <v>0</v>
      </c>
      <c r="N952" s="1">
        <v>1</v>
      </c>
      <c r="O952" s="1">
        <v>0</v>
      </c>
      <c r="P952" s="11" t="str">
        <f t="shared" si="14"/>
        <v>平</v>
      </c>
      <c r="Q952" s="11" t="str">
        <f t="shared" si="14"/>
        <v>胜</v>
      </c>
    </row>
    <row r="953" spans="4:17" customFormat="1" hidden="1" x14ac:dyDescent="0.15">
      <c r="D953" t="s">
        <v>6</v>
      </c>
      <c r="E953" s="1">
        <v>481875</v>
      </c>
      <c r="F953" s="1">
        <v>481875</v>
      </c>
      <c r="G953" s="8">
        <v>43242</v>
      </c>
      <c r="H953" s="1" t="s">
        <v>36</v>
      </c>
      <c r="I953" s="1">
        <v>1</v>
      </c>
      <c r="J953" s="1">
        <v>1</v>
      </c>
      <c r="K953" s="1">
        <v>0</v>
      </c>
      <c r="L953" s="1" t="s">
        <v>32</v>
      </c>
      <c r="M953" s="1">
        <v>0</v>
      </c>
      <c r="N953" s="1">
        <v>0</v>
      </c>
      <c r="O953" s="1">
        <v>0</v>
      </c>
      <c r="P953" s="11" t="str">
        <f t="shared" si="14"/>
        <v>胜</v>
      </c>
      <c r="Q953" s="11" t="str">
        <f t="shared" si="14"/>
        <v>胜</v>
      </c>
    </row>
    <row r="954" spans="4:17" customFormat="1" hidden="1" x14ac:dyDescent="0.15">
      <c r="D954" t="s">
        <v>6</v>
      </c>
      <c r="E954" s="1">
        <v>481876</v>
      </c>
      <c r="F954" s="1">
        <v>481876</v>
      </c>
      <c r="G954" s="8">
        <v>43242.084027777775</v>
      </c>
      <c r="H954" s="1" t="s">
        <v>44</v>
      </c>
      <c r="I954" s="1">
        <v>1</v>
      </c>
      <c r="J954" s="1">
        <v>1</v>
      </c>
      <c r="K954" s="1">
        <v>0</v>
      </c>
      <c r="L954" s="1" t="s">
        <v>46</v>
      </c>
      <c r="M954" s="1">
        <v>0</v>
      </c>
      <c r="N954" s="1">
        <v>1</v>
      </c>
      <c r="O954" s="1">
        <v>0</v>
      </c>
      <c r="P954" s="11" t="str">
        <f t="shared" si="14"/>
        <v>胜</v>
      </c>
      <c r="Q954" s="11" t="str">
        <f t="shared" si="14"/>
        <v>平</v>
      </c>
    </row>
    <row r="955" spans="4:17" customFormat="1" hidden="1" x14ac:dyDescent="0.15">
      <c r="D955" t="s">
        <v>6</v>
      </c>
      <c r="E955" s="1">
        <v>483633</v>
      </c>
      <c r="F955" s="1">
        <v>483633</v>
      </c>
      <c r="G955" s="8">
        <v>43246.958333333336</v>
      </c>
      <c r="H955" s="1" t="s">
        <v>49</v>
      </c>
      <c r="I955" s="1">
        <v>0</v>
      </c>
      <c r="J955" s="1">
        <v>1</v>
      </c>
      <c r="K955" s="1">
        <v>0</v>
      </c>
      <c r="L955" s="1" t="s">
        <v>44</v>
      </c>
      <c r="M955" s="1">
        <v>0</v>
      </c>
      <c r="N955" s="1">
        <v>0</v>
      </c>
      <c r="O955" s="1">
        <v>0</v>
      </c>
      <c r="P955" s="11" t="str">
        <f t="shared" si="14"/>
        <v>平</v>
      </c>
      <c r="Q955" s="11" t="str">
        <f t="shared" si="14"/>
        <v>胜</v>
      </c>
    </row>
    <row r="956" spans="4:17" customFormat="1" hidden="1" x14ac:dyDescent="0.15">
      <c r="D956" t="s">
        <v>6</v>
      </c>
      <c r="E956" s="1">
        <v>484224</v>
      </c>
      <c r="F956" s="1">
        <v>484224</v>
      </c>
      <c r="G956" s="8">
        <v>43248</v>
      </c>
      <c r="H956" s="1" t="s">
        <v>40</v>
      </c>
      <c r="I956" s="1">
        <v>1</v>
      </c>
      <c r="J956" s="1">
        <v>2</v>
      </c>
      <c r="K956" s="1">
        <v>0</v>
      </c>
      <c r="L956" s="1" t="s">
        <v>52</v>
      </c>
      <c r="M956" s="1">
        <v>0</v>
      </c>
      <c r="N956" s="1">
        <v>0</v>
      </c>
      <c r="O956" s="1">
        <v>0</v>
      </c>
      <c r="P956" s="11" t="str">
        <f t="shared" si="14"/>
        <v>胜</v>
      </c>
      <c r="Q956" s="11" t="str">
        <f t="shared" si="14"/>
        <v>胜</v>
      </c>
    </row>
    <row r="957" spans="4:17" customFormat="1" hidden="1" x14ac:dyDescent="0.15">
      <c r="D957" t="s">
        <v>6</v>
      </c>
      <c r="E957" s="1">
        <v>484225</v>
      </c>
      <c r="F957" s="1">
        <v>484225</v>
      </c>
      <c r="G957" s="8">
        <v>43248</v>
      </c>
      <c r="H957" s="1" t="s">
        <v>38</v>
      </c>
      <c r="I957" s="1">
        <v>1</v>
      </c>
      <c r="J957" s="1">
        <v>3</v>
      </c>
      <c r="K957" s="1">
        <v>0</v>
      </c>
      <c r="L957" s="1" t="s">
        <v>36</v>
      </c>
      <c r="M957" s="1">
        <v>1</v>
      </c>
      <c r="N957" s="1">
        <v>1</v>
      </c>
      <c r="O957" s="1">
        <v>0</v>
      </c>
      <c r="P957" s="11" t="str">
        <f t="shared" si="14"/>
        <v>平</v>
      </c>
      <c r="Q957" s="11" t="str">
        <f t="shared" si="14"/>
        <v>胜</v>
      </c>
    </row>
    <row r="958" spans="4:17" customFormat="1" hidden="1" x14ac:dyDescent="0.15">
      <c r="D958" t="s">
        <v>6</v>
      </c>
      <c r="E958" s="1">
        <v>484226</v>
      </c>
      <c r="F958" s="1">
        <v>484226</v>
      </c>
      <c r="G958" s="8">
        <v>43248</v>
      </c>
      <c r="H958" s="1" t="s">
        <v>54</v>
      </c>
      <c r="I958" s="1">
        <v>0</v>
      </c>
      <c r="J958" s="1">
        <v>1</v>
      </c>
      <c r="K958" s="1">
        <v>0</v>
      </c>
      <c r="L958" s="1" t="s">
        <v>56</v>
      </c>
      <c r="M958" s="1">
        <v>0</v>
      </c>
      <c r="N958" s="1">
        <v>2</v>
      </c>
      <c r="O958" s="1">
        <v>0</v>
      </c>
      <c r="P958" s="11" t="str">
        <f t="shared" si="14"/>
        <v>平</v>
      </c>
      <c r="Q958" s="11" t="str">
        <f t="shared" si="14"/>
        <v>负</v>
      </c>
    </row>
    <row r="959" spans="4:17" x14ac:dyDescent="0.15">
      <c r="D959" s="2" t="s">
        <v>6</v>
      </c>
      <c r="E959" s="6">
        <v>484227</v>
      </c>
      <c r="F959" s="6">
        <v>484227</v>
      </c>
      <c r="G959" s="24">
        <v>43248</v>
      </c>
      <c r="H959" s="6" t="s">
        <v>32</v>
      </c>
      <c r="I959" s="6">
        <v>1</v>
      </c>
      <c r="J959" s="6">
        <v>4</v>
      </c>
      <c r="K959" s="6">
        <v>0</v>
      </c>
      <c r="L959" s="6" t="s">
        <v>57</v>
      </c>
      <c r="M959" s="6">
        <v>0</v>
      </c>
      <c r="N959" s="6">
        <v>0</v>
      </c>
      <c r="O959" s="6">
        <v>0</v>
      </c>
      <c r="P959" s="11" t="str">
        <f t="shared" si="14"/>
        <v>胜</v>
      </c>
      <c r="Q959" s="11" t="str">
        <f t="shared" si="14"/>
        <v>胜</v>
      </c>
    </row>
    <row r="960" spans="4:17" customFormat="1" hidden="1" x14ac:dyDescent="0.15">
      <c r="D960" t="s">
        <v>6</v>
      </c>
      <c r="E960" s="1">
        <v>484228</v>
      </c>
      <c r="F960" s="1">
        <v>484228</v>
      </c>
      <c r="G960" s="8">
        <v>43248.000694444447</v>
      </c>
      <c r="H960" s="1" t="s">
        <v>48</v>
      </c>
      <c r="I960" s="1">
        <v>1</v>
      </c>
      <c r="J960" s="1">
        <v>1</v>
      </c>
      <c r="K960" s="1">
        <v>0</v>
      </c>
      <c r="L960" s="1" t="s">
        <v>53</v>
      </c>
      <c r="M960" s="1">
        <v>0</v>
      </c>
      <c r="N960" s="1">
        <v>0</v>
      </c>
      <c r="O960" s="1">
        <v>0</v>
      </c>
      <c r="P960" s="11" t="str">
        <f t="shared" si="14"/>
        <v>胜</v>
      </c>
      <c r="Q960" s="11" t="str">
        <f t="shared" si="14"/>
        <v>胜</v>
      </c>
    </row>
    <row r="961" spans="4:17" customFormat="1" hidden="1" x14ac:dyDescent="0.15">
      <c r="D961" t="s">
        <v>6</v>
      </c>
      <c r="E961" s="1">
        <v>484229</v>
      </c>
      <c r="F961" s="1">
        <v>484229</v>
      </c>
      <c r="G961" s="8">
        <v>43248.083333333336</v>
      </c>
      <c r="H961" s="1" t="s">
        <v>37</v>
      </c>
      <c r="I961" s="1">
        <v>0</v>
      </c>
      <c r="J961" s="1">
        <v>1</v>
      </c>
      <c r="K961" s="1">
        <v>0</v>
      </c>
      <c r="L961" s="1" t="s">
        <v>46</v>
      </c>
      <c r="M961" s="1">
        <v>0</v>
      </c>
      <c r="N961" s="1">
        <v>2</v>
      </c>
      <c r="O961" s="1">
        <v>0</v>
      </c>
      <c r="P961" s="11" t="str">
        <f t="shared" si="14"/>
        <v>平</v>
      </c>
      <c r="Q961" s="11" t="str">
        <f t="shared" si="14"/>
        <v>负</v>
      </c>
    </row>
    <row r="962" spans="4:17" customFormat="1" hidden="1" x14ac:dyDescent="0.15">
      <c r="D962" t="s">
        <v>6</v>
      </c>
      <c r="E962" s="1">
        <v>486472</v>
      </c>
      <c r="F962" s="1">
        <v>486472</v>
      </c>
      <c r="G962" s="8">
        <v>43262.000694444447</v>
      </c>
      <c r="H962" s="1" t="s">
        <v>44</v>
      </c>
      <c r="I962" s="1">
        <v>0</v>
      </c>
      <c r="J962" s="1">
        <v>0</v>
      </c>
      <c r="K962" s="1">
        <v>0</v>
      </c>
      <c r="L962" s="1" t="s">
        <v>54</v>
      </c>
      <c r="M962" s="1">
        <v>0</v>
      </c>
      <c r="N962" s="1">
        <v>0</v>
      </c>
      <c r="O962" s="1">
        <v>0</v>
      </c>
      <c r="P962" s="11" t="str">
        <f t="shared" si="14"/>
        <v>平</v>
      </c>
      <c r="Q962" s="11" t="str">
        <f t="shared" si="14"/>
        <v>平</v>
      </c>
    </row>
    <row r="963" spans="4:17" customFormat="1" hidden="1" x14ac:dyDescent="0.15">
      <c r="D963" t="s">
        <v>6</v>
      </c>
      <c r="E963" s="1">
        <v>486476</v>
      </c>
      <c r="F963" s="1">
        <v>486476</v>
      </c>
      <c r="G963" s="8">
        <v>43262.084027777775</v>
      </c>
      <c r="H963" s="1" t="s">
        <v>46</v>
      </c>
      <c r="I963" s="1">
        <v>0</v>
      </c>
      <c r="J963" s="1">
        <v>0</v>
      </c>
      <c r="K963" s="1">
        <v>0</v>
      </c>
      <c r="L963" s="1" t="s">
        <v>49</v>
      </c>
      <c r="M963" s="1">
        <v>0</v>
      </c>
      <c r="N963" s="1">
        <v>0</v>
      </c>
      <c r="O963" s="1">
        <v>0</v>
      </c>
      <c r="P963" s="11" t="str">
        <f t="shared" si="14"/>
        <v>平</v>
      </c>
      <c r="Q963" s="11" t="str">
        <f t="shared" si="14"/>
        <v>平</v>
      </c>
    </row>
    <row r="964" spans="4:17" customFormat="1" hidden="1" x14ac:dyDescent="0.15">
      <c r="D964" t="s">
        <v>6</v>
      </c>
      <c r="E964" s="1">
        <v>486477</v>
      </c>
      <c r="F964" s="1">
        <v>486477</v>
      </c>
      <c r="G964" s="8">
        <v>43263.040972222225</v>
      </c>
      <c r="H964" s="1" t="s">
        <v>53</v>
      </c>
      <c r="I964" s="1">
        <v>1</v>
      </c>
      <c r="J964" s="1">
        <v>2</v>
      </c>
      <c r="K964" s="1">
        <v>0</v>
      </c>
      <c r="L964" s="1" t="s">
        <v>37</v>
      </c>
      <c r="M964" s="1">
        <v>0</v>
      </c>
      <c r="N964" s="1">
        <v>1</v>
      </c>
      <c r="O964" s="1">
        <v>0</v>
      </c>
      <c r="P964" s="11" t="str">
        <f t="shared" si="14"/>
        <v>胜</v>
      </c>
      <c r="Q964" s="11" t="str">
        <f t="shared" si="14"/>
        <v>胜</v>
      </c>
    </row>
    <row r="965" spans="4:17" customFormat="1" hidden="1" x14ac:dyDescent="0.15">
      <c r="D965" t="s">
        <v>6</v>
      </c>
      <c r="E965" s="1">
        <v>490575</v>
      </c>
      <c r="F965" s="1">
        <v>490575</v>
      </c>
      <c r="G965" s="8">
        <v>43275</v>
      </c>
      <c r="H965" s="1" t="s">
        <v>38</v>
      </c>
      <c r="I965" s="1">
        <v>2</v>
      </c>
      <c r="J965" s="1">
        <v>3</v>
      </c>
      <c r="K965" s="1">
        <v>0</v>
      </c>
      <c r="L965" s="1" t="s">
        <v>42</v>
      </c>
      <c r="M965" s="1">
        <v>0</v>
      </c>
      <c r="N965" s="1">
        <v>0</v>
      </c>
      <c r="O965" s="1">
        <v>0</v>
      </c>
      <c r="P965" s="11" t="str">
        <f t="shared" si="14"/>
        <v>胜</v>
      </c>
      <c r="Q965" s="11" t="str">
        <f t="shared" si="14"/>
        <v>胜</v>
      </c>
    </row>
    <row r="966" spans="4:17" x14ac:dyDescent="0.15">
      <c r="D966" s="2" t="s">
        <v>6</v>
      </c>
      <c r="E966" s="6">
        <v>490576</v>
      </c>
      <c r="F966" s="6">
        <v>490576</v>
      </c>
      <c r="G966" s="24">
        <v>43276</v>
      </c>
      <c r="H966" s="6" t="s">
        <v>32</v>
      </c>
      <c r="I966" s="6">
        <v>1</v>
      </c>
      <c r="J966" s="6">
        <v>1</v>
      </c>
      <c r="K966" s="6">
        <v>0</v>
      </c>
      <c r="L966" s="6" t="s">
        <v>52</v>
      </c>
      <c r="M966" s="6">
        <v>1</v>
      </c>
      <c r="N966" s="6">
        <v>1</v>
      </c>
      <c r="O966" s="6">
        <v>0</v>
      </c>
      <c r="P966" s="11" t="str">
        <f t="shared" si="14"/>
        <v>平</v>
      </c>
      <c r="Q966" s="11" t="str">
        <f t="shared" si="14"/>
        <v>平</v>
      </c>
    </row>
    <row r="967" spans="4:17" customFormat="1" hidden="1" x14ac:dyDescent="0.15">
      <c r="D967" t="s">
        <v>6</v>
      </c>
      <c r="E967" s="1">
        <v>490577</v>
      </c>
      <c r="F967" s="1">
        <v>490577</v>
      </c>
      <c r="G967" s="8">
        <v>43276.000694444447</v>
      </c>
      <c r="H967" s="1" t="s">
        <v>48</v>
      </c>
      <c r="I967" s="1">
        <v>1</v>
      </c>
      <c r="J967" s="1">
        <v>2</v>
      </c>
      <c r="K967" s="1">
        <v>0</v>
      </c>
      <c r="L967" s="1" t="s">
        <v>44</v>
      </c>
      <c r="M967" s="1">
        <v>1</v>
      </c>
      <c r="N967" s="1">
        <v>2</v>
      </c>
      <c r="O967" s="1">
        <v>0</v>
      </c>
      <c r="P967" s="11" t="str">
        <f t="shared" si="14"/>
        <v>平</v>
      </c>
      <c r="Q967" s="11" t="str">
        <f t="shared" si="14"/>
        <v>平</v>
      </c>
    </row>
    <row r="968" spans="4:17" customFormat="1" hidden="1" x14ac:dyDescent="0.15">
      <c r="D968" t="s">
        <v>6</v>
      </c>
      <c r="E968" s="1">
        <v>490578</v>
      </c>
      <c r="F968" s="1">
        <v>490578</v>
      </c>
      <c r="G968" s="8">
        <v>43276.000694444447</v>
      </c>
      <c r="H968" s="1" t="s">
        <v>36</v>
      </c>
      <c r="I968" s="1">
        <v>0</v>
      </c>
      <c r="J968" s="1">
        <v>2</v>
      </c>
      <c r="K968" s="1">
        <v>0</v>
      </c>
      <c r="L968" s="1" t="s">
        <v>56</v>
      </c>
      <c r="M968" s="1">
        <v>0</v>
      </c>
      <c r="N968" s="1">
        <v>0</v>
      </c>
      <c r="O968" s="1">
        <v>0</v>
      </c>
      <c r="P968" s="11" t="str">
        <f t="shared" si="14"/>
        <v>平</v>
      </c>
      <c r="Q968" s="11" t="str">
        <f t="shared" si="14"/>
        <v>胜</v>
      </c>
    </row>
    <row r="969" spans="4:17" customFormat="1" hidden="1" x14ac:dyDescent="0.15">
      <c r="D969" t="s">
        <v>6</v>
      </c>
      <c r="E969" s="1">
        <v>490579</v>
      </c>
      <c r="F969" s="1">
        <v>490579</v>
      </c>
      <c r="G969" s="8">
        <v>43276</v>
      </c>
      <c r="H969" s="1" t="s">
        <v>41</v>
      </c>
      <c r="I969" s="1">
        <v>1</v>
      </c>
      <c r="J969" s="1">
        <v>2</v>
      </c>
      <c r="K969" s="1">
        <v>0</v>
      </c>
      <c r="L969" s="1" t="s">
        <v>53</v>
      </c>
      <c r="M969" s="1">
        <v>0</v>
      </c>
      <c r="N969" s="1">
        <v>3</v>
      </c>
      <c r="O969" s="1">
        <v>0</v>
      </c>
      <c r="P969" s="11" t="str">
        <f t="shared" si="14"/>
        <v>胜</v>
      </c>
      <c r="Q969" s="11" t="str">
        <f t="shared" si="14"/>
        <v>负</v>
      </c>
    </row>
    <row r="970" spans="4:17" customFormat="1" hidden="1" x14ac:dyDescent="0.15">
      <c r="D970" t="s">
        <v>6</v>
      </c>
      <c r="E970" s="1">
        <v>490580</v>
      </c>
      <c r="F970" s="1">
        <v>490580</v>
      </c>
      <c r="G970" s="8">
        <v>43276</v>
      </c>
      <c r="H970" s="1" t="s">
        <v>40</v>
      </c>
      <c r="I970" s="1">
        <v>2</v>
      </c>
      <c r="J970" s="1">
        <v>3</v>
      </c>
      <c r="K970" s="1">
        <v>0</v>
      </c>
      <c r="L970" s="1" t="s">
        <v>57</v>
      </c>
      <c r="M970" s="1">
        <v>0</v>
      </c>
      <c r="N970" s="1">
        <v>0</v>
      </c>
      <c r="O970" s="1">
        <v>0</v>
      </c>
      <c r="P970" s="11" t="str">
        <f t="shared" si="14"/>
        <v>胜</v>
      </c>
      <c r="Q970" s="11" t="str">
        <f t="shared" si="14"/>
        <v>胜</v>
      </c>
    </row>
    <row r="971" spans="4:17" customFormat="1" hidden="1" x14ac:dyDescent="0.15">
      <c r="D971" t="s">
        <v>6</v>
      </c>
      <c r="E971" s="1">
        <v>490581</v>
      </c>
      <c r="F971" s="1">
        <v>490581</v>
      </c>
      <c r="G971" s="8">
        <v>43276.083333333336</v>
      </c>
      <c r="H971" s="1" t="s">
        <v>37</v>
      </c>
      <c r="I971" s="1">
        <v>2</v>
      </c>
      <c r="J971" s="1">
        <v>3</v>
      </c>
      <c r="K971" s="1">
        <v>0</v>
      </c>
      <c r="L971" s="1" t="s">
        <v>49</v>
      </c>
      <c r="M971" s="1">
        <v>0</v>
      </c>
      <c r="N971" s="1">
        <v>0</v>
      </c>
      <c r="O971" s="1">
        <v>0</v>
      </c>
      <c r="P971" s="11" t="str">
        <f t="shared" si="14"/>
        <v>胜</v>
      </c>
      <c r="Q971" s="11" t="str">
        <f t="shared" si="14"/>
        <v>胜</v>
      </c>
    </row>
    <row r="972" spans="4:17" customFormat="1" hidden="1" x14ac:dyDescent="0.15">
      <c r="D972" t="s">
        <v>6</v>
      </c>
      <c r="E972" s="1">
        <v>490582</v>
      </c>
      <c r="F972" s="1">
        <v>490582</v>
      </c>
      <c r="G972" s="8">
        <v>43277.041666666664</v>
      </c>
      <c r="H972" s="1" t="s">
        <v>54</v>
      </c>
      <c r="I972" s="1">
        <v>0</v>
      </c>
      <c r="J972" s="1">
        <v>0</v>
      </c>
      <c r="K972" s="1">
        <v>0</v>
      </c>
      <c r="L972" s="1" t="s">
        <v>46</v>
      </c>
      <c r="M972" s="1">
        <v>0</v>
      </c>
      <c r="N972" s="1">
        <v>1</v>
      </c>
      <c r="O972" s="1">
        <v>0</v>
      </c>
      <c r="P972" s="11" t="str">
        <f t="shared" si="14"/>
        <v>平</v>
      </c>
      <c r="Q972" s="11" t="str">
        <f t="shared" si="14"/>
        <v>负</v>
      </c>
    </row>
    <row r="973" spans="4:17" customFormat="1" hidden="1" x14ac:dyDescent="0.15">
      <c r="D973" t="s">
        <v>6</v>
      </c>
      <c r="E973" s="1">
        <v>493536</v>
      </c>
      <c r="F973" s="1">
        <v>493536</v>
      </c>
      <c r="G973" s="8">
        <v>43282</v>
      </c>
      <c r="H973" s="1" t="s">
        <v>49</v>
      </c>
      <c r="I973" s="1">
        <v>1</v>
      </c>
      <c r="J973" s="1">
        <v>2</v>
      </c>
      <c r="K973" s="1">
        <v>0</v>
      </c>
      <c r="L973" s="1" t="s">
        <v>32</v>
      </c>
      <c r="M973" s="1">
        <v>1</v>
      </c>
      <c r="N973" s="1">
        <v>2</v>
      </c>
      <c r="O973" s="1">
        <v>0</v>
      </c>
      <c r="P973" s="11" t="str">
        <f t="shared" ref="P973:Q981" si="15">IF(I973=M973,"平",IF(I973&gt;M973,"胜","负"))</f>
        <v>平</v>
      </c>
      <c r="Q973" s="11" t="str">
        <f t="shared" si="15"/>
        <v>平</v>
      </c>
    </row>
    <row r="974" spans="4:17" customFormat="1" hidden="1" x14ac:dyDescent="0.15">
      <c r="D974" t="s">
        <v>6</v>
      </c>
      <c r="E974" s="1">
        <v>493688</v>
      </c>
      <c r="F974" s="1">
        <v>493688</v>
      </c>
      <c r="G974" s="8">
        <v>43283.000694444447</v>
      </c>
      <c r="H974" s="1" t="s">
        <v>56</v>
      </c>
      <c r="I974" s="1">
        <v>1</v>
      </c>
      <c r="J974" s="1">
        <v>1</v>
      </c>
      <c r="K974" s="1">
        <v>0</v>
      </c>
      <c r="L974" s="1" t="s">
        <v>41</v>
      </c>
      <c r="M974" s="1">
        <v>0</v>
      </c>
      <c r="N974" s="1">
        <v>1</v>
      </c>
      <c r="O974" s="1">
        <v>0</v>
      </c>
      <c r="P974" s="11" t="str">
        <f t="shared" si="15"/>
        <v>胜</v>
      </c>
      <c r="Q974" s="11" t="str">
        <f t="shared" si="15"/>
        <v>平</v>
      </c>
    </row>
    <row r="975" spans="4:17" customFormat="1" hidden="1" x14ac:dyDescent="0.15">
      <c r="D975" t="s">
        <v>6</v>
      </c>
      <c r="E975" s="1">
        <v>493689</v>
      </c>
      <c r="F975" s="1">
        <v>493689</v>
      </c>
      <c r="G975" s="8">
        <v>43283.000694444447</v>
      </c>
      <c r="H975" s="1" t="s">
        <v>53</v>
      </c>
      <c r="I975" s="1">
        <v>1</v>
      </c>
      <c r="J975" s="1">
        <v>2</v>
      </c>
      <c r="K975" s="1">
        <v>0</v>
      </c>
      <c r="L975" s="1" t="s">
        <v>54</v>
      </c>
      <c r="M975" s="1">
        <v>1</v>
      </c>
      <c r="N975" s="1">
        <v>1</v>
      </c>
      <c r="O975" s="1">
        <v>0</v>
      </c>
      <c r="P975" s="11" t="str">
        <f t="shared" si="15"/>
        <v>平</v>
      </c>
      <c r="Q975" s="11" t="str">
        <f t="shared" si="15"/>
        <v>胜</v>
      </c>
    </row>
    <row r="976" spans="4:17" customFormat="1" hidden="1" x14ac:dyDescent="0.15">
      <c r="D976" t="s">
        <v>6</v>
      </c>
      <c r="E976" s="1">
        <v>493690</v>
      </c>
      <c r="F976" s="1">
        <v>493690</v>
      </c>
      <c r="G976" s="8">
        <v>43283</v>
      </c>
      <c r="H976" s="1" t="s">
        <v>57</v>
      </c>
      <c r="I976" s="1">
        <v>1</v>
      </c>
      <c r="J976" s="1">
        <v>2</v>
      </c>
      <c r="K976" s="1">
        <v>0</v>
      </c>
      <c r="L976" s="1" t="s">
        <v>36</v>
      </c>
      <c r="M976" s="1">
        <v>0</v>
      </c>
      <c r="N976" s="1">
        <v>0</v>
      </c>
      <c r="O976" s="1">
        <v>0</v>
      </c>
      <c r="P976" s="11" t="str">
        <f t="shared" si="15"/>
        <v>胜</v>
      </c>
      <c r="Q976" s="11" t="str">
        <f t="shared" si="15"/>
        <v>胜</v>
      </c>
    </row>
    <row r="977" spans="4:17" customFormat="1" hidden="1" x14ac:dyDescent="0.15">
      <c r="D977" t="s">
        <v>6</v>
      </c>
      <c r="E977" s="1">
        <v>493691</v>
      </c>
      <c r="F977" s="1">
        <v>493691</v>
      </c>
      <c r="G977" s="8">
        <v>43283</v>
      </c>
      <c r="H977" s="1" t="s">
        <v>52</v>
      </c>
      <c r="I977" s="1">
        <v>0</v>
      </c>
      <c r="J977" s="1">
        <v>0</v>
      </c>
      <c r="K977" s="1">
        <v>0</v>
      </c>
      <c r="L977" s="1" t="s">
        <v>37</v>
      </c>
      <c r="M977" s="1">
        <v>0</v>
      </c>
      <c r="N977" s="1">
        <v>1</v>
      </c>
      <c r="O977" s="1">
        <v>0</v>
      </c>
      <c r="P977" s="11" t="str">
        <f t="shared" si="15"/>
        <v>平</v>
      </c>
      <c r="Q977" s="11" t="str">
        <f t="shared" si="15"/>
        <v>负</v>
      </c>
    </row>
    <row r="978" spans="4:17" customFormat="1" hidden="1" x14ac:dyDescent="0.15">
      <c r="D978" t="s">
        <v>6</v>
      </c>
      <c r="E978" s="1">
        <v>493692</v>
      </c>
      <c r="F978" s="1">
        <v>493692</v>
      </c>
      <c r="G978" s="8">
        <v>43283.002083333333</v>
      </c>
      <c r="H978" s="1" t="s">
        <v>46</v>
      </c>
      <c r="I978" s="1">
        <v>0</v>
      </c>
      <c r="J978" s="1">
        <v>0</v>
      </c>
      <c r="K978" s="1">
        <v>0</v>
      </c>
      <c r="L978" s="1" t="s">
        <v>38</v>
      </c>
      <c r="M978" s="1">
        <v>4</v>
      </c>
      <c r="N978" s="1">
        <v>4</v>
      </c>
      <c r="O978" s="1">
        <v>0</v>
      </c>
      <c r="P978" s="11" t="str">
        <f t="shared" si="15"/>
        <v>负</v>
      </c>
      <c r="Q978" s="11" t="str">
        <f t="shared" si="15"/>
        <v>负</v>
      </c>
    </row>
    <row r="979" spans="4:17" customFormat="1" hidden="1" x14ac:dyDescent="0.15">
      <c r="D979" t="s">
        <v>6</v>
      </c>
      <c r="E979" s="1">
        <v>493693</v>
      </c>
      <c r="F979" s="1">
        <v>493693</v>
      </c>
      <c r="G979" s="8">
        <v>43283.083333333336</v>
      </c>
      <c r="H979" s="1" t="s">
        <v>42</v>
      </c>
      <c r="I979" s="1">
        <v>1</v>
      </c>
      <c r="J979" s="1">
        <v>2</v>
      </c>
      <c r="K979" s="1">
        <v>0</v>
      </c>
      <c r="L979" s="1" t="s">
        <v>48</v>
      </c>
      <c r="M979" s="1">
        <v>0</v>
      </c>
      <c r="N979" s="1">
        <v>1</v>
      </c>
      <c r="O979" s="1">
        <v>0</v>
      </c>
      <c r="P979" s="11" t="str">
        <f t="shared" si="15"/>
        <v>胜</v>
      </c>
      <c r="Q979" s="11" t="str">
        <f t="shared" si="15"/>
        <v>胜</v>
      </c>
    </row>
    <row r="980" spans="4:17" customFormat="1" hidden="1" x14ac:dyDescent="0.15">
      <c r="D980" t="s">
        <v>6</v>
      </c>
      <c r="E980" s="1">
        <v>493786</v>
      </c>
      <c r="F980" s="1">
        <v>493786</v>
      </c>
      <c r="G980" s="8">
        <v>43284.001388888886</v>
      </c>
      <c r="H980" s="1" t="s">
        <v>44</v>
      </c>
      <c r="I980" s="1">
        <v>0</v>
      </c>
      <c r="J980" s="1">
        <v>1</v>
      </c>
      <c r="K980" s="1">
        <v>0</v>
      </c>
      <c r="L980" s="1" t="s">
        <v>40</v>
      </c>
      <c r="M980" s="1">
        <v>1</v>
      </c>
      <c r="N980" s="1">
        <v>1</v>
      </c>
      <c r="O980" s="1">
        <v>0</v>
      </c>
      <c r="P980" s="11" t="str">
        <f t="shared" si="15"/>
        <v>负</v>
      </c>
      <c r="Q980" s="11" t="str">
        <f t="shared" si="15"/>
        <v>平</v>
      </c>
    </row>
    <row r="981" spans="4:17" customFormat="1" hidden="1" x14ac:dyDescent="0.15">
      <c r="D981" t="s">
        <v>6</v>
      </c>
      <c r="E981" s="1">
        <v>495195</v>
      </c>
      <c r="F981" s="1">
        <v>495195</v>
      </c>
      <c r="G981" s="8">
        <v>43289</v>
      </c>
      <c r="H981" s="1" t="s">
        <v>37</v>
      </c>
      <c r="I981" s="1">
        <v>1</v>
      </c>
      <c r="J981" s="1">
        <v>2</v>
      </c>
      <c r="K981" s="1">
        <v>0</v>
      </c>
      <c r="L981" s="1" t="s">
        <v>53</v>
      </c>
      <c r="M981" s="1">
        <v>0</v>
      </c>
      <c r="N981" s="1">
        <v>1</v>
      </c>
      <c r="O981" s="1">
        <v>0</v>
      </c>
      <c r="P981" s="11" t="str">
        <f t="shared" si="15"/>
        <v>胜</v>
      </c>
      <c r="Q981" s="11" t="str">
        <f t="shared" si="15"/>
        <v>胜</v>
      </c>
    </row>
    <row r="982" spans="4:17" x14ac:dyDescent="0.15"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7"/>
      <c r="Q982" s="7"/>
    </row>
    <row r="983" spans="4:17" x14ac:dyDescent="0.15"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7"/>
      <c r="Q983" s="7"/>
    </row>
    <row r="984" spans="4:17" x14ac:dyDescent="0.15"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7"/>
      <c r="Q984" s="7"/>
    </row>
    <row r="985" spans="4:17" x14ac:dyDescent="0.15"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7"/>
      <c r="Q985" s="7"/>
    </row>
    <row r="986" spans="4:17" x14ac:dyDescent="0.15"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7"/>
      <c r="Q986" s="7"/>
    </row>
    <row r="987" spans="4:17" x14ac:dyDescent="0.15"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7"/>
      <c r="Q987" s="7"/>
    </row>
    <row r="988" spans="4:17" x14ac:dyDescent="0.15"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7"/>
      <c r="Q988" s="7"/>
    </row>
    <row r="989" spans="4:17" x14ac:dyDescent="0.15"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7"/>
      <c r="Q989" s="7"/>
    </row>
    <row r="990" spans="4:17" x14ac:dyDescent="0.15"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7"/>
      <c r="Q990" s="7"/>
    </row>
    <row r="991" spans="4:17" x14ac:dyDescent="0.15"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7"/>
      <c r="Q991" s="7"/>
    </row>
  </sheetData>
  <autoFilter ref="D11:O981">
    <filterColumn colId="4">
      <filters>
        <filter val="波杜基林特"/>
      </filters>
    </filterColumn>
  </autoFilter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D1:Q991"/>
  <sheetViews>
    <sheetView tabSelected="1" topLeftCell="E1" workbookViewId="0">
      <pane ySplit="11" topLeftCell="A463" activePane="bottomLeft" state="frozen"/>
      <selection pane="bottomLeft" activeCell="R6" sqref="R6:R7"/>
    </sheetView>
  </sheetViews>
  <sheetFormatPr defaultRowHeight="13.5" x14ac:dyDescent="0.15"/>
  <cols>
    <col min="1" max="7" width="9" style="2"/>
    <col min="8" max="8" width="10.25" style="2" customWidth="1"/>
    <col min="9" max="15" width="9" style="2"/>
    <col min="16" max="17" width="3.375" style="5" bestFit="1" customWidth="1"/>
    <col min="18" max="16384" width="9" style="2"/>
  </cols>
  <sheetData>
    <row r="1" spans="4:17" s="13" customFormat="1" ht="14.25" thickBot="1" x14ac:dyDescent="0.2">
      <c r="H1" s="14" t="s">
        <v>1773</v>
      </c>
      <c r="I1" s="15" t="s">
        <v>1778</v>
      </c>
      <c r="J1" s="15" t="s">
        <v>1780</v>
      </c>
      <c r="K1" s="16" t="s">
        <v>1785</v>
      </c>
      <c r="L1" s="17" t="s">
        <v>1770</v>
      </c>
      <c r="M1" s="18" t="s">
        <v>1778</v>
      </c>
      <c r="N1" s="18" t="s">
        <v>1780</v>
      </c>
      <c r="O1" s="19" t="s">
        <v>1784</v>
      </c>
      <c r="P1" s="20"/>
      <c r="Q1" s="20"/>
    </row>
    <row r="2" spans="4:17" s="13" customFormat="1" ht="14.25" thickBot="1" x14ac:dyDescent="0.2">
      <c r="H2" s="21" t="s">
        <v>1837</v>
      </c>
      <c r="I2" s="22">
        <f>SUMIF($H$12:$H2214,$H$2,I$12:I2214)</f>
        <v>25</v>
      </c>
      <c r="J2" s="22">
        <f>SUMIF($H$12:$H2214,$H$2,J$12:J2214)</f>
        <v>60</v>
      </c>
      <c r="K2" s="22">
        <f>COUNTIF($H$12:$H2214,$H$2)</f>
        <v>46</v>
      </c>
      <c r="L2" s="21" t="s">
        <v>1838</v>
      </c>
      <c r="M2" s="22">
        <f>SUMIF($L$12:$L2214,$L$2,M$12:M2214)</f>
        <v>40</v>
      </c>
      <c r="N2" s="22">
        <f>SUMIF($L$12:$L2214,$L$2,N$12:N2214)</f>
        <v>84</v>
      </c>
      <c r="O2" s="22">
        <f>COUNTIF($L$12:$L2214,$L$2)</f>
        <v>60</v>
      </c>
      <c r="P2" s="20"/>
      <c r="Q2" s="20"/>
    </row>
    <row r="3" spans="4:17" s="13" customFormat="1" ht="14.25" thickBot="1" x14ac:dyDescent="0.2">
      <c r="H3" s="14"/>
      <c r="I3" s="15" t="s">
        <v>1787</v>
      </c>
      <c r="J3" s="15" t="s">
        <v>1788</v>
      </c>
      <c r="K3" s="16"/>
      <c r="L3" s="17"/>
      <c r="M3" s="18" t="s">
        <v>1787</v>
      </c>
      <c r="N3" s="18" t="s">
        <v>1789</v>
      </c>
      <c r="O3" s="19"/>
      <c r="P3" s="20"/>
      <c r="Q3" s="20"/>
    </row>
    <row r="4" spans="4:17" s="13" customFormat="1" ht="14.25" thickBot="1" x14ac:dyDescent="0.2">
      <c r="H4" s="22"/>
      <c r="I4" s="23">
        <f>I2/K2</f>
        <v>0.54347826086956519</v>
      </c>
      <c r="J4" s="23">
        <f>J2/K2</f>
        <v>1.3043478260869565</v>
      </c>
      <c r="K4" s="23"/>
      <c r="L4" s="23"/>
      <c r="M4" s="23">
        <f>M2/O2</f>
        <v>0.66666666666666663</v>
      </c>
      <c r="N4" s="23">
        <f>N2/O2</f>
        <v>1.4</v>
      </c>
      <c r="O4" s="22"/>
      <c r="P4" s="20"/>
      <c r="Q4" s="20"/>
    </row>
    <row r="5" spans="4:17" s="13" customFormat="1" ht="27.75" thickBot="1" x14ac:dyDescent="0.2">
      <c r="H5" s="14"/>
      <c r="I5" s="15" t="s">
        <v>1791</v>
      </c>
      <c r="J5" s="15"/>
      <c r="K5" s="16"/>
      <c r="L5" s="17"/>
      <c r="M5" s="18" t="s">
        <v>1791</v>
      </c>
      <c r="N5" s="18"/>
      <c r="O5" s="19"/>
      <c r="P5" s="20"/>
      <c r="Q5" s="20"/>
    </row>
    <row r="6" spans="4:17" s="13" customFormat="1" ht="14.25" thickBot="1" x14ac:dyDescent="0.2">
      <c r="I6" s="13">
        <f>COUNTIFS($H$12:$H2214,$H$2,$I$12:$I2214,"&gt;0")</f>
        <v>19</v>
      </c>
      <c r="M6" s="13">
        <f>COUNTIFS($L$12:$L2214,$H$2,$M$12:$M2214,"&gt;0")</f>
        <v>16</v>
      </c>
      <c r="P6" s="20"/>
      <c r="Q6" s="20"/>
    </row>
    <row r="7" spans="4:17" s="13" customFormat="1" ht="27.75" thickBot="1" x14ac:dyDescent="0.2">
      <c r="H7" s="14"/>
      <c r="I7" s="15" t="s">
        <v>1793</v>
      </c>
      <c r="J7" s="15"/>
      <c r="K7" s="16"/>
      <c r="L7" s="17"/>
      <c r="M7" s="18" t="s">
        <v>1794</v>
      </c>
      <c r="N7" s="18"/>
      <c r="O7" s="19"/>
      <c r="P7" s="20"/>
      <c r="Q7" s="20"/>
    </row>
    <row r="8" spans="4:17" s="13" customFormat="1" ht="12.75" customHeight="1" x14ac:dyDescent="0.15">
      <c r="I8" s="13">
        <f>COUNTIFS($H$12:$H2214,$H$2,$M$12:$M2214,"&gt;0")</f>
        <v>27</v>
      </c>
      <c r="M8" s="13">
        <f>COUNTIFS($L$12:$L2214,$H$2,$I$12:$I2214,"&gt;0")</f>
        <v>25</v>
      </c>
      <c r="P8" s="20"/>
      <c r="Q8" s="20"/>
    </row>
    <row r="9" spans="4:17" s="13" customFormat="1" x14ac:dyDescent="0.15">
      <c r="P9" s="20"/>
      <c r="Q9" s="20"/>
    </row>
    <row r="10" spans="4:17" x14ac:dyDescent="0.15">
      <c r="D10" s="2" t="s">
        <v>0</v>
      </c>
      <c r="E10" s="2" t="s">
        <v>15</v>
      </c>
      <c r="F10" s="2" t="s">
        <v>19</v>
      </c>
      <c r="G10" s="2" t="s">
        <v>1</v>
      </c>
      <c r="H10" s="2" t="s">
        <v>2</v>
      </c>
      <c r="I10" s="2" t="s">
        <v>13</v>
      </c>
      <c r="J10" s="2" t="s">
        <v>11</v>
      </c>
      <c r="L10" s="2" t="s">
        <v>12</v>
      </c>
      <c r="M10" s="2" t="s">
        <v>1771</v>
      </c>
      <c r="N10" s="2" t="s">
        <v>12</v>
      </c>
    </row>
    <row r="11" spans="4:17" x14ac:dyDescent="0.15">
      <c r="D11" s="2" t="s">
        <v>17</v>
      </c>
      <c r="E11" s="2" t="s">
        <v>21</v>
      </c>
      <c r="F11" s="2" t="s">
        <v>18</v>
      </c>
      <c r="G11" s="2" t="s">
        <v>22</v>
      </c>
      <c r="H11" s="2" t="s">
        <v>23</v>
      </c>
      <c r="I11" s="2" t="s">
        <v>1795</v>
      </c>
      <c r="J11" s="2" t="s">
        <v>25</v>
      </c>
      <c r="K11" s="2" t="s">
        <v>26</v>
      </c>
      <c r="L11" s="2" t="s">
        <v>27</v>
      </c>
      <c r="M11" s="2" t="s">
        <v>28</v>
      </c>
      <c r="N11" s="2" t="s">
        <v>29</v>
      </c>
      <c r="O11" s="2" t="s">
        <v>30</v>
      </c>
    </row>
    <row r="12" spans="4:17" customFormat="1" hidden="1" x14ac:dyDescent="0.15">
      <c r="D12" t="s">
        <v>6</v>
      </c>
      <c r="E12" s="1">
        <v>8101</v>
      </c>
      <c r="F12" s="1">
        <v>8101</v>
      </c>
      <c r="G12" s="8">
        <v>41800</v>
      </c>
      <c r="H12" s="1" t="s">
        <v>31</v>
      </c>
      <c r="I12" s="1">
        <v>1</v>
      </c>
      <c r="J12" s="1">
        <v>1</v>
      </c>
      <c r="K12" s="1">
        <v>0</v>
      </c>
      <c r="L12" s="1" t="s">
        <v>32</v>
      </c>
      <c r="M12" s="1">
        <v>0</v>
      </c>
      <c r="N12" s="1">
        <v>0</v>
      </c>
      <c r="O12" s="1">
        <v>0</v>
      </c>
      <c r="P12" s="11" t="str">
        <f>IF(I12=M12,"平",IF(I12&gt;M12,"胜","负"))</f>
        <v>胜</v>
      </c>
      <c r="Q12" s="11" t="str">
        <f>IF(J12=N12,"平",IF(J12&gt;N12,"胜","负"))</f>
        <v>胜</v>
      </c>
    </row>
    <row r="13" spans="4:17" customFormat="1" hidden="1" x14ac:dyDescent="0.15">
      <c r="D13" t="s">
        <v>6</v>
      </c>
      <c r="E13" s="1">
        <v>8102</v>
      </c>
      <c r="F13" s="1">
        <v>8102</v>
      </c>
      <c r="G13" s="8">
        <v>41800</v>
      </c>
      <c r="H13" s="1" t="s">
        <v>34</v>
      </c>
      <c r="I13" s="1">
        <v>0</v>
      </c>
      <c r="J13" s="1">
        <v>0</v>
      </c>
      <c r="K13" s="1">
        <v>0</v>
      </c>
      <c r="L13" s="1" t="s">
        <v>35</v>
      </c>
      <c r="M13" s="1">
        <v>0</v>
      </c>
      <c r="N13" s="1">
        <v>0</v>
      </c>
      <c r="O13" s="1">
        <v>0</v>
      </c>
      <c r="P13" s="11" t="str">
        <f t="shared" ref="P13:Q76" si="0">IF(I13=M13,"平",IF(I13&gt;M13,"胜","负"))</f>
        <v>平</v>
      </c>
      <c r="Q13" s="11" t="str">
        <f t="shared" si="0"/>
        <v>平</v>
      </c>
    </row>
    <row r="14" spans="4:17" customFormat="1" x14ac:dyDescent="0.15">
      <c r="D14" t="s">
        <v>6</v>
      </c>
      <c r="E14" s="1">
        <v>8238</v>
      </c>
      <c r="F14" s="1">
        <v>8238</v>
      </c>
      <c r="G14" s="8">
        <v>41802.958333333336</v>
      </c>
      <c r="H14" s="1" t="s">
        <v>36</v>
      </c>
      <c r="I14" s="1">
        <v>0</v>
      </c>
      <c r="J14" s="1">
        <v>2</v>
      </c>
      <c r="K14" s="1">
        <v>0</v>
      </c>
      <c r="L14" s="1" t="s">
        <v>37</v>
      </c>
      <c r="M14" s="1">
        <v>2</v>
      </c>
      <c r="N14" s="1">
        <v>4</v>
      </c>
      <c r="O14" s="1">
        <v>0</v>
      </c>
      <c r="P14" s="11" t="str">
        <f t="shared" si="0"/>
        <v>负</v>
      </c>
      <c r="Q14" s="11" t="str">
        <f t="shared" si="0"/>
        <v>负</v>
      </c>
    </row>
    <row r="15" spans="4:17" customFormat="1" hidden="1" x14ac:dyDescent="0.15">
      <c r="D15" t="s">
        <v>6</v>
      </c>
      <c r="E15" s="1">
        <v>10533</v>
      </c>
      <c r="F15" s="1">
        <v>10533</v>
      </c>
      <c r="G15" s="8">
        <v>41825.896527777775</v>
      </c>
      <c r="H15" s="1" t="s">
        <v>38</v>
      </c>
      <c r="I15" s="1">
        <v>2</v>
      </c>
      <c r="J15" s="1">
        <v>3</v>
      </c>
      <c r="K15" s="1">
        <v>0</v>
      </c>
      <c r="L15" s="1" t="s">
        <v>35</v>
      </c>
      <c r="M15" s="1">
        <v>0</v>
      </c>
      <c r="N15" s="1">
        <v>0</v>
      </c>
      <c r="O15" s="1">
        <v>0</v>
      </c>
      <c r="P15" s="11" t="str">
        <f t="shared" si="0"/>
        <v>胜</v>
      </c>
      <c r="Q15" s="11" t="str">
        <f t="shared" si="0"/>
        <v>胜</v>
      </c>
    </row>
    <row r="16" spans="4:17" customFormat="1" hidden="1" x14ac:dyDescent="0.15">
      <c r="D16" t="s">
        <v>6</v>
      </c>
      <c r="E16" s="1">
        <v>10655</v>
      </c>
      <c r="F16" s="1">
        <v>10655</v>
      </c>
      <c r="G16" s="8">
        <v>41826.895138888889</v>
      </c>
      <c r="H16" s="1" t="s">
        <v>40</v>
      </c>
      <c r="I16" s="1">
        <v>0</v>
      </c>
      <c r="J16" s="1">
        <v>1</v>
      </c>
      <c r="K16" s="1">
        <v>0</v>
      </c>
      <c r="L16" s="1" t="s">
        <v>31</v>
      </c>
      <c r="M16" s="1">
        <v>0</v>
      </c>
      <c r="N16" s="1">
        <v>0</v>
      </c>
      <c r="O16" s="1">
        <v>0</v>
      </c>
      <c r="P16" s="11" t="str">
        <f t="shared" si="0"/>
        <v>平</v>
      </c>
      <c r="Q16" s="11" t="str">
        <f t="shared" si="0"/>
        <v>胜</v>
      </c>
    </row>
    <row r="17" spans="4:17" customFormat="1" hidden="1" x14ac:dyDescent="0.15">
      <c r="D17" t="s">
        <v>6</v>
      </c>
      <c r="E17" s="1">
        <v>10856</v>
      </c>
      <c r="F17" s="1">
        <v>10856</v>
      </c>
      <c r="G17" s="8">
        <v>41827.000694444447</v>
      </c>
      <c r="H17" s="1" t="s">
        <v>41</v>
      </c>
      <c r="I17" s="1">
        <v>1</v>
      </c>
      <c r="J17" s="1">
        <v>2</v>
      </c>
      <c r="K17" s="1">
        <v>0</v>
      </c>
      <c r="L17" s="1" t="s">
        <v>32</v>
      </c>
      <c r="M17" s="1">
        <v>0</v>
      </c>
      <c r="N17" s="1">
        <v>1</v>
      </c>
      <c r="O17" s="1">
        <v>0</v>
      </c>
      <c r="P17" s="11" t="str">
        <f t="shared" si="0"/>
        <v>胜</v>
      </c>
      <c r="Q17" s="11" t="str">
        <f t="shared" si="0"/>
        <v>胜</v>
      </c>
    </row>
    <row r="18" spans="4:17" customFormat="1" hidden="1" x14ac:dyDescent="0.15">
      <c r="D18" t="s">
        <v>6</v>
      </c>
      <c r="E18" s="1">
        <v>10858</v>
      </c>
      <c r="F18" s="1">
        <v>10858</v>
      </c>
      <c r="G18" s="8">
        <v>41827</v>
      </c>
      <c r="H18" s="1" t="s">
        <v>42</v>
      </c>
      <c r="I18" s="1">
        <v>0</v>
      </c>
      <c r="J18" s="1">
        <v>0</v>
      </c>
      <c r="K18" s="1">
        <v>0</v>
      </c>
      <c r="L18" s="1" t="s">
        <v>43</v>
      </c>
      <c r="M18" s="1">
        <v>1</v>
      </c>
      <c r="N18" s="1">
        <v>2</v>
      </c>
      <c r="O18" s="1">
        <v>0</v>
      </c>
      <c r="P18" s="11" t="str">
        <f t="shared" si="0"/>
        <v>负</v>
      </c>
      <c r="Q18" s="11" t="str">
        <f t="shared" si="0"/>
        <v>负</v>
      </c>
    </row>
    <row r="19" spans="4:17" customFormat="1" x14ac:dyDescent="0.15">
      <c r="D19" t="s">
        <v>6</v>
      </c>
      <c r="E19" s="1">
        <v>10859</v>
      </c>
      <c r="F19" s="1">
        <v>10859</v>
      </c>
      <c r="G19" s="8">
        <v>41827</v>
      </c>
      <c r="H19" s="1" t="s">
        <v>36</v>
      </c>
      <c r="I19" s="1">
        <v>1</v>
      </c>
      <c r="J19" s="1">
        <v>3</v>
      </c>
      <c r="K19" s="1">
        <v>0</v>
      </c>
      <c r="L19" s="1" t="s">
        <v>44</v>
      </c>
      <c r="M19" s="1">
        <v>1</v>
      </c>
      <c r="N19" s="1">
        <v>1</v>
      </c>
      <c r="O19" s="1">
        <v>0</v>
      </c>
      <c r="P19" s="11" t="str">
        <f t="shared" si="0"/>
        <v>平</v>
      </c>
      <c r="Q19" s="11" t="str">
        <f t="shared" si="0"/>
        <v>胜</v>
      </c>
    </row>
    <row r="20" spans="4:17" customFormat="1" hidden="1" x14ac:dyDescent="0.15">
      <c r="D20" t="s">
        <v>6</v>
      </c>
      <c r="E20" s="1">
        <v>10860</v>
      </c>
      <c r="F20" s="1">
        <v>10860</v>
      </c>
      <c r="G20" s="8">
        <v>41827</v>
      </c>
      <c r="H20" s="1" t="s">
        <v>45</v>
      </c>
      <c r="I20" s="1">
        <v>0</v>
      </c>
      <c r="J20" s="1">
        <v>0</v>
      </c>
      <c r="K20" s="1">
        <v>0</v>
      </c>
      <c r="L20" s="1" t="s">
        <v>46</v>
      </c>
      <c r="M20" s="1">
        <v>2</v>
      </c>
      <c r="N20" s="1">
        <v>2</v>
      </c>
      <c r="O20" s="1">
        <v>0</v>
      </c>
      <c r="P20" s="11" t="str">
        <f t="shared" si="0"/>
        <v>负</v>
      </c>
      <c r="Q20" s="11" t="str">
        <f t="shared" si="0"/>
        <v>负</v>
      </c>
    </row>
    <row r="21" spans="4:17" customFormat="1" hidden="1" x14ac:dyDescent="0.15">
      <c r="D21" t="s">
        <v>6</v>
      </c>
      <c r="E21" s="1">
        <v>10865</v>
      </c>
      <c r="F21" s="1">
        <v>10865</v>
      </c>
      <c r="G21" s="8">
        <v>41827.041666666664</v>
      </c>
      <c r="H21" s="1" t="s">
        <v>37</v>
      </c>
      <c r="I21" s="1">
        <v>2</v>
      </c>
      <c r="J21" s="1">
        <v>5</v>
      </c>
      <c r="K21" s="1">
        <v>0</v>
      </c>
      <c r="L21" s="1" t="s">
        <v>48</v>
      </c>
      <c r="M21" s="1">
        <v>0</v>
      </c>
      <c r="N21" s="1">
        <v>3</v>
      </c>
      <c r="O21" s="1">
        <v>0</v>
      </c>
      <c r="P21" s="11" t="str">
        <f t="shared" si="0"/>
        <v>胜</v>
      </c>
      <c r="Q21" s="11" t="str">
        <f t="shared" si="0"/>
        <v>胜</v>
      </c>
    </row>
    <row r="22" spans="4:17" customFormat="1" hidden="1" x14ac:dyDescent="0.15">
      <c r="D22" t="s">
        <v>6</v>
      </c>
      <c r="E22" s="1">
        <v>11010</v>
      </c>
      <c r="F22" s="1">
        <v>11010</v>
      </c>
      <c r="G22" s="8">
        <v>41828.040972222225</v>
      </c>
      <c r="H22" s="1" t="s">
        <v>34</v>
      </c>
      <c r="I22" s="1">
        <v>2</v>
      </c>
      <c r="J22" s="1">
        <v>2</v>
      </c>
      <c r="K22" s="1">
        <v>0</v>
      </c>
      <c r="L22" s="1" t="s">
        <v>49</v>
      </c>
      <c r="M22" s="1">
        <v>1</v>
      </c>
      <c r="N22" s="1">
        <v>2</v>
      </c>
      <c r="O22" s="1">
        <v>0</v>
      </c>
      <c r="P22" s="11" t="str">
        <f t="shared" si="0"/>
        <v>胜</v>
      </c>
      <c r="Q22" s="11" t="str">
        <f t="shared" si="0"/>
        <v>平</v>
      </c>
    </row>
    <row r="23" spans="4:17" customFormat="1" hidden="1" x14ac:dyDescent="0.15">
      <c r="D23" t="s">
        <v>6</v>
      </c>
      <c r="E23" s="1">
        <v>11327</v>
      </c>
      <c r="F23" s="1">
        <v>11327</v>
      </c>
      <c r="G23" s="8">
        <v>41832.896527777775</v>
      </c>
      <c r="H23" s="1" t="s">
        <v>35</v>
      </c>
      <c r="I23" s="1">
        <v>0</v>
      </c>
      <c r="J23" s="1">
        <v>0</v>
      </c>
      <c r="K23" s="1">
        <v>0</v>
      </c>
      <c r="L23" s="1" t="s">
        <v>45</v>
      </c>
      <c r="M23" s="1">
        <v>0</v>
      </c>
      <c r="N23" s="1">
        <v>0</v>
      </c>
      <c r="O23" s="1">
        <v>0</v>
      </c>
      <c r="P23" s="11" t="str">
        <f t="shared" si="0"/>
        <v>平</v>
      </c>
      <c r="Q23" s="11" t="str">
        <f t="shared" si="0"/>
        <v>平</v>
      </c>
    </row>
    <row r="24" spans="4:17" customFormat="1" hidden="1" x14ac:dyDescent="0.15">
      <c r="D24" t="s">
        <v>6</v>
      </c>
      <c r="E24" s="1">
        <v>11427</v>
      </c>
      <c r="F24" s="1">
        <v>11427</v>
      </c>
      <c r="G24" s="8">
        <v>41833.001388888886</v>
      </c>
      <c r="H24" s="1" t="s">
        <v>44</v>
      </c>
      <c r="I24" s="1">
        <v>0</v>
      </c>
      <c r="J24" s="1">
        <v>0</v>
      </c>
      <c r="K24" s="1">
        <v>0</v>
      </c>
      <c r="L24" s="1" t="s">
        <v>41</v>
      </c>
      <c r="M24" s="1">
        <v>0</v>
      </c>
      <c r="N24" s="1">
        <v>0</v>
      </c>
      <c r="O24" s="1">
        <v>0</v>
      </c>
      <c r="P24" s="11" t="str">
        <f t="shared" si="0"/>
        <v>平</v>
      </c>
      <c r="Q24" s="11" t="str">
        <f t="shared" si="0"/>
        <v>平</v>
      </c>
    </row>
    <row r="25" spans="4:17" customFormat="1" hidden="1" x14ac:dyDescent="0.15">
      <c r="D25" t="s">
        <v>6</v>
      </c>
      <c r="E25" s="1">
        <v>11428</v>
      </c>
      <c r="F25" s="1">
        <v>11428</v>
      </c>
      <c r="G25" s="8">
        <v>41832.999305555553</v>
      </c>
      <c r="H25" s="1" t="s">
        <v>31</v>
      </c>
      <c r="I25" s="1">
        <v>0</v>
      </c>
      <c r="J25" s="1">
        <v>1</v>
      </c>
      <c r="K25" s="1">
        <v>0</v>
      </c>
      <c r="L25" s="1" t="s">
        <v>36</v>
      </c>
      <c r="M25" s="1">
        <v>2</v>
      </c>
      <c r="N25" s="1">
        <v>2</v>
      </c>
      <c r="O25" s="1">
        <v>0</v>
      </c>
      <c r="P25" s="11" t="str">
        <f t="shared" si="0"/>
        <v>负</v>
      </c>
      <c r="Q25" s="11" t="str">
        <f t="shared" si="0"/>
        <v>负</v>
      </c>
    </row>
    <row r="26" spans="4:17" customFormat="1" hidden="1" x14ac:dyDescent="0.15">
      <c r="D26" t="s">
        <v>6</v>
      </c>
      <c r="E26" s="1">
        <v>11429</v>
      </c>
      <c r="F26" s="1">
        <v>11429</v>
      </c>
      <c r="G26" s="8">
        <v>41833.042361111111</v>
      </c>
      <c r="H26" s="1" t="s">
        <v>46</v>
      </c>
      <c r="I26" s="1">
        <v>0</v>
      </c>
      <c r="J26" s="1">
        <v>0</v>
      </c>
      <c r="K26" s="1">
        <v>0</v>
      </c>
      <c r="L26" s="1" t="s">
        <v>40</v>
      </c>
      <c r="M26" s="1">
        <v>0</v>
      </c>
      <c r="N26" s="1">
        <v>1</v>
      </c>
      <c r="O26" s="1">
        <v>0</v>
      </c>
      <c r="P26" s="11" t="str">
        <f t="shared" si="0"/>
        <v>平</v>
      </c>
      <c r="Q26" s="11" t="str">
        <f t="shared" si="0"/>
        <v>负</v>
      </c>
    </row>
    <row r="27" spans="4:17" customFormat="1" hidden="1" x14ac:dyDescent="0.15">
      <c r="D27" t="s">
        <v>6</v>
      </c>
      <c r="E27" s="1">
        <v>11495</v>
      </c>
      <c r="F27" s="1">
        <v>11495</v>
      </c>
      <c r="G27" s="8">
        <v>41832.041666666664</v>
      </c>
      <c r="H27" s="1" t="s">
        <v>43</v>
      </c>
      <c r="I27" s="1">
        <v>0</v>
      </c>
      <c r="J27" s="1">
        <v>0</v>
      </c>
      <c r="K27" s="1">
        <v>0</v>
      </c>
      <c r="L27" s="1" t="s">
        <v>38</v>
      </c>
      <c r="M27" s="1">
        <v>1</v>
      </c>
      <c r="N27" s="1">
        <v>1</v>
      </c>
      <c r="O27" s="1">
        <v>0</v>
      </c>
      <c r="P27" s="11" t="str">
        <f t="shared" si="0"/>
        <v>负</v>
      </c>
      <c r="Q27" s="11" t="str">
        <f t="shared" si="0"/>
        <v>负</v>
      </c>
    </row>
    <row r="28" spans="4:17" customFormat="1" hidden="1" x14ac:dyDescent="0.15">
      <c r="D28" t="s">
        <v>6</v>
      </c>
      <c r="E28" s="1">
        <v>11547</v>
      </c>
      <c r="F28" s="1">
        <v>11547</v>
      </c>
      <c r="G28" s="8">
        <v>41833.895833333336</v>
      </c>
      <c r="H28" s="1" t="s">
        <v>48</v>
      </c>
      <c r="I28" s="1">
        <v>2</v>
      </c>
      <c r="J28" s="1">
        <v>2</v>
      </c>
      <c r="K28" s="1">
        <v>0</v>
      </c>
      <c r="L28" s="1" t="s">
        <v>42</v>
      </c>
      <c r="M28" s="1">
        <v>0</v>
      </c>
      <c r="N28" s="1">
        <v>0</v>
      </c>
      <c r="O28" s="1">
        <v>0</v>
      </c>
      <c r="P28" s="11" t="str">
        <f t="shared" si="0"/>
        <v>胜</v>
      </c>
      <c r="Q28" s="11" t="str">
        <f t="shared" si="0"/>
        <v>胜</v>
      </c>
    </row>
    <row r="29" spans="4:17" customFormat="1" hidden="1" x14ac:dyDescent="0.15">
      <c r="D29" t="s">
        <v>6</v>
      </c>
      <c r="E29" s="1">
        <v>11548</v>
      </c>
      <c r="F29" s="1">
        <v>11548</v>
      </c>
      <c r="G29" s="8">
        <v>41833.958333333336</v>
      </c>
      <c r="H29" s="1" t="s">
        <v>49</v>
      </c>
      <c r="I29" s="1">
        <v>0</v>
      </c>
      <c r="J29" s="1">
        <v>2</v>
      </c>
      <c r="K29" s="1">
        <v>0</v>
      </c>
      <c r="L29" s="1" t="s">
        <v>37</v>
      </c>
      <c r="M29" s="1">
        <v>2</v>
      </c>
      <c r="N29" s="1">
        <v>2</v>
      </c>
      <c r="O29" s="1">
        <v>0</v>
      </c>
      <c r="P29" s="11" t="str">
        <f t="shared" si="0"/>
        <v>负</v>
      </c>
      <c r="Q29" s="11" t="str">
        <f t="shared" si="0"/>
        <v>平</v>
      </c>
    </row>
    <row r="30" spans="4:17" hidden="1" x14ac:dyDescent="0.15">
      <c r="D30" s="2" t="s">
        <v>6</v>
      </c>
      <c r="E30" s="6">
        <v>11954</v>
      </c>
      <c r="F30" s="6">
        <v>11954</v>
      </c>
      <c r="G30" s="24">
        <v>41833</v>
      </c>
      <c r="H30" s="6" t="s">
        <v>32</v>
      </c>
      <c r="I30" s="6">
        <v>0</v>
      </c>
      <c r="J30" s="6">
        <v>0</v>
      </c>
      <c r="K30" s="6">
        <v>0</v>
      </c>
      <c r="L30" s="6" t="s">
        <v>34</v>
      </c>
      <c r="M30" s="6">
        <v>0</v>
      </c>
      <c r="N30" s="6">
        <v>3</v>
      </c>
      <c r="O30" s="6">
        <v>0</v>
      </c>
      <c r="P30" s="11" t="str">
        <f t="shared" si="0"/>
        <v>平</v>
      </c>
      <c r="Q30" s="11" t="str">
        <f t="shared" si="0"/>
        <v>负</v>
      </c>
    </row>
    <row r="31" spans="4:17" customFormat="1" hidden="1" x14ac:dyDescent="0.15">
      <c r="D31" t="s">
        <v>6</v>
      </c>
      <c r="E31" s="1">
        <v>12351</v>
      </c>
      <c r="F31" s="1">
        <v>12351</v>
      </c>
      <c r="G31" s="8">
        <v>41839.041666666664</v>
      </c>
      <c r="H31" s="1" t="s">
        <v>42</v>
      </c>
      <c r="I31" s="1">
        <v>0</v>
      </c>
      <c r="J31" s="1">
        <v>1</v>
      </c>
      <c r="K31" s="1">
        <v>0</v>
      </c>
      <c r="L31" s="1" t="s">
        <v>46</v>
      </c>
      <c r="M31" s="1">
        <v>0</v>
      </c>
      <c r="N31" s="1">
        <v>1</v>
      </c>
      <c r="O31" s="1">
        <v>0</v>
      </c>
      <c r="P31" s="11" t="str">
        <f t="shared" si="0"/>
        <v>平</v>
      </c>
      <c r="Q31" s="11" t="str">
        <f t="shared" si="0"/>
        <v>平</v>
      </c>
    </row>
    <row r="32" spans="4:17" customFormat="1" x14ac:dyDescent="0.15">
      <c r="D32" t="s">
        <v>6</v>
      </c>
      <c r="E32" s="1">
        <v>12359</v>
      </c>
      <c r="F32" s="1">
        <v>12359</v>
      </c>
      <c r="G32" s="8">
        <v>41839.895833333336</v>
      </c>
      <c r="H32" s="1" t="s">
        <v>36</v>
      </c>
      <c r="I32" s="1">
        <v>0</v>
      </c>
      <c r="J32" s="1">
        <v>2</v>
      </c>
      <c r="K32" s="1">
        <v>0</v>
      </c>
      <c r="L32" s="1" t="s">
        <v>32</v>
      </c>
      <c r="M32" s="1">
        <v>0</v>
      </c>
      <c r="N32" s="1">
        <v>1</v>
      </c>
      <c r="O32" s="1">
        <v>0</v>
      </c>
      <c r="P32" s="11" t="str">
        <f t="shared" si="0"/>
        <v>平</v>
      </c>
      <c r="Q32" s="11" t="str">
        <f t="shared" si="0"/>
        <v>胜</v>
      </c>
    </row>
    <row r="33" spans="4:17" customFormat="1" hidden="1" x14ac:dyDescent="0.15">
      <c r="D33" t="s">
        <v>6</v>
      </c>
      <c r="E33" s="1">
        <v>12487</v>
      </c>
      <c r="F33" s="1">
        <v>12487</v>
      </c>
      <c r="G33" s="8">
        <v>41839.999305555553</v>
      </c>
      <c r="H33" s="1" t="s">
        <v>40</v>
      </c>
      <c r="I33" s="1">
        <v>0</v>
      </c>
      <c r="J33" s="1">
        <v>0</v>
      </c>
      <c r="K33" s="1">
        <v>0</v>
      </c>
      <c r="L33" s="1" t="s">
        <v>49</v>
      </c>
      <c r="M33" s="1">
        <v>2</v>
      </c>
      <c r="N33" s="1">
        <v>2</v>
      </c>
      <c r="O33" s="1">
        <v>0</v>
      </c>
      <c r="P33" s="11" t="str">
        <f t="shared" si="0"/>
        <v>负</v>
      </c>
      <c r="Q33" s="11" t="str">
        <f t="shared" si="0"/>
        <v>负</v>
      </c>
    </row>
    <row r="34" spans="4:17" customFormat="1" hidden="1" x14ac:dyDescent="0.15">
      <c r="D34" t="s">
        <v>6</v>
      </c>
      <c r="E34" s="1">
        <v>12521</v>
      </c>
      <c r="F34" s="1">
        <v>12521</v>
      </c>
      <c r="G34" s="8">
        <v>41840.895833333336</v>
      </c>
      <c r="H34" s="1" t="s">
        <v>38</v>
      </c>
      <c r="I34" s="1">
        <v>1</v>
      </c>
      <c r="J34" s="1">
        <v>3</v>
      </c>
      <c r="K34" s="1">
        <v>0</v>
      </c>
      <c r="L34" s="1" t="s">
        <v>31</v>
      </c>
      <c r="M34" s="1">
        <v>1</v>
      </c>
      <c r="N34" s="1">
        <v>1</v>
      </c>
      <c r="O34" s="1">
        <v>0</v>
      </c>
      <c r="P34" s="11" t="str">
        <f t="shared" si="0"/>
        <v>平</v>
      </c>
      <c r="Q34" s="11" t="str">
        <f t="shared" si="0"/>
        <v>胜</v>
      </c>
    </row>
    <row r="35" spans="4:17" customFormat="1" hidden="1" x14ac:dyDescent="0.15">
      <c r="D35" t="s">
        <v>6</v>
      </c>
      <c r="E35" s="1">
        <v>12695</v>
      </c>
      <c r="F35" s="1">
        <v>12695</v>
      </c>
      <c r="G35" s="8">
        <v>41841</v>
      </c>
      <c r="H35" s="1" t="s">
        <v>37</v>
      </c>
      <c r="I35" s="1">
        <v>1</v>
      </c>
      <c r="J35" s="1">
        <v>1</v>
      </c>
      <c r="K35" s="1">
        <v>0</v>
      </c>
      <c r="L35" s="1" t="s">
        <v>35</v>
      </c>
      <c r="M35" s="1">
        <v>0</v>
      </c>
      <c r="N35" s="1">
        <v>0</v>
      </c>
      <c r="O35" s="1">
        <v>0</v>
      </c>
      <c r="P35" s="11" t="str">
        <f t="shared" si="0"/>
        <v>胜</v>
      </c>
      <c r="Q35" s="11" t="str">
        <f t="shared" si="0"/>
        <v>胜</v>
      </c>
    </row>
    <row r="36" spans="4:17" customFormat="1" hidden="1" x14ac:dyDescent="0.15">
      <c r="D36" t="s">
        <v>6</v>
      </c>
      <c r="E36" s="1">
        <v>12696</v>
      </c>
      <c r="F36" s="1">
        <v>12696</v>
      </c>
      <c r="G36" s="8">
        <v>41841</v>
      </c>
      <c r="H36" s="1" t="s">
        <v>34</v>
      </c>
      <c r="I36" s="1">
        <v>0</v>
      </c>
      <c r="J36" s="1">
        <v>0</v>
      </c>
      <c r="K36" s="1">
        <v>0</v>
      </c>
      <c r="L36" s="1" t="s">
        <v>48</v>
      </c>
      <c r="M36" s="1">
        <v>0</v>
      </c>
      <c r="N36" s="1">
        <v>0</v>
      </c>
      <c r="O36" s="1">
        <v>0</v>
      </c>
      <c r="P36" s="11" t="str">
        <f t="shared" si="0"/>
        <v>平</v>
      </c>
      <c r="Q36" s="11" t="str">
        <f t="shared" si="0"/>
        <v>平</v>
      </c>
    </row>
    <row r="37" spans="4:17" customFormat="1" hidden="1" x14ac:dyDescent="0.15">
      <c r="D37" t="s">
        <v>6</v>
      </c>
      <c r="E37" s="1">
        <v>12700</v>
      </c>
      <c r="F37" s="1">
        <v>12700</v>
      </c>
      <c r="G37" s="8">
        <v>41841.041666666664</v>
      </c>
      <c r="H37" s="1" t="s">
        <v>45</v>
      </c>
      <c r="I37" s="1">
        <v>0</v>
      </c>
      <c r="J37" s="1">
        <v>0</v>
      </c>
      <c r="K37" s="1">
        <v>0</v>
      </c>
      <c r="L37" s="1" t="s">
        <v>44</v>
      </c>
      <c r="M37" s="1">
        <v>0</v>
      </c>
      <c r="N37" s="1">
        <v>0</v>
      </c>
      <c r="O37" s="1">
        <v>0</v>
      </c>
      <c r="P37" s="11" t="str">
        <f t="shared" si="0"/>
        <v>平</v>
      </c>
      <c r="Q37" s="11" t="str">
        <f t="shared" si="0"/>
        <v>平</v>
      </c>
    </row>
    <row r="38" spans="4:17" customFormat="1" hidden="1" x14ac:dyDescent="0.15">
      <c r="D38" t="s">
        <v>6</v>
      </c>
      <c r="E38" s="1">
        <v>18158</v>
      </c>
      <c r="F38" s="1">
        <v>18158</v>
      </c>
      <c r="G38" s="8">
        <v>41843.042361111111</v>
      </c>
      <c r="H38" s="1" t="s">
        <v>41</v>
      </c>
      <c r="I38" s="1">
        <v>2</v>
      </c>
      <c r="J38" s="1">
        <v>3</v>
      </c>
      <c r="K38" s="1">
        <v>0</v>
      </c>
      <c r="L38" s="1" t="s">
        <v>43</v>
      </c>
      <c r="M38" s="1">
        <v>0</v>
      </c>
      <c r="N38" s="1">
        <v>2</v>
      </c>
      <c r="O38" s="1">
        <v>0</v>
      </c>
      <c r="P38" s="11" t="str">
        <f t="shared" si="0"/>
        <v>胜</v>
      </c>
      <c r="Q38" s="11" t="str">
        <f t="shared" si="0"/>
        <v>胜</v>
      </c>
    </row>
    <row r="39" spans="4:17" customFormat="1" hidden="1" x14ac:dyDescent="0.15">
      <c r="D39" t="s">
        <v>6</v>
      </c>
      <c r="E39" s="1">
        <v>18475</v>
      </c>
      <c r="F39" s="1">
        <v>18475</v>
      </c>
      <c r="G39" s="8">
        <v>41846.895138888889</v>
      </c>
      <c r="H39" s="1" t="s">
        <v>43</v>
      </c>
      <c r="I39" s="1">
        <v>0</v>
      </c>
      <c r="J39" s="1">
        <v>1</v>
      </c>
      <c r="K39" s="1">
        <v>0</v>
      </c>
      <c r="L39" s="1" t="s">
        <v>44</v>
      </c>
      <c r="M39" s="1">
        <v>0</v>
      </c>
      <c r="N39" s="1">
        <v>1</v>
      </c>
      <c r="O39" s="1">
        <v>0</v>
      </c>
      <c r="P39" s="11" t="str">
        <f t="shared" si="0"/>
        <v>平</v>
      </c>
      <c r="Q39" s="11" t="str">
        <f t="shared" si="0"/>
        <v>平</v>
      </c>
    </row>
    <row r="40" spans="4:17" customFormat="1" hidden="1" x14ac:dyDescent="0.15">
      <c r="D40" t="s">
        <v>6</v>
      </c>
      <c r="E40" s="1">
        <v>18600</v>
      </c>
      <c r="F40" s="1">
        <v>18600</v>
      </c>
      <c r="G40" s="8">
        <v>41847.000694444447</v>
      </c>
      <c r="H40" s="1" t="s">
        <v>31</v>
      </c>
      <c r="I40" s="1">
        <v>1</v>
      </c>
      <c r="J40" s="1">
        <v>1</v>
      </c>
      <c r="K40" s="1">
        <v>0</v>
      </c>
      <c r="L40" s="1" t="s">
        <v>40</v>
      </c>
      <c r="M40" s="1">
        <v>1</v>
      </c>
      <c r="N40" s="1">
        <v>3</v>
      </c>
      <c r="O40" s="1">
        <v>0</v>
      </c>
      <c r="P40" s="11" t="str">
        <f t="shared" si="0"/>
        <v>平</v>
      </c>
      <c r="Q40" s="11" t="str">
        <f t="shared" si="0"/>
        <v>负</v>
      </c>
    </row>
    <row r="41" spans="4:17" customFormat="1" hidden="1" x14ac:dyDescent="0.15">
      <c r="D41" t="s">
        <v>6</v>
      </c>
      <c r="E41" s="1">
        <v>18630</v>
      </c>
      <c r="F41" s="1">
        <v>18630</v>
      </c>
      <c r="G41" s="8">
        <v>41847.896527777775</v>
      </c>
      <c r="H41" s="1" t="s">
        <v>48</v>
      </c>
      <c r="I41" s="1">
        <v>2</v>
      </c>
      <c r="J41" s="1">
        <v>5</v>
      </c>
      <c r="K41" s="1">
        <v>0</v>
      </c>
      <c r="L41" s="1" t="s">
        <v>36</v>
      </c>
      <c r="M41" s="1">
        <v>1</v>
      </c>
      <c r="N41" s="1">
        <v>1</v>
      </c>
      <c r="O41" s="1">
        <v>0</v>
      </c>
      <c r="P41" s="11" t="str">
        <f t="shared" si="0"/>
        <v>胜</v>
      </c>
      <c r="Q41" s="11" t="str">
        <f t="shared" si="0"/>
        <v>胜</v>
      </c>
    </row>
    <row r="42" spans="4:17" customFormat="1" hidden="1" x14ac:dyDescent="0.15">
      <c r="D42" t="s">
        <v>6</v>
      </c>
      <c r="E42" s="1">
        <v>18900</v>
      </c>
      <c r="F42" s="1">
        <v>18900</v>
      </c>
      <c r="G42" s="8">
        <v>41848</v>
      </c>
      <c r="H42" s="1" t="s">
        <v>38</v>
      </c>
      <c r="I42" s="1">
        <v>1</v>
      </c>
      <c r="J42" s="1">
        <v>3</v>
      </c>
      <c r="K42" s="1">
        <v>0</v>
      </c>
      <c r="L42" s="1" t="s">
        <v>37</v>
      </c>
      <c r="M42" s="1">
        <v>0</v>
      </c>
      <c r="N42" s="1">
        <v>1</v>
      </c>
      <c r="O42" s="1">
        <v>0</v>
      </c>
      <c r="P42" s="11" t="str">
        <f t="shared" si="0"/>
        <v>胜</v>
      </c>
      <c r="Q42" s="11" t="str">
        <f t="shared" si="0"/>
        <v>胜</v>
      </c>
    </row>
    <row r="43" spans="4:17" customFormat="1" hidden="1" x14ac:dyDescent="0.15">
      <c r="D43" t="s">
        <v>6</v>
      </c>
      <c r="E43" s="1">
        <v>18910</v>
      </c>
      <c r="F43" s="1">
        <v>18910</v>
      </c>
      <c r="G43" s="8">
        <v>41848.084027777775</v>
      </c>
      <c r="H43" s="1" t="s">
        <v>46</v>
      </c>
      <c r="I43" s="1">
        <v>0</v>
      </c>
      <c r="J43" s="1">
        <v>0</v>
      </c>
      <c r="K43" s="1">
        <v>0</v>
      </c>
      <c r="L43" s="1" t="s">
        <v>45</v>
      </c>
      <c r="M43" s="1">
        <v>1</v>
      </c>
      <c r="N43" s="1">
        <v>1</v>
      </c>
      <c r="O43" s="1">
        <v>0</v>
      </c>
      <c r="P43" s="11" t="str">
        <f t="shared" si="0"/>
        <v>负</v>
      </c>
      <c r="Q43" s="11" t="str">
        <f t="shared" si="0"/>
        <v>负</v>
      </c>
    </row>
    <row r="44" spans="4:17" customFormat="1" hidden="1" x14ac:dyDescent="0.15">
      <c r="D44" t="s">
        <v>6</v>
      </c>
      <c r="E44" s="1">
        <v>19481</v>
      </c>
      <c r="F44" s="1">
        <v>19481</v>
      </c>
      <c r="G44" s="8">
        <v>41848</v>
      </c>
      <c r="H44" s="1" t="s">
        <v>35</v>
      </c>
      <c r="I44" s="1">
        <v>0</v>
      </c>
      <c r="J44" s="1">
        <v>1</v>
      </c>
      <c r="K44" s="1">
        <v>0</v>
      </c>
      <c r="L44" s="1" t="s">
        <v>34</v>
      </c>
      <c r="M44" s="1">
        <v>1</v>
      </c>
      <c r="N44" s="1">
        <v>3</v>
      </c>
      <c r="O44" s="1">
        <v>0</v>
      </c>
      <c r="P44" s="11" t="str">
        <f t="shared" si="0"/>
        <v>负</v>
      </c>
      <c r="Q44" s="11" t="str">
        <f t="shared" si="0"/>
        <v>负</v>
      </c>
    </row>
    <row r="45" spans="4:17" hidden="1" x14ac:dyDescent="0.15">
      <c r="D45" s="2" t="s">
        <v>6</v>
      </c>
      <c r="E45" s="6">
        <v>19482</v>
      </c>
      <c r="F45" s="6">
        <v>19482</v>
      </c>
      <c r="G45" s="24">
        <v>41848.000694444447</v>
      </c>
      <c r="H45" s="6" t="s">
        <v>32</v>
      </c>
      <c r="I45" s="6">
        <v>2</v>
      </c>
      <c r="J45" s="6">
        <v>3</v>
      </c>
      <c r="K45" s="6">
        <v>0</v>
      </c>
      <c r="L45" s="6" t="s">
        <v>41</v>
      </c>
      <c r="M45" s="6">
        <v>1</v>
      </c>
      <c r="N45" s="6">
        <v>4</v>
      </c>
      <c r="O45" s="6">
        <v>0</v>
      </c>
      <c r="P45" s="11" t="str">
        <f t="shared" si="0"/>
        <v>胜</v>
      </c>
      <c r="Q45" s="11" t="str">
        <f t="shared" si="0"/>
        <v>负</v>
      </c>
    </row>
    <row r="46" spans="4:17" customFormat="1" hidden="1" x14ac:dyDescent="0.15">
      <c r="D46" t="s">
        <v>6</v>
      </c>
      <c r="E46" s="1">
        <v>19524</v>
      </c>
      <c r="F46" s="1">
        <v>19524</v>
      </c>
      <c r="G46" s="8">
        <v>41850.041666666664</v>
      </c>
      <c r="H46" s="1" t="s">
        <v>49</v>
      </c>
      <c r="I46" s="1">
        <v>2</v>
      </c>
      <c r="J46" s="1">
        <v>3</v>
      </c>
      <c r="K46" s="1">
        <v>0</v>
      </c>
      <c r="L46" s="1" t="s">
        <v>42</v>
      </c>
      <c r="M46" s="1">
        <v>1</v>
      </c>
      <c r="N46" s="1">
        <v>2</v>
      </c>
      <c r="O46" s="1">
        <v>0</v>
      </c>
      <c r="P46" s="11" t="str">
        <f t="shared" si="0"/>
        <v>胜</v>
      </c>
      <c r="Q46" s="11" t="str">
        <f t="shared" si="0"/>
        <v>胜</v>
      </c>
    </row>
    <row r="47" spans="4:17" customFormat="1" hidden="1" x14ac:dyDescent="0.15">
      <c r="D47" t="s">
        <v>6</v>
      </c>
      <c r="E47" s="1">
        <v>19855</v>
      </c>
      <c r="F47" s="1">
        <v>19855</v>
      </c>
      <c r="G47" s="8">
        <v>41853.896527777775</v>
      </c>
      <c r="H47" s="1" t="s">
        <v>40</v>
      </c>
      <c r="I47" s="1">
        <v>1</v>
      </c>
      <c r="J47" s="1">
        <v>1</v>
      </c>
      <c r="K47" s="1">
        <v>0</v>
      </c>
      <c r="L47" s="1" t="s">
        <v>35</v>
      </c>
      <c r="M47" s="1">
        <v>0</v>
      </c>
      <c r="N47" s="1">
        <v>1</v>
      </c>
      <c r="O47" s="1">
        <v>0</v>
      </c>
      <c r="P47" s="11" t="str">
        <f t="shared" si="0"/>
        <v>胜</v>
      </c>
      <c r="Q47" s="11" t="str">
        <f t="shared" si="0"/>
        <v>平</v>
      </c>
    </row>
    <row r="48" spans="4:17" customFormat="1" hidden="1" x14ac:dyDescent="0.15">
      <c r="D48" t="s">
        <v>6</v>
      </c>
      <c r="E48" s="1">
        <v>20044</v>
      </c>
      <c r="F48" s="1">
        <v>20044</v>
      </c>
      <c r="G48" s="8">
        <v>41854</v>
      </c>
      <c r="H48" s="1" t="s">
        <v>45</v>
      </c>
      <c r="I48" s="1">
        <v>1</v>
      </c>
      <c r="J48" s="1">
        <v>5</v>
      </c>
      <c r="K48" s="1">
        <v>0</v>
      </c>
      <c r="L48" s="1" t="s">
        <v>49</v>
      </c>
      <c r="M48" s="1">
        <v>2</v>
      </c>
      <c r="N48" s="1">
        <v>5</v>
      </c>
      <c r="O48" s="1">
        <v>0</v>
      </c>
      <c r="P48" s="11" t="str">
        <f t="shared" si="0"/>
        <v>负</v>
      </c>
      <c r="Q48" s="11" t="str">
        <f t="shared" si="0"/>
        <v>平</v>
      </c>
    </row>
    <row r="49" spans="4:17" customFormat="1" hidden="1" x14ac:dyDescent="0.15">
      <c r="D49" t="s">
        <v>6</v>
      </c>
      <c r="E49" s="1">
        <v>20079</v>
      </c>
      <c r="F49" s="1">
        <v>20079</v>
      </c>
      <c r="G49" s="8">
        <v>41854.896527777775</v>
      </c>
      <c r="H49" s="1" t="s">
        <v>34</v>
      </c>
      <c r="I49" s="1">
        <v>0</v>
      </c>
      <c r="J49" s="1">
        <v>3</v>
      </c>
      <c r="K49" s="1">
        <v>0</v>
      </c>
      <c r="L49" s="1" t="s">
        <v>31</v>
      </c>
      <c r="M49" s="1">
        <v>0</v>
      </c>
      <c r="N49" s="1">
        <v>1</v>
      </c>
      <c r="O49" s="1">
        <v>0</v>
      </c>
      <c r="P49" s="11" t="str">
        <f t="shared" si="0"/>
        <v>平</v>
      </c>
      <c r="Q49" s="11" t="str">
        <f t="shared" si="0"/>
        <v>胜</v>
      </c>
    </row>
    <row r="50" spans="4:17" customFormat="1" hidden="1" x14ac:dyDescent="0.15">
      <c r="D50" t="s">
        <v>6</v>
      </c>
      <c r="E50" s="1">
        <v>20109</v>
      </c>
      <c r="F50" s="1">
        <v>20109</v>
      </c>
      <c r="G50" s="8">
        <v>41853.041666666664</v>
      </c>
      <c r="H50" s="1" t="s">
        <v>44</v>
      </c>
      <c r="I50" s="1">
        <v>2</v>
      </c>
      <c r="J50" s="1">
        <v>4</v>
      </c>
      <c r="K50" s="1">
        <v>0</v>
      </c>
      <c r="L50" s="1" t="s">
        <v>46</v>
      </c>
      <c r="M50" s="1">
        <v>1</v>
      </c>
      <c r="N50" s="1">
        <v>3</v>
      </c>
      <c r="O50" s="1">
        <v>0</v>
      </c>
      <c r="P50" s="11" t="str">
        <f t="shared" si="0"/>
        <v>胜</v>
      </c>
      <c r="Q50" s="11" t="str">
        <f t="shared" si="0"/>
        <v>胜</v>
      </c>
    </row>
    <row r="51" spans="4:17" customFormat="1" hidden="1" x14ac:dyDescent="0.15">
      <c r="D51" t="s">
        <v>6</v>
      </c>
      <c r="E51" s="1">
        <v>20268</v>
      </c>
      <c r="F51" s="1">
        <v>20268</v>
      </c>
      <c r="G51" s="8">
        <v>41855</v>
      </c>
      <c r="H51" s="1" t="s">
        <v>41</v>
      </c>
      <c r="I51" s="1">
        <v>0</v>
      </c>
      <c r="J51" s="1">
        <v>0</v>
      </c>
      <c r="K51" s="1">
        <v>0</v>
      </c>
      <c r="L51" s="1" t="s">
        <v>48</v>
      </c>
      <c r="M51" s="1">
        <v>1</v>
      </c>
      <c r="N51" s="1">
        <v>2</v>
      </c>
      <c r="O51" s="1">
        <v>0</v>
      </c>
      <c r="P51" s="11" t="str">
        <f t="shared" si="0"/>
        <v>负</v>
      </c>
      <c r="Q51" s="11" t="str">
        <f t="shared" si="0"/>
        <v>负</v>
      </c>
    </row>
    <row r="52" spans="4:17" customFormat="1" x14ac:dyDescent="0.15">
      <c r="D52" t="s">
        <v>6</v>
      </c>
      <c r="E52" s="1">
        <v>20269</v>
      </c>
      <c r="F52" s="1">
        <v>20269</v>
      </c>
      <c r="G52" s="8">
        <v>41855</v>
      </c>
      <c r="H52" s="1" t="s">
        <v>36</v>
      </c>
      <c r="I52" s="1">
        <v>0</v>
      </c>
      <c r="J52" s="1">
        <v>1</v>
      </c>
      <c r="K52" s="1">
        <v>0</v>
      </c>
      <c r="L52" s="1" t="s">
        <v>38</v>
      </c>
      <c r="M52" s="1">
        <v>0</v>
      </c>
      <c r="N52" s="1">
        <v>1</v>
      </c>
      <c r="O52" s="1">
        <v>0</v>
      </c>
      <c r="P52" s="11" t="str">
        <f t="shared" si="0"/>
        <v>平</v>
      </c>
      <c r="Q52" s="11" t="str">
        <f t="shared" si="0"/>
        <v>平</v>
      </c>
    </row>
    <row r="53" spans="4:17" customFormat="1" hidden="1" x14ac:dyDescent="0.15">
      <c r="D53" t="s">
        <v>6</v>
      </c>
      <c r="E53" s="1">
        <v>20270</v>
      </c>
      <c r="F53" s="1">
        <v>20270</v>
      </c>
      <c r="G53" s="8">
        <v>41855</v>
      </c>
      <c r="H53" s="1" t="s">
        <v>43</v>
      </c>
      <c r="I53" s="1">
        <v>1</v>
      </c>
      <c r="J53" s="1">
        <v>2</v>
      </c>
      <c r="K53" s="1">
        <v>0</v>
      </c>
      <c r="L53" s="1" t="s">
        <v>32</v>
      </c>
      <c r="M53" s="1">
        <v>0</v>
      </c>
      <c r="N53" s="1">
        <v>1</v>
      </c>
      <c r="O53" s="1">
        <v>0</v>
      </c>
      <c r="P53" s="11" t="str">
        <f t="shared" si="0"/>
        <v>胜</v>
      </c>
      <c r="Q53" s="11" t="str">
        <f t="shared" si="0"/>
        <v>胜</v>
      </c>
    </row>
    <row r="54" spans="4:17" customFormat="1" hidden="1" x14ac:dyDescent="0.15">
      <c r="D54" t="s">
        <v>6</v>
      </c>
      <c r="E54" s="1">
        <v>20279</v>
      </c>
      <c r="F54" s="1">
        <v>20279</v>
      </c>
      <c r="G54" s="8">
        <v>41855.041666666664</v>
      </c>
      <c r="H54" s="1" t="s">
        <v>42</v>
      </c>
      <c r="I54" s="1">
        <v>3</v>
      </c>
      <c r="J54" s="1">
        <v>4</v>
      </c>
      <c r="K54" s="1">
        <v>0</v>
      </c>
      <c r="L54" s="1" t="s">
        <v>37</v>
      </c>
      <c r="M54" s="1">
        <v>0</v>
      </c>
      <c r="N54" s="1">
        <v>1</v>
      </c>
      <c r="O54" s="1">
        <v>0</v>
      </c>
      <c r="P54" s="11" t="str">
        <f t="shared" si="0"/>
        <v>胜</v>
      </c>
      <c r="Q54" s="11" t="str">
        <f t="shared" si="0"/>
        <v>胜</v>
      </c>
    </row>
    <row r="55" spans="4:17" customFormat="1" hidden="1" x14ac:dyDescent="0.15">
      <c r="D55" t="s">
        <v>6</v>
      </c>
      <c r="E55" s="1">
        <v>21195</v>
      </c>
      <c r="F55" s="1">
        <v>21195</v>
      </c>
      <c r="G55" s="8">
        <v>41860.042361111111</v>
      </c>
      <c r="H55" s="1" t="s">
        <v>46</v>
      </c>
      <c r="I55" s="1">
        <v>0</v>
      </c>
      <c r="J55" s="1">
        <v>1</v>
      </c>
      <c r="K55" s="1">
        <v>0</v>
      </c>
      <c r="L55" s="1" t="s">
        <v>43</v>
      </c>
      <c r="M55" s="1">
        <v>0</v>
      </c>
      <c r="N55" s="1">
        <v>0</v>
      </c>
      <c r="O55" s="1">
        <v>0</v>
      </c>
      <c r="P55" s="11" t="str">
        <f t="shared" si="0"/>
        <v>平</v>
      </c>
      <c r="Q55" s="11" t="str">
        <f t="shared" si="0"/>
        <v>胜</v>
      </c>
    </row>
    <row r="56" spans="4:17" customFormat="1" hidden="1" x14ac:dyDescent="0.15">
      <c r="D56" t="s">
        <v>6</v>
      </c>
      <c r="E56" s="1">
        <v>21212</v>
      </c>
      <c r="F56" s="1">
        <v>21212</v>
      </c>
      <c r="G56" s="8">
        <v>41860.895833333336</v>
      </c>
      <c r="H56" s="1" t="s">
        <v>49</v>
      </c>
      <c r="I56" s="1">
        <v>0</v>
      </c>
      <c r="J56" s="1">
        <v>2</v>
      </c>
      <c r="K56" s="1">
        <v>0</v>
      </c>
      <c r="L56" s="1" t="s">
        <v>41</v>
      </c>
      <c r="M56" s="1">
        <v>0</v>
      </c>
      <c r="N56" s="1">
        <v>2</v>
      </c>
      <c r="O56" s="1">
        <v>0</v>
      </c>
      <c r="P56" s="11" t="str">
        <f t="shared" si="0"/>
        <v>平</v>
      </c>
      <c r="Q56" s="11" t="str">
        <f t="shared" si="0"/>
        <v>平</v>
      </c>
    </row>
    <row r="57" spans="4:17" customFormat="1" hidden="1" x14ac:dyDescent="0.15">
      <c r="D57" t="s">
        <v>6</v>
      </c>
      <c r="E57" s="1">
        <v>21413</v>
      </c>
      <c r="F57" s="1">
        <v>21413</v>
      </c>
      <c r="G57" s="8">
        <v>41861</v>
      </c>
      <c r="H57" s="1" t="s">
        <v>34</v>
      </c>
      <c r="I57" s="1">
        <v>0</v>
      </c>
      <c r="J57" s="1">
        <v>1</v>
      </c>
      <c r="K57" s="1">
        <v>0</v>
      </c>
      <c r="L57" s="1" t="s">
        <v>40</v>
      </c>
      <c r="M57" s="1">
        <v>0</v>
      </c>
      <c r="N57" s="1">
        <v>0</v>
      </c>
      <c r="O57" s="1">
        <v>0</v>
      </c>
      <c r="P57" s="11" t="str">
        <f t="shared" si="0"/>
        <v>平</v>
      </c>
      <c r="Q57" s="11" t="str">
        <f t="shared" si="0"/>
        <v>胜</v>
      </c>
    </row>
    <row r="58" spans="4:17" customFormat="1" hidden="1" x14ac:dyDescent="0.15">
      <c r="D58" t="s">
        <v>6</v>
      </c>
      <c r="E58" s="1">
        <v>21467</v>
      </c>
      <c r="F58" s="1">
        <v>21467</v>
      </c>
      <c r="G58" s="8">
        <v>41862</v>
      </c>
      <c r="H58" s="1" t="s">
        <v>35</v>
      </c>
      <c r="I58" s="1">
        <v>0</v>
      </c>
      <c r="J58" s="1">
        <v>0</v>
      </c>
      <c r="K58" s="1">
        <v>0</v>
      </c>
      <c r="L58" s="1" t="s">
        <v>32</v>
      </c>
      <c r="M58" s="1">
        <v>0</v>
      </c>
      <c r="N58" s="1">
        <v>1</v>
      </c>
      <c r="O58" s="1">
        <v>0</v>
      </c>
      <c r="P58" s="11" t="str">
        <f t="shared" si="0"/>
        <v>平</v>
      </c>
      <c r="Q58" s="11" t="str">
        <f t="shared" si="0"/>
        <v>负</v>
      </c>
    </row>
    <row r="59" spans="4:17" customFormat="1" hidden="1" x14ac:dyDescent="0.15">
      <c r="D59" t="s">
        <v>6</v>
      </c>
      <c r="E59" s="1">
        <v>21468</v>
      </c>
      <c r="F59" s="1">
        <v>21468</v>
      </c>
      <c r="G59" s="8">
        <v>41862</v>
      </c>
      <c r="H59" s="1" t="s">
        <v>31</v>
      </c>
      <c r="I59" s="1">
        <v>0</v>
      </c>
      <c r="J59" s="1">
        <v>0</v>
      </c>
      <c r="K59" s="1">
        <v>0</v>
      </c>
      <c r="L59" s="1" t="s">
        <v>44</v>
      </c>
      <c r="M59" s="1">
        <v>0</v>
      </c>
      <c r="N59" s="1">
        <v>0</v>
      </c>
      <c r="O59" s="1">
        <v>0</v>
      </c>
      <c r="P59" s="11" t="str">
        <f t="shared" si="0"/>
        <v>平</v>
      </c>
      <c r="Q59" s="11" t="str">
        <f t="shared" si="0"/>
        <v>平</v>
      </c>
    </row>
    <row r="60" spans="4:17" customFormat="1" hidden="1" x14ac:dyDescent="0.15">
      <c r="D60" t="s">
        <v>6</v>
      </c>
      <c r="E60" s="1">
        <v>21469</v>
      </c>
      <c r="F60" s="1">
        <v>21469</v>
      </c>
      <c r="G60" s="8">
        <v>41862</v>
      </c>
      <c r="H60" s="1" t="s">
        <v>37</v>
      </c>
      <c r="I60" s="1">
        <v>2</v>
      </c>
      <c r="J60" s="1">
        <v>3</v>
      </c>
      <c r="K60" s="1">
        <v>0</v>
      </c>
      <c r="L60" s="1" t="s">
        <v>36</v>
      </c>
      <c r="M60" s="1">
        <v>2</v>
      </c>
      <c r="N60" s="1">
        <v>2</v>
      </c>
      <c r="O60" s="1">
        <v>0</v>
      </c>
      <c r="P60" s="11" t="str">
        <f t="shared" si="0"/>
        <v>平</v>
      </c>
      <c r="Q60" s="11" t="str">
        <f t="shared" si="0"/>
        <v>胜</v>
      </c>
    </row>
    <row r="61" spans="4:17" customFormat="1" hidden="1" x14ac:dyDescent="0.15">
      <c r="D61" t="s">
        <v>6</v>
      </c>
      <c r="E61" s="1">
        <v>21475</v>
      </c>
      <c r="F61" s="1">
        <v>21475</v>
      </c>
      <c r="G61" s="8">
        <v>41862.041666666664</v>
      </c>
      <c r="H61" s="1" t="s">
        <v>48</v>
      </c>
      <c r="I61" s="1">
        <v>1</v>
      </c>
      <c r="J61" s="1">
        <v>1</v>
      </c>
      <c r="K61" s="1">
        <v>0</v>
      </c>
      <c r="L61" s="1" t="s">
        <v>45</v>
      </c>
      <c r="M61" s="1">
        <v>0</v>
      </c>
      <c r="N61" s="1">
        <v>1</v>
      </c>
      <c r="O61" s="1">
        <v>0</v>
      </c>
      <c r="P61" s="11" t="str">
        <f t="shared" si="0"/>
        <v>胜</v>
      </c>
      <c r="Q61" s="11" t="str">
        <f t="shared" si="0"/>
        <v>平</v>
      </c>
    </row>
    <row r="62" spans="4:17" customFormat="1" hidden="1" x14ac:dyDescent="0.15">
      <c r="D62" t="s">
        <v>6</v>
      </c>
      <c r="E62" s="1">
        <v>22132</v>
      </c>
      <c r="F62" s="1">
        <v>22132</v>
      </c>
      <c r="G62" s="8">
        <v>41861.895833333336</v>
      </c>
      <c r="H62" s="1" t="s">
        <v>38</v>
      </c>
      <c r="I62" s="1">
        <v>2</v>
      </c>
      <c r="J62" s="1">
        <v>2</v>
      </c>
      <c r="K62" s="1">
        <v>0</v>
      </c>
      <c r="L62" s="1" t="s">
        <v>42</v>
      </c>
      <c r="M62" s="1">
        <v>0</v>
      </c>
      <c r="N62" s="1">
        <v>2</v>
      </c>
      <c r="O62" s="1">
        <v>0</v>
      </c>
      <c r="P62" s="11" t="str">
        <f t="shared" si="0"/>
        <v>胜</v>
      </c>
      <c r="Q62" s="11" t="str">
        <f t="shared" si="0"/>
        <v>平</v>
      </c>
    </row>
    <row r="63" spans="4:17" customFormat="1" x14ac:dyDescent="0.15">
      <c r="D63" t="s">
        <v>6</v>
      </c>
      <c r="E63" s="1">
        <v>22819</v>
      </c>
      <c r="F63" s="1">
        <v>22819</v>
      </c>
      <c r="G63" s="8">
        <v>41867.040972222225</v>
      </c>
      <c r="H63" s="1" t="s">
        <v>36</v>
      </c>
      <c r="I63" s="1">
        <v>1</v>
      </c>
      <c r="J63" s="1">
        <v>2</v>
      </c>
      <c r="K63" s="1">
        <v>0</v>
      </c>
      <c r="L63" s="1" t="s">
        <v>40</v>
      </c>
      <c r="M63" s="1">
        <v>2</v>
      </c>
      <c r="N63" s="1">
        <v>3</v>
      </c>
      <c r="O63" s="1">
        <v>0</v>
      </c>
      <c r="P63" s="11" t="str">
        <f t="shared" si="0"/>
        <v>负</v>
      </c>
      <c r="Q63" s="11" t="str">
        <f t="shared" si="0"/>
        <v>负</v>
      </c>
    </row>
    <row r="64" spans="4:17" customFormat="1" hidden="1" x14ac:dyDescent="0.15">
      <c r="D64" t="s">
        <v>6</v>
      </c>
      <c r="E64" s="1">
        <v>22865</v>
      </c>
      <c r="F64" s="1">
        <v>22865</v>
      </c>
      <c r="G64" s="8">
        <v>41867.895833333336</v>
      </c>
      <c r="H64" s="1" t="s">
        <v>45</v>
      </c>
      <c r="I64" s="1">
        <v>1</v>
      </c>
      <c r="J64" s="1">
        <v>4</v>
      </c>
      <c r="K64" s="1">
        <v>0</v>
      </c>
      <c r="L64" s="1" t="s">
        <v>35</v>
      </c>
      <c r="M64" s="1">
        <v>2</v>
      </c>
      <c r="N64" s="1">
        <v>2</v>
      </c>
      <c r="O64" s="1">
        <v>0</v>
      </c>
      <c r="P64" s="11" t="str">
        <f t="shared" si="0"/>
        <v>负</v>
      </c>
      <c r="Q64" s="11" t="str">
        <f t="shared" si="0"/>
        <v>胜</v>
      </c>
    </row>
    <row r="65" spans="4:17" customFormat="1" hidden="1" x14ac:dyDescent="0.15">
      <c r="D65" t="s">
        <v>6</v>
      </c>
      <c r="E65" s="1">
        <v>23097</v>
      </c>
      <c r="F65" s="1">
        <v>23097</v>
      </c>
      <c r="G65" s="8">
        <v>41868.000694444447</v>
      </c>
      <c r="H65" s="1" t="s">
        <v>43</v>
      </c>
      <c r="I65" s="1">
        <v>1</v>
      </c>
      <c r="J65" s="1">
        <v>3</v>
      </c>
      <c r="K65" s="1">
        <v>0</v>
      </c>
      <c r="L65" s="1" t="s">
        <v>48</v>
      </c>
      <c r="M65" s="1">
        <v>0</v>
      </c>
      <c r="N65" s="1">
        <v>0</v>
      </c>
      <c r="O65" s="1">
        <v>0</v>
      </c>
      <c r="P65" s="11" t="str">
        <f t="shared" si="0"/>
        <v>胜</v>
      </c>
      <c r="Q65" s="11" t="str">
        <f t="shared" si="0"/>
        <v>胜</v>
      </c>
    </row>
    <row r="66" spans="4:17" customFormat="1" hidden="1" x14ac:dyDescent="0.15">
      <c r="D66" t="s">
        <v>6</v>
      </c>
      <c r="E66" s="1">
        <v>23465</v>
      </c>
      <c r="F66" s="1">
        <v>23465</v>
      </c>
      <c r="G66" s="8">
        <v>41869.000694444447</v>
      </c>
      <c r="H66" s="1" t="s">
        <v>41</v>
      </c>
      <c r="I66" s="1">
        <v>0</v>
      </c>
      <c r="J66" s="1">
        <v>0</v>
      </c>
      <c r="K66" s="1">
        <v>0</v>
      </c>
      <c r="L66" s="1" t="s">
        <v>38</v>
      </c>
      <c r="M66" s="1">
        <v>0</v>
      </c>
      <c r="N66" s="1">
        <v>2</v>
      </c>
      <c r="O66" s="1">
        <v>0</v>
      </c>
      <c r="P66" s="11" t="str">
        <f t="shared" si="0"/>
        <v>平</v>
      </c>
      <c r="Q66" s="11" t="str">
        <f t="shared" si="0"/>
        <v>负</v>
      </c>
    </row>
    <row r="67" spans="4:17" hidden="1" x14ac:dyDescent="0.15">
      <c r="D67" s="2" t="s">
        <v>6</v>
      </c>
      <c r="E67" s="6">
        <v>23466</v>
      </c>
      <c r="F67" s="6">
        <v>23466</v>
      </c>
      <c r="G67" s="24">
        <v>41869</v>
      </c>
      <c r="H67" s="6" t="s">
        <v>32</v>
      </c>
      <c r="I67" s="6">
        <v>0</v>
      </c>
      <c r="J67" s="6">
        <v>1</v>
      </c>
      <c r="K67" s="6">
        <v>0</v>
      </c>
      <c r="L67" s="6" t="s">
        <v>31</v>
      </c>
      <c r="M67" s="6">
        <v>0</v>
      </c>
      <c r="N67" s="6">
        <v>1</v>
      </c>
      <c r="O67" s="6">
        <v>0</v>
      </c>
      <c r="P67" s="11" t="str">
        <f t="shared" si="0"/>
        <v>平</v>
      </c>
      <c r="Q67" s="11" t="str">
        <f t="shared" si="0"/>
        <v>平</v>
      </c>
    </row>
    <row r="68" spans="4:17" customFormat="1" hidden="1" x14ac:dyDescent="0.15">
      <c r="D68" t="s">
        <v>6</v>
      </c>
      <c r="E68" s="1">
        <v>23467</v>
      </c>
      <c r="F68" s="1">
        <v>23467</v>
      </c>
      <c r="G68" s="8">
        <v>41869.000694444447</v>
      </c>
      <c r="H68" s="1" t="s">
        <v>46</v>
      </c>
      <c r="I68" s="1">
        <v>2</v>
      </c>
      <c r="J68" s="1">
        <v>3</v>
      </c>
      <c r="K68" s="1">
        <v>0</v>
      </c>
      <c r="L68" s="1" t="s">
        <v>37</v>
      </c>
      <c r="M68" s="1">
        <v>0</v>
      </c>
      <c r="N68" s="1">
        <v>1</v>
      </c>
      <c r="O68" s="1">
        <v>0</v>
      </c>
      <c r="P68" s="11" t="str">
        <f t="shared" si="0"/>
        <v>胜</v>
      </c>
      <c r="Q68" s="11" t="str">
        <f t="shared" si="0"/>
        <v>胜</v>
      </c>
    </row>
    <row r="69" spans="4:17" customFormat="1" hidden="1" x14ac:dyDescent="0.15">
      <c r="D69" t="s">
        <v>6</v>
      </c>
      <c r="E69" s="1">
        <v>23475</v>
      </c>
      <c r="F69" s="1">
        <v>23475</v>
      </c>
      <c r="G69" s="8">
        <v>41869.041666666664</v>
      </c>
      <c r="H69" s="1" t="s">
        <v>44</v>
      </c>
      <c r="I69" s="1">
        <v>1</v>
      </c>
      <c r="J69" s="1">
        <v>2</v>
      </c>
      <c r="K69" s="1">
        <v>0</v>
      </c>
      <c r="L69" s="1" t="s">
        <v>49</v>
      </c>
      <c r="M69" s="1">
        <v>0</v>
      </c>
      <c r="N69" s="1">
        <v>1</v>
      </c>
      <c r="O69" s="1">
        <v>0</v>
      </c>
      <c r="P69" s="11" t="str">
        <f t="shared" si="0"/>
        <v>胜</v>
      </c>
      <c r="Q69" s="11" t="str">
        <f t="shared" si="0"/>
        <v>胜</v>
      </c>
    </row>
    <row r="70" spans="4:17" customFormat="1" hidden="1" x14ac:dyDescent="0.15">
      <c r="D70" t="s">
        <v>6</v>
      </c>
      <c r="E70" s="1">
        <v>24128</v>
      </c>
      <c r="F70" s="1">
        <v>24128</v>
      </c>
      <c r="G70" s="8">
        <v>41868.895833333336</v>
      </c>
      <c r="H70" s="1" t="s">
        <v>42</v>
      </c>
      <c r="I70" s="1">
        <v>1</v>
      </c>
      <c r="J70" s="1">
        <v>1</v>
      </c>
      <c r="K70" s="1">
        <v>0</v>
      </c>
      <c r="L70" s="1" t="s">
        <v>34</v>
      </c>
      <c r="M70" s="1">
        <v>3</v>
      </c>
      <c r="N70" s="1">
        <v>3</v>
      </c>
      <c r="O70" s="1">
        <v>0</v>
      </c>
      <c r="P70" s="11" t="str">
        <f t="shared" si="0"/>
        <v>负</v>
      </c>
      <c r="Q70" s="11" t="str">
        <f t="shared" si="0"/>
        <v>负</v>
      </c>
    </row>
    <row r="71" spans="4:17" customFormat="1" hidden="1" x14ac:dyDescent="0.15">
      <c r="D71" t="s">
        <v>6</v>
      </c>
      <c r="E71" s="1">
        <v>24510</v>
      </c>
      <c r="F71" s="1">
        <v>24510</v>
      </c>
      <c r="G71" s="8">
        <v>41874.041666666664</v>
      </c>
      <c r="H71" s="1" t="s">
        <v>31</v>
      </c>
      <c r="I71" s="1">
        <v>1</v>
      </c>
      <c r="J71" s="1">
        <v>2</v>
      </c>
      <c r="K71" s="1">
        <v>0</v>
      </c>
      <c r="L71" s="1" t="s">
        <v>45</v>
      </c>
      <c r="M71" s="1">
        <v>1</v>
      </c>
      <c r="N71" s="1">
        <v>2</v>
      </c>
      <c r="O71" s="1">
        <v>0</v>
      </c>
      <c r="P71" s="11" t="str">
        <f t="shared" si="0"/>
        <v>平</v>
      </c>
      <c r="Q71" s="11" t="str">
        <f t="shared" si="0"/>
        <v>平</v>
      </c>
    </row>
    <row r="72" spans="4:17" customFormat="1" hidden="1" x14ac:dyDescent="0.15">
      <c r="D72" t="s">
        <v>6</v>
      </c>
      <c r="E72" s="1">
        <v>24572</v>
      </c>
      <c r="F72" s="1">
        <v>24572</v>
      </c>
      <c r="G72" s="8">
        <v>41874.895833333336</v>
      </c>
      <c r="H72" s="1" t="s">
        <v>40</v>
      </c>
      <c r="I72" s="1">
        <v>0</v>
      </c>
      <c r="J72" s="1">
        <v>2</v>
      </c>
      <c r="K72" s="1">
        <v>0</v>
      </c>
      <c r="L72" s="1" t="s">
        <v>42</v>
      </c>
      <c r="M72" s="1">
        <v>2</v>
      </c>
      <c r="N72" s="1">
        <v>3</v>
      </c>
      <c r="O72" s="1">
        <v>0</v>
      </c>
      <c r="P72" s="11" t="str">
        <f t="shared" si="0"/>
        <v>负</v>
      </c>
      <c r="Q72" s="11" t="str">
        <f t="shared" si="0"/>
        <v>负</v>
      </c>
    </row>
    <row r="73" spans="4:17" customFormat="1" hidden="1" x14ac:dyDescent="0.15">
      <c r="D73" t="s">
        <v>6</v>
      </c>
      <c r="E73" s="1">
        <v>24759</v>
      </c>
      <c r="F73" s="1">
        <v>24759</v>
      </c>
      <c r="G73" s="8">
        <v>41875</v>
      </c>
      <c r="H73" s="1" t="s">
        <v>49</v>
      </c>
      <c r="I73" s="1">
        <v>2</v>
      </c>
      <c r="J73" s="1">
        <v>3</v>
      </c>
      <c r="K73" s="1">
        <v>0</v>
      </c>
      <c r="L73" s="1" t="s">
        <v>46</v>
      </c>
      <c r="M73" s="1">
        <v>1</v>
      </c>
      <c r="N73" s="1">
        <v>3</v>
      </c>
      <c r="O73" s="1">
        <v>0</v>
      </c>
      <c r="P73" s="11" t="str">
        <f t="shared" si="0"/>
        <v>胜</v>
      </c>
      <c r="Q73" s="11" t="str">
        <f t="shared" si="0"/>
        <v>平</v>
      </c>
    </row>
    <row r="74" spans="4:17" customFormat="1" hidden="1" x14ac:dyDescent="0.15">
      <c r="D74" t="s">
        <v>6</v>
      </c>
      <c r="E74" s="1">
        <v>24832</v>
      </c>
      <c r="F74" s="1">
        <v>24832</v>
      </c>
      <c r="G74" s="8">
        <v>41875.895833333336</v>
      </c>
      <c r="H74" s="1" t="s">
        <v>34</v>
      </c>
      <c r="I74" s="1">
        <v>0</v>
      </c>
      <c r="J74" s="1">
        <v>4</v>
      </c>
      <c r="K74" s="1">
        <v>0</v>
      </c>
      <c r="L74" s="1" t="s">
        <v>36</v>
      </c>
      <c r="M74" s="1">
        <v>1</v>
      </c>
      <c r="N74" s="1">
        <v>1</v>
      </c>
      <c r="O74" s="1">
        <v>0</v>
      </c>
      <c r="P74" s="11" t="str">
        <f t="shared" si="0"/>
        <v>负</v>
      </c>
      <c r="Q74" s="11" t="str">
        <f t="shared" si="0"/>
        <v>胜</v>
      </c>
    </row>
    <row r="75" spans="4:17" customFormat="1" hidden="1" x14ac:dyDescent="0.15">
      <c r="D75" t="s">
        <v>6</v>
      </c>
      <c r="E75" s="1">
        <v>25019</v>
      </c>
      <c r="F75" s="1">
        <v>25019</v>
      </c>
      <c r="G75" s="8">
        <v>41875.999305555553</v>
      </c>
      <c r="H75" s="1" t="s">
        <v>35</v>
      </c>
      <c r="I75" s="1">
        <v>0</v>
      </c>
      <c r="J75" s="1">
        <v>0</v>
      </c>
      <c r="K75" s="1">
        <v>0</v>
      </c>
      <c r="L75" s="1" t="s">
        <v>44</v>
      </c>
      <c r="M75" s="1">
        <v>0</v>
      </c>
      <c r="N75" s="1">
        <v>1</v>
      </c>
      <c r="O75" s="1">
        <v>0</v>
      </c>
      <c r="P75" s="11" t="str">
        <f t="shared" si="0"/>
        <v>平</v>
      </c>
      <c r="Q75" s="11" t="str">
        <f t="shared" si="0"/>
        <v>负</v>
      </c>
    </row>
    <row r="76" spans="4:17" customFormat="1" hidden="1" x14ac:dyDescent="0.15">
      <c r="D76" t="s">
        <v>6</v>
      </c>
      <c r="E76" s="1">
        <v>25034</v>
      </c>
      <c r="F76" s="1">
        <v>25034</v>
      </c>
      <c r="G76" s="8">
        <v>41876.041666666664</v>
      </c>
      <c r="H76" s="1" t="s">
        <v>38</v>
      </c>
      <c r="I76" s="1">
        <v>3</v>
      </c>
      <c r="J76" s="1">
        <v>5</v>
      </c>
      <c r="K76" s="1">
        <v>0</v>
      </c>
      <c r="L76" s="1" t="s">
        <v>43</v>
      </c>
      <c r="M76" s="1">
        <v>0</v>
      </c>
      <c r="N76" s="1">
        <v>0</v>
      </c>
      <c r="O76" s="1">
        <v>0</v>
      </c>
      <c r="P76" s="11" t="str">
        <f t="shared" si="0"/>
        <v>胜</v>
      </c>
      <c r="Q76" s="11" t="str">
        <f t="shared" si="0"/>
        <v>胜</v>
      </c>
    </row>
    <row r="77" spans="4:17" customFormat="1" hidden="1" x14ac:dyDescent="0.15">
      <c r="D77" t="s">
        <v>6</v>
      </c>
      <c r="E77" s="1">
        <v>25307</v>
      </c>
      <c r="F77" s="1">
        <v>25307</v>
      </c>
      <c r="G77" s="8">
        <v>41875.999305555553</v>
      </c>
      <c r="H77" s="1" t="s">
        <v>48</v>
      </c>
      <c r="I77" s="1">
        <v>0</v>
      </c>
      <c r="J77" s="1">
        <v>1</v>
      </c>
      <c r="K77" s="1">
        <v>0</v>
      </c>
      <c r="L77" s="1" t="s">
        <v>32</v>
      </c>
      <c r="M77" s="1">
        <v>2</v>
      </c>
      <c r="N77" s="1">
        <v>2</v>
      </c>
      <c r="O77" s="1">
        <v>0</v>
      </c>
      <c r="P77" s="11" t="str">
        <f t="shared" ref="P77:Q140" si="1">IF(I77=M77,"平",IF(I77&gt;M77,"胜","负"))</f>
        <v>负</v>
      </c>
      <c r="Q77" s="11" t="str">
        <f t="shared" si="1"/>
        <v>负</v>
      </c>
    </row>
    <row r="78" spans="4:17" customFormat="1" hidden="1" x14ac:dyDescent="0.15">
      <c r="D78" t="s">
        <v>6</v>
      </c>
      <c r="E78" s="1">
        <v>25308</v>
      </c>
      <c r="F78" s="1">
        <v>25308</v>
      </c>
      <c r="G78" s="8">
        <v>41876</v>
      </c>
      <c r="H78" s="1" t="s">
        <v>37</v>
      </c>
      <c r="I78" s="1">
        <v>1</v>
      </c>
      <c r="J78" s="1">
        <v>2</v>
      </c>
      <c r="K78" s="1">
        <v>0</v>
      </c>
      <c r="L78" s="1" t="s">
        <v>41</v>
      </c>
      <c r="M78" s="1">
        <v>0</v>
      </c>
      <c r="N78" s="1">
        <v>0</v>
      </c>
      <c r="O78" s="1">
        <v>0</v>
      </c>
      <c r="P78" s="11" t="str">
        <f t="shared" si="1"/>
        <v>胜</v>
      </c>
      <c r="Q78" s="11" t="str">
        <f t="shared" si="1"/>
        <v>胜</v>
      </c>
    </row>
    <row r="79" spans="4:17" customFormat="1" hidden="1" x14ac:dyDescent="0.15">
      <c r="D79" t="s">
        <v>6</v>
      </c>
      <c r="E79" s="1">
        <v>26412</v>
      </c>
      <c r="F79" s="1">
        <v>26412</v>
      </c>
      <c r="G79" s="8">
        <v>41882</v>
      </c>
      <c r="H79" s="1" t="s">
        <v>43</v>
      </c>
      <c r="I79" s="1">
        <v>0</v>
      </c>
      <c r="J79" s="1">
        <v>2</v>
      </c>
      <c r="K79" s="1">
        <v>0</v>
      </c>
      <c r="L79" s="1" t="s">
        <v>40</v>
      </c>
      <c r="M79" s="1">
        <v>0</v>
      </c>
      <c r="N79" s="1">
        <v>0</v>
      </c>
      <c r="O79" s="1">
        <v>0</v>
      </c>
      <c r="P79" s="11" t="str">
        <f t="shared" si="1"/>
        <v>平</v>
      </c>
      <c r="Q79" s="11" t="str">
        <f t="shared" si="1"/>
        <v>胜</v>
      </c>
    </row>
    <row r="80" spans="4:17" hidden="1" x14ac:dyDescent="0.15">
      <c r="D80" s="2" t="s">
        <v>6</v>
      </c>
      <c r="E80" s="6">
        <v>26435</v>
      </c>
      <c r="F80" s="6">
        <v>26435</v>
      </c>
      <c r="G80" s="24">
        <v>41882.083333333336</v>
      </c>
      <c r="H80" s="6" t="s">
        <v>1776</v>
      </c>
      <c r="I80" s="6">
        <v>2</v>
      </c>
      <c r="J80" s="6">
        <v>4</v>
      </c>
      <c r="K80" s="6">
        <v>0</v>
      </c>
      <c r="L80" s="6" t="s">
        <v>49</v>
      </c>
      <c r="M80" s="6">
        <v>2</v>
      </c>
      <c r="N80" s="6">
        <v>3</v>
      </c>
      <c r="O80" s="6">
        <v>0</v>
      </c>
      <c r="P80" s="11" t="str">
        <f t="shared" si="1"/>
        <v>平</v>
      </c>
      <c r="Q80" s="11" t="str">
        <f t="shared" si="1"/>
        <v>胜</v>
      </c>
    </row>
    <row r="81" spans="4:17" customFormat="1" hidden="1" x14ac:dyDescent="0.15">
      <c r="D81" t="s">
        <v>6</v>
      </c>
      <c r="E81" s="1">
        <v>26491</v>
      </c>
      <c r="F81" s="1">
        <v>26491</v>
      </c>
      <c r="G81" s="8">
        <v>41882.895833333336</v>
      </c>
      <c r="H81" s="1" t="s">
        <v>44</v>
      </c>
      <c r="I81" s="1">
        <v>0</v>
      </c>
      <c r="J81" s="1">
        <v>2</v>
      </c>
      <c r="K81" s="1">
        <v>0</v>
      </c>
      <c r="L81" s="1" t="s">
        <v>48</v>
      </c>
      <c r="M81" s="1">
        <v>0</v>
      </c>
      <c r="N81" s="1">
        <v>0</v>
      </c>
      <c r="O81" s="1">
        <v>0</v>
      </c>
      <c r="P81" s="11" t="str">
        <f t="shared" si="1"/>
        <v>平</v>
      </c>
      <c r="Q81" s="11" t="str">
        <f t="shared" si="1"/>
        <v>胜</v>
      </c>
    </row>
    <row r="82" spans="4:17" customFormat="1" hidden="1" x14ac:dyDescent="0.15">
      <c r="D82" t="s">
        <v>6</v>
      </c>
      <c r="E82" s="1">
        <v>26788</v>
      </c>
      <c r="F82" s="1">
        <v>26788</v>
      </c>
      <c r="G82" s="8">
        <v>41883.000694444447</v>
      </c>
      <c r="H82" s="1" t="s">
        <v>45</v>
      </c>
      <c r="I82" s="1">
        <v>0</v>
      </c>
      <c r="J82" s="1">
        <v>1</v>
      </c>
      <c r="K82" s="1">
        <v>0</v>
      </c>
      <c r="L82" s="1" t="s">
        <v>37</v>
      </c>
      <c r="M82" s="1">
        <v>2</v>
      </c>
      <c r="N82" s="1">
        <v>2</v>
      </c>
      <c r="O82" s="1">
        <v>0</v>
      </c>
      <c r="P82" s="11" t="str">
        <f t="shared" si="1"/>
        <v>负</v>
      </c>
      <c r="Q82" s="11" t="str">
        <f t="shared" si="1"/>
        <v>负</v>
      </c>
    </row>
    <row r="83" spans="4:17" customFormat="1" x14ac:dyDescent="0.15">
      <c r="D83" t="s">
        <v>6</v>
      </c>
      <c r="E83" s="1">
        <v>26790</v>
      </c>
      <c r="F83" s="1">
        <v>26790</v>
      </c>
      <c r="G83" s="8">
        <v>41883</v>
      </c>
      <c r="H83" s="1" t="s">
        <v>36</v>
      </c>
      <c r="I83" s="1">
        <v>2</v>
      </c>
      <c r="J83" s="1">
        <v>3</v>
      </c>
      <c r="K83" s="1">
        <v>0</v>
      </c>
      <c r="L83" s="1" t="s">
        <v>35</v>
      </c>
      <c r="M83" s="1">
        <v>1</v>
      </c>
      <c r="N83" s="1">
        <v>2</v>
      </c>
      <c r="O83" s="1">
        <v>0</v>
      </c>
      <c r="P83" s="11" t="str">
        <f t="shared" si="1"/>
        <v>胜</v>
      </c>
      <c r="Q83" s="11" t="str">
        <f t="shared" si="1"/>
        <v>胜</v>
      </c>
    </row>
    <row r="84" spans="4:17" customFormat="1" hidden="1" x14ac:dyDescent="0.15">
      <c r="D84" t="s">
        <v>6</v>
      </c>
      <c r="E84" s="1">
        <v>26791</v>
      </c>
      <c r="F84" s="1">
        <v>26791</v>
      </c>
      <c r="G84" s="8">
        <v>41883.000694444447</v>
      </c>
      <c r="H84" s="1" t="s">
        <v>42</v>
      </c>
      <c r="I84" s="1">
        <v>0</v>
      </c>
      <c r="J84" s="1">
        <v>1</v>
      </c>
      <c r="K84" s="1">
        <v>0</v>
      </c>
      <c r="L84" s="1" t="s">
        <v>31</v>
      </c>
      <c r="M84" s="1">
        <v>1</v>
      </c>
      <c r="N84" s="1">
        <v>1</v>
      </c>
      <c r="O84" s="1">
        <v>0</v>
      </c>
      <c r="P84" s="11" t="str">
        <f t="shared" si="1"/>
        <v>负</v>
      </c>
      <c r="Q84" s="11" t="str">
        <f t="shared" si="1"/>
        <v>平</v>
      </c>
    </row>
    <row r="85" spans="4:17" customFormat="1" hidden="1" x14ac:dyDescent="0.15">
      <c r="D85" t="s">
        <v>6</v>
      </c>
      <c r="E85" s="1">
        <v>26804</v>
      </c>
      <c r="F85" s="1">
        <v>26804</v>
      </c>
      <c r="G85" s="8">
        <v>41883.041666666664</v>
      </c>
      <c r="H85" s="1" t="s">
        <v>46</v>
      </c>
      <c r="I85" s="1">
        <v>0</v>
      </c>
      <c r="J85" s="1">
        <v>0</v>
      </c>
      <c r="K85" s="1">
        <v>0</v>
      </c>
      <c r="L85" s="1" t="s">
        <v>38</v>
      </c>
      <c r="M85" s="1">
        <v>1</v>
      </c>
      <c r="N85" s="1">
        <v>1</v>
      </c>
      <c r="O85" s="1">
        <v>0</v>
      </c>
      <c r="P85" s="11" t="str">
        <f t="shared" si="1"/>
        <v>负</v>
      </c>
      <c r="Q85" s="11" t="str">
        <f t="shared" si="1"/>
        <v>负</v>
      </c>
    </row>
    <row r="86" spans="4:17" customFormat="1" hidden="1" x14ac:dyDescent="0.15">
      <c r="D86" t="s">
        <v>6</v>
      </c>
      <c r="E86" s="1">
        <v>27410</v>
      </c>
      <c r="F86" s="1">
        <v>27410</v>
      </c>
      <c r="G86" s="8">
        <v>41881.896527777775</v>
      </c>
      <c r="H86" s="1" t="s">
        <v>41</v>
      </c>
      <c r="I86" s="1">
        <v>1</v>
      </c>
      <c r="J86" s="1">
        <v>2</v>
      </c>
      <c r="K86" s="1">
        <v>0</v>
      </c>
      <c r="L86" s="1" t="s">
        <v>34</v>
      </c>
      <c r="M86" s="1">
        <v>1</v>
      </c>
      <c r="N86" s="1">
        <v>2</v>
      </c>
      <c r="O86" s="1">
        <v>0</v>
      </c>
      <c r="P86" s="11" t="str">
        <f t="shared" si="1"/>
        <v>平</v>
      </c>
      <c r="Q86" s="11" t="str">
        <f t="shared" si="1"/>
        <v>平</v>
      </c>
    </row>
    <row r="87" spans="4:17" customFormat="1" hidden="1" x14ac:dyDescent="0.15">
      <c r="D87" t="s">
        <v>6</v>
      </c>
      <c r="E87" s="1">
        <v>29289</v>
      </c>
      <c r="F87" s="1">
        <v>29289</v>
      </c>
      <c r="G87" s="8">
        <v>41895.041666666664</v>
      </c>
      <c r="H87" s="1" t="s">
        <v>37</v>
      </c>
      <c r="I87" s="1">
        <v>0</v>
      </c>
      <c r="J87" s="1">
        <v>3</v>
      </c>
      <c r="K87" s="1">
        <v>0</v>
      </c>
      <c r="L87" s="1" t="s">
        <v>32</v>
      </c>
      <c r="M87" s="1">
        <v>0</v>
      </c>
      <c r="N87" s="1">
        <v>1</v>
      </c>
      <c r="O87" s="1">
        <v>0</v>
      </c>
      <c r="P87" s="11" t="str">
        <f t="shared" si="1"/>
        <v>平</v>
      </c>
      <c r="Q87" s="11" t="str">
        <f t="shared" si="1"/>
        <v>胜</v>
      </c>
    </row>
    <row r="88" spans="4:17" customFormat="1" hidden="1" x14ac:dyDescent="0.15">
      <c r="D88" t="s">
        <v>6</v>
      </c>
      <c r="E88" s="1">
        <v>29353</v>
      </c>
      <c r="F88" s="1">
        <v>29353</v>
      </c>
      <c r="G88" s="8">
        <v>41895.895833333336</v>
      </c>
      <c r="H88" s="1" t="s">
        <v>34</v>
      </c>
      <c r="I88" s="1">
        <v>1</v>
      </c>
      <c r="J88" s="1">
        <v>4</v>
      </c>
      <c r="K88" s="1">
        <v>0</v>
      </c>
      <c r="L88" s="1" t="s">
        <v>45</v>
      </c>
      <c r="M88" s="1">
        <v>1</v>
      </c>
      <c r="N88" s="1">
        <v>1</v>
      </c>
      <c r="O88" s="1">
        <v>0</v>
      </c>
      <c r="P88" s="11" t="str">
        <f t="shared" si="1"/>
        <v>平</v>
      </c>
      <c r="Q88" s="11" t="str">
        <f t="shared" si="1"/>
        <v>胜</v>
      </c>
    </row>
    <row r="89" spans="4:17" customFormat="1" hidden="1" x14ac:dyDescent="0.15">
      <c r="D89" t="s">
        <v>6</v>
      </c>
      <c r="E89" s="1">
        <v>29498</v>
      </c>
      <c r="F89" s="1">
        <v>29498</v>
      </c>
      <c r="G89" s="8">
        <v>41896</v>
      </c>
      <c r="H89" s="1" t="s">
        <v>40</v>
      </c>
      <c r="I89" s="1">
        <v>0</v>
      </c>
      <c r="J89" s="1">
        <v>1</v>
      </c>
      <c r="K89" s="1">
        <v>0</v>
      </c>
      <c r="L89" s="1" t="s">
        <v>46</v>
      </c>
      <c r="M89" s="1">
        <v>2</v>
      </c>
      <c r="N89" s="1">
        <v>4</v>
      </c>
      <c r="O89" s="1">
        <v>0</v>
      </c>
      <c r="P89" s="11" t="str">
        <f t="shared" si="1"/>
        <v>负</v>
      </c>
      <c r="Q89" s="11" t="str">
        <f t="shared" si="1"/>
        <v>负</v>
      </c>
    </row>
    <row r="90" spans="4:17" customFormat="1" hidden="1" x14ac:dyDescent="0.15">
      <c r="D90" t="s">
        <v>6</v>
      </c>
      <c r="E90" s="1">
        <v>29557</v>
      </c>
      <c r="F90" s="1">
        <v>29557</v>
      </c>
      <c r="G90" s="8">
        <v>41896.895833333336</v>
      </c>
      <c r="H90" s="1" t="s">
        <v>31</v>
      </c>
      <c r="I90" s="1">
        <v>0</v>
      </c>
      <c r="J90" s="1">
        <v>0</v>
      </c>
      <c r="K90" s="1">
        <v>0</v>
      </c>
      <c r="L90" s="1" t="s">
        <v>41</v>
      </c>
      <c r="M90" s="1">
        <v>2</v>
      </c>
      <c r="N90" s="1">
        <v>2</v>
      </c>
      <c r="O90" s="1">
        <v>0</v>
      </c>
      <c r="P90" s="11" t="str">
        <f t="shared" si="1"/>
        <v>负</v>
      </c>
      <c r="Q90" s="11" t="str">
        <f t="shared" si="1"/>
        <v>负</v>
      </c>
    </row>
    <row r="91" spans="4:17" customFormat="1" hidden="1" x14ac:dyDescent="0.15">
      <c r="D91" t="s">
        <v>6</v>
      </c>
      <c r="E91" s="1">
        <v>29745</v>
      </c>
      <c r="F91" s="1">
        <v>29745</v>
      </c>
      <c r="G91" s="8">
        <v>41897.000694444447</v>
      </c>
      <c r="H91" s="1" t="s">
        <v>35</v>
      </c>
      <c r="I91" s="1">
        <v>0</v>
      </c>
      <c r="J91" s="1">
        <v>1</v>
      </c>
      <c r="K91" s="1">
        <v>0</v>
      </c>
      <c r="L91" s="1" t="s">
        <v>43</v>
      </c>
      <c r="M91" s="1">
        <v>1</v>
      </c>
      <c r="N91" s="1">
        <v>1</v>
      </c>
      <c r="O91" s="1">
        <v>0</v>
      </c>
      <c r="P91" s="11" t="str">
        <f t="shared" si="1"/>
        <v>负</v>
      </c>
      <c r="Q91" s="11" t="str">
        <f t="shared" si="1"/>
        <v>平</v>
      </c>
    </row>
    <row r="92" spans="4:17" customFormat="1" hidden="1" x14ac:dyDescent="0.15">
      <c r="D92" t="s">
        <v>6</v>
      </c>
      <c r="E92" s="1">
        <v>29750</v>
      </c>
      <c r="F92" s="1">
        <v>29750</v>
      </c>
      <c r="G92" s="8">
        <v>41897</v>
      </c>
      <c r="H92" s="1" t="s">
        <v>49</v>
      </c>
      <c r="I92" s="1">
        <v>2</v>
      </c>
      <c r="J92" s="1">
        <v>4</v>
      </c>
      <c r="K92" s="1">
        <v>0</v>
      </c>
      <c r="L92" s="1" t="s">
        <v>48</v>
      </c>
      <c r="M92" s="1">
        <v>0</v>
      </c>
      <c r="N92" s="1">
        <v>1</v>
      </c>
      <c r="O92" s="1">
        <v>0</v>
      </c>
      <c r="P92" s="11" t="str">
        <f t="shared" si="1"/>
        <v>胜</v>
      </c>
      <c r="Q92" s="11" t="str">
        <f t="shared" si="1"/>
        <v>胜</v>
      </c>
    </row>
    <row r="93" spans="4:17" customFormat="1" x14ac:dyDescent="0.15">
      <c r="D93" t="s">
        <v>6</v>
      </c>
      <c r="E93" s="1">
        <v>29752</v>
      </c>
      <c r="F93" s="1">
        <v>29752</v>
      </c>
      <c r="G93" s="8">
        <v>41897</v>
      </c>
      <c r="H93" s="1" t="s">
        <v>36</v>
      </c>
      <c r="I93" s="1">
        <v>0</v>
      </c>
      <c r="J93" s="1">
        <v>1</v>
      </c>
      <c r="K93" s="1">
        <v>0</v>
      </c>
      <c r="L93" s="1" t="s">
        <v>42</v>
      </c>
      <c r="M93" s="1">
        <v>0</v>
      </c>
      <c r="N93" s="1">
        <v>3</v>
      </c>
      <c r="O93" s="1">
        <v>0</v>
      </c>
      <c r="P93" s="11" t="str">
        <f t="shared" si="1"/>
        <v>平</v>
      </c>
      <c r="Q93" s="11" t="str">
        <f t="shared" si="1"/>
        <v>负</v>
      </c>
    </row>
    <row r="94" spans="4:17" customFormat="1" hidden="1" x14ac:dyDescent="0.15">
      <c r="D94" t="s">
        <v>6</v>
      </c>
      <c r="E94" s="1">
        <v>29754</v>
      </c>
      <c r="F94" s="1">
        <v>29754</v>
      </c>
      <c r="G94" s="8">
        <v>41897.041666666664</v>
      </c>
      <c r="H94" s="1" t="s">
        <v>38</v>
      </c>
      <c r="I94" s="1">
        <v>2</v>
      </c>
      <c r="J94" s="1">
        <v>3</v>
      </c>
      <c r="K94" s="1">
        <v>0</v>
      </c>
      <c r="L94" s="1" t="s">
        <v>44</v>
      </c>
      <c r="M94" s="1">
        <v>0</v>
      </c>
      <c r="N94" s="1">
        <v>2</v>
      </c>
      <c r="O94" s="1">
        <v>0</v>
      </c>
      <c r="P94" s="11" t="str">
        <f t="shared" si="1"/>
        <v>胜</v>
      </c>
      <c r="Q94" s="11" t="str">
        <f t="shared" si="1"/>
        <v>胜</v>
      </c>
    </row>
    <row r="95" spans="4:17" customFormat="1" hidden="1" x14ac:dyDescent="0.15">
      <c r="D95" t="s">
        <v>6</v>
      </c>
      <c r="E95" s="1">
        <v>31035</v>
      </c>
      <c r="F95" s="1">
        <v>31035</v>
      </c>
      <c r="G95" s="8">
        <v>41902.042361111111</v>
      </c>
      <c r="H95" s="1" t="s">
        <v>46</v>
      </c>
      <c r="I95" s="1">
        <v>0</v>
      </c>
      <c r="J95" s="1">
        <v>1</v>
      </c>
      <c r="K95" s="1">
        <v>0</v>
      </c>
      <c r="L95" s="1" t="s">
        <v>31</v>
      </c>
      <c r="M95" s="1">
        <v>0</v>
      </c>
      <c r="N95" s="1">
        <v>1</v>
      </c>
      <c r="O95" s="1">
        <v>0</v>
      </c>
      <c r="P95" s="11" t="str">
        <f t="shared" si="1"/>
        <v>平</v>
      </c>
      <c r="Q95" s="11" t="str">
        <f t="shared" si="1"/>
        <v>平</v>
      </c>
    </row>
    <row r="96" spans="4:17" customFormat="1" hidden="1" x14ac:dyDescent="0.15">
      <c r="D96" t="s">
        <v>6</v>
      </c>
      <c r="E96" s="1">
        <v>31309</v>
      </c>
      <c r="F96" s="1">
        <v>31309</v>
      </c>
      <c r="G96" s="8">
        <v>41902.999305555553</v>
      </c>
      <c r="H96" s="1" t="s">
        <v>49</v>
      </c>
      <c r="I96" s="1">
        <v>0</v>
      </c>
      <c r="J96" s="1">
        <v>0</v>
      </c>
      <c r="K96" s="1">
        <v>0</v>
      </c>
      <c r="L96" s="1" t="s">
        <v>38</v>
      </c>
      <c r="M96" s="1">
        <v>1</v>
      </c>
      <c r="N96" s="1">
        <v>2</v>
      </c>
      <c r="O96" s="1">
        <v>0</v>
      </c>
      <c r="P96" s="11" t="str">
        <f t="shared" si="1"/>
        <v>负</v>
      </c>
      <c r="Q96" s="11" t="str">
        <f t="shared" si="1"/>
        <v>负</v>
      </c>
    </row>
    <row r="97" spans="4:17" customFormat="1" hidden="1" x14ac:dyDescent="0.15">
      <c r="D97" t="s">
        <v>6</v>
      </c>
      <c r="E97" s="1">
        <v>31404</v>
      </c>
      <c r="F97" s="1">
        <v>31404</v>
      </c>
      <c r="G97" s="8">
        <v>41903.895833333336</v>
      </c>
      <c r="H97" s="1" t="s">
        <v>45</v>
      </c>
      <c r="I97" s="1">
        <v>0</v>
      </c>
      <c r="J97" s="1">
        <v>0</v>
      </c>
      <c r="K97" s="1">
        <v>0</v>
      </c>
      <c r="L97" s="1" t="s">
        <v>36</v>
      </c>
      <c r="M97" s="1">
        <v>0</v>
      </c>
      <c r="N97" s="1">
        <v>1</v>
      </c>
      <c r="O97" s="1">
        <v>0</v>
      </c>
      <c r="P97" s="11" t="str">
        <f t="shared" si="1"/>
        <v>平</v>
      </c>
      <c r="Q97" s="11" t="str">
        <f t="shared" si="1"/>
        <v>负</v>
      </c>
    </row>
    <row r="98" spans="4:17" customFormat="1" hidden="1" x14ac:dyDescent="0.15">
      <c r="D98" t="s">
        <v>6</v>
      </c>
      <c r="E98" s="1">
        <v>31610</v>
      </c>
      <c r="F98" s="1">
        <v>31610</v>
      </c>
      <c r="G98" s="8">
        <v>41904</v>
      </c>
      <c r="H98" s="1" t="s">
        <v>41</v>
      </c>
      <c r="I98" s="1">
        <v>1</v>
      </c>
      <c r="J98" s="1">
        <v>3</v>
      </c>
      <c r="K98" s="1">
        <v>0</v>
      </c>
      <c r="L98" s="1" t="s">
        <v>35</v>
      </c>
      <c r="M98" s="1">
        <v>0</v>
      </c>
      <c r="N98" s="1">
        <v>1</v>
      </c>
      <c r="O98" s="1">
        <v>0</v>
      </c>
      <c r="P98" s="11" t="str">
        <f t="shared" si="1"/>
        <v>胜</v>
      </c>
      <c r="Q98" s="11" t="str">
        <f t="shared" si="1"/>
        <v>胜</v>
      </c>
    </row>
    <row r="99" spans="4:17" customFormat="1" hidden="1" x14ac:dyDescent="0.15">
      <c r="D99" t="s">
        <v>6</v>
      </c>
      <c r="E99" s="1">
        <v>31623</v>
      </c>
      <c r="F99" s="1">
        <v>31623</v>
      </c>
      <c r="G99" s="8">
        <v>41904.083333333336</v>
      </c>
      <c r="H99" s="1" t="s">
        <v>48</v>
      </c>
      <c r="I99" s="1">
        <v>2</v>
      </c>
      <c r="J99" s="1">
        <v>2</v>
      </c>
      <c r="K99" s="1">
        <v>0</v>
      </c>
      <c r="L99" s="1" t="s">
        <v>37</v>
      </c>
      <c r="M99" s="1">
        <v>0</v>
      </c>
      <c r="N99" s="1">
        <v>1</v>
      </c>
      <c r="O99" s="1">
        <v>0</v>
      </c>
      <c r="P99" s="11" t="str">
        <f t="shared" si="1"/>
        <v>胜</v>
      </c>
      <c r="Q99" s="11" t="str">
        <f t="shared" si="1"/>
        <v>胜</v>
      </c>
    </row>
    <row r="100" spans="4:17" customFormat="1" hidden="1" x14ac:dyDescent="0.15">
      <c r="D100" t="s">
        <v>6</v>
      </c>
      <c r="E100" s="1">
        <v>31635</v>
      </c>
      <c r="F100" s="1">
        <v>31635</v>
      </c>
      <c r="G100" s="8">
        <v>41904</v>
      </c>
      <c r="H100" s="1" t="s">
        <v>43</v>
      </c>
      <c r="I100" s="1">
        <v>0</v>
      </c>
      <c r="J100" s="1">
        <v>3</v>
      </c>
      <c r="K100" s="1">
        <v>0</v>
      </c>
      <c r="L100" s="1" t="s">
        <v>42</v>
      </c>
      <c r="M100" s="1">
        <v>0</v>
      </c>
      <c r="N100" s="1">
        <v>0</v>
      </c>
      <c r="O100" s="1">
        <v>0</v>
      </c>
      <c r="P100" s="11" t="str">
        <f t="shared" si="1"/>
        <v>平</v>
      </c>
      <c r="Q100" s="11" t="str">
        <f t="shared" si="1"/>
        <v>胜</v>
      </c>
    </row>
    <row r="101" spans="4:17" hidden="1" x14ac:dyDescent="0.15">
      <c r="D101" s="2" t="s">
        <v>6</v>
      </c>
      <c r="E101" s="6">
        <v>32084</v>
      </c>
      <c r="F101" s="6">
        <v>32084</v>
      </c>
      <c r="G101" s="24">
        <v>41902.895833333336</v>
      </c>
      <c r="H101" s="6" t="s">
        <v>32</v>
      </c>
      <c r="I101" s="6">
        <v>0</v>
      </c>
      <c r="J101" s="6">
        <v>0</v>
      </c>
      <c r="K101" s="6">
        <v>0</v>
      </c>
      <c r="L101" s="6" t="s">
        <v>40</v>
      </c>
      <c r="M101" s="6">
        <v>1</v>
      </c>
      <c r="N101" s="6">
        <v>4</v>
      </c>
      <c r="O101" s="6">
        <v>0</v>
      </c>
      <c r="P101" s="11" t="str">
        <f t="shared" si="1"/>
        <v>负</v>
      </c>
      <c r="Q101" s="11" t="str">
        <f t="shared" si="1"/>
        <v>负</v>
      </c>
    </row>
    <row r="102" spans="4:17" customFormat="1" hidden="1" x14ac:dyDescent="0.15">
      <c r="D102" t="s">
        <v>6</v>
      </c>
      <c r="E102" s="1">
        <v>32458</v>
      </c>
      <c r="F102" s="1">
        <v>32458</v>
      </c>
      <c r="G102" s="8">
        <v>41904.000694444447</v>
      </c>
      <c r="H102" s="1" t="s">
        <v>44</v>
      </c>
      <c r="I102" s="1">
        <v>1</v>
      </c>
      <c r="J102" s="1">
        <v>2</v>
      </c>
      <c r="K102" s="1">
        <v>0</v>
      </c>
      <c r="L102" s="1" t="s">
        <v>34</v>
      </c>
      <c r="M102" s="1">
        <v>0</v>
      </c>
      <c r="N102" s="1">
        <v>0</v>
      </c>
      <c r="O102" s="1">
        <v>0</v>
      </c>
      <c r="P102" s="11" t="str">
        <f t="shared" si="1"/>
        <v>胜</v>
      </c>
      <c r="Q102" s="11" t="str">
        <f t="shared" si="1"/>
        <v>胜</v>
      </c>
    </row>
    <row r="103" spans="4:17" customFormat="1" hidden="1" x14ac:dyDescent="0.15">
      <c r="D103" t="s">
        <v>6</v>
      </c>
      <c r="E103" s="1">
        <v>33044</v>
      </c>
      <c r="F103" s="1">
        <v>33044</v>
      </c>
      <c r="G103" s="8">
        <v>41909.042361111111</v>
      </c>
      <c r="H103" s="1" t="s">
        <v>31</v>
      </c>
      <c r="I103" s="1">
        <v>0</v>
      </c>
      <c r="J103" s="1">
        <v>2</v>
      </c>
      <c r="K103" s="1">
        <v>0</v>
      </c>
      <c r="L103" s="1" t="s">
        <v>49</v>
      </c>
      <c r="M103" s="1">
        <v>0</v>
      </c>
      <c r="N103" s="1">
        <v>1</v>
      </c>
      <c r="O103" s="1">
        <v>0</v>
      </c>
      <c r="P103" s="11" t="str">
        <f t="shared" si="1"/>
        <v>平</v>
      </c>
      <c r="Q103" s="11" t="str">
        <f t="shared" si="1"/>
        <v>胜</v>
      </c>
    </row>
    <row r="104" spans="4:17" customFormat="1" hidden="1" x14ac:dyDescent="0.15">
      <c r="D104" t="s">
        <v>6</v>
      </c>
      <c r="E104" s="1">
        <v>33057</v>
      </c>
      <c r="F104" s="1">
        <v>33057</v>
      </c>
      <c r="G104" s="8">
        <v>41909.895833333336</v>
      </c>
      <c r="H104" s="1" t="s">
        <v>38</v>
      </c>
      <c r="I104" s="1">
        <v>1</v>
      </c>
      <c r="J104" s="1">
        <v>2</v>
      </c>
      <c r="K104" s="1">
        <v>0</v>
      </c>
      <c r="L104" s="1" t="s">
        <v>32</v>
      </c>
      <c r="M104" s="1">
        <v>0</v>
      </c>
      <c r="N104" s="1">
        <v>1</v>
      </c>
      <c r="O104" s="1">
        <v>0</v>
      </c>
      <c r="P104" s="11" t="str">
        <f t="shared" si="1"/>
        <v>胜</v>
      </c>
      <c r="Q104" s="11" t="str">
        <f t="shared" si="1"/>
        <v>胜</v>
      </c>
    </row>
    <row r="105" spans="4:17" customFormat="1" hidden="1" x14ac:dyDescent="0.15">
      <c r="D105" t="s">
        <v>6</v>
      </c>
      <c r="E105" s="1">
        <v>33058</v>
      </c>
      <c r="F105" s="1">
        <v>33058</v>
      </c>
      <c r="G105" s="8">
        <v>41909.896527777775</v>
      </c>
      <c r="H105" s="1" t="s">
        <v>35</v>
      </c>
      <c r="I105" s="1">
        <v>1</v>
      </c>
      <c r="J105" s="1">
        <v>4</v>
      </c>
      <c r="K105" s="1">
        <v>0</v>
      </c>
      <c r="L105" s="1" t="s">
        <v>48</v>
      </c>
      <c r="M105" s="1">
        <v>1</v>
      </c>
      <c r="N105" s="1">
        <v>1</v>
      </c>
      <c r="O105" s="1">
        <v>0</v>
      </c>
      <c r="P105" s="11" t="str">
        <f t="shared" si="1"/>
        <v>平</v>
      </c>
      <c r="Q105" s="11" t="str">
        <f t="shared" si="1"/>
        <v>胜</v>
      </c>
    </row>
    <row r="106" spans="4:17" customFormat="1" hidden="1" x14ac:dyDescent="0.15">
      <c r="D106" t="s">
        <v>6</v>
      </c>
      <c r="E106" s="1">
        <v>33252</v>
      </c>
      <c r="F106" s="1">
        <v>33252</v>
      </c>
      <c r="G106" s="8">
        <v>41909.999305555553</v>
      </c>
      <c r="H106" s="1" t="s">
        <v>40</v>
      </c>
      <c r="I106" s="1">
        <v>1</v>
      </c>
      <c r="J106" s="1">
        <v>2</v>
      </c>
      <c r="K106" s="1">
        <v>0</v>
      </c>
      <c r="L106" s="1" t="s">
        <v>45</v>
      </c>
      <c r="M106" s="1">
        <v>1</v>
      </c>
      <c r="N106" s="1">
        <v>1</v>
      </c>
      <c r="O106" s="1">
        <v>0</v>
      </c>
      <c r="P106" s="11" t="str">
        <f t="shared" si="1"/>
        <v>平</v>
      </c>
      <c r="Q106" s="11" t="str">
        <f t="shared" si="1"/>
        <v>胜</v>
      </c>
    </row>
    <row r="107" spans="4:17" customFormat="1" hidden="1" x14ac:dyDescent="0.15">
      <c r="D107" t="s">
        <v>6</v>
      </c>
      <c r="E107" s="1">
        <v>33299</v>
      </c>
      <c r="F107" s="1">
        <v>33299</v>
      </c>
      <c r="G107" s="8">
        <v>41910.895833333336</v>
      </c>
      <c r="H107" s="1" t="s">
        <v>42</v>
      </c>
      <c r="I107" s="1">
        <v>2</v>
      </c>
      <c r="J107" s="1">
        <v>2</v>
      </c>
      <c r="K107" s="1">
        <v>0</v>
      </c>
      <c r="L107" s="1" t="s">
        <v>44</v>
      </c>
      <c r="M107" s="1">
        <v>0</v>
      </c>
      <c r="N107" s="1">
        <v>0</v>
      </c>
      <c r="O107" s="1">
        <v>0</v>
      </c>
      <c r="P107" s="11" t="str">
        <f t="shared" si="1"/>
        <v>胜</v>
      </c>
      <c r="Q107" s="11" t="str">
        <f t="shared" si="1"/>
        <v>胜</v>
      </c>
    </row>
    <row r="108" spans="4:17" customFormat="1" hidden="1" x14ac:dyDescent="0.15">
      <c r="D108" t="s">
        <v>6</v>
      </c>
      <c r="E108" s="1">
        <v>33588</v>
      </c>
      <c r="F108" s="1">
        <v>33588</v>
      </c>
      <c r="G108" s="8">
        <v>41911</v>
      </c>
      <c r="H108" s="1" t="s">
        <v>34</v>
      </c>
      <c r="I108" s="1">
        <v>1</v>
      </c>
      <c r="J108" s="1">
        <v>4</v>
      </c>
      <c r="K108" s="1">
        <v>0</v>
      </c>
      <c r="L108" s="1" t="s">
        <v>46</v>
      </c>
      <c r="M108" s="1">
        <v>0</v>
      </c>
      <c r="N108" s="1">
        <v>0</v>
      </c>
      <c r="O108" s="1">
        <v>0</v>
      </c>
      <c r="P108" s="11" t="str">
        <f t="shared" si="1"/>
        <v>胜</v>
      </c>
      <c r="Q108" s="11" t="str">
        <f t="shared" si="1"/>
        <v>胜</v>
      </c>
    </row>
    <row r="109" spans="4:17" customFormat="1" x14ac:dyDescent="0.15">
      <c r="D109" t="s">
        <v>6</v>
      </c>
      <c r="E109" s="1">
        <v>33589</v>
      </c>
      <c r="F109" s="1">
        <v>33589</v>
      </c>
      <c r="G109" s="8">
        <v>41911</v>
      </c>
      <c r="H109" s="1" t="s">
        <v>36</v>
      </c>
      <c r="I109" s="1">
        <v>1</v>
      </c>
      <c r="J109" s="1">
        <v>3</v>
      </c>
      <c r="K109" s="1">
        <v>0</v>
      </c>
      <c r="L109" s="1" t="s">
        <v>41</v>
      </c>
      <c r="M109" s="1">
        <v>0</v>
      </c>
      <c r="N109" s="1">
        <v>1</v>
      </c>
      <c r="O109" s="1">
        <v>0</v>
      </c>
      <c r="P109" s="11" t="str">
        <f t="shared" si="1"/>
        <v>胜</v>
      </c>
      <c r="Q109" s="11" t="str">
        <f t="shared" si="1"/>
        <v>胜</v>
      </c>
    </row>
    <row r="110" spans="4:17" customFormat="1" hidden="1" x14ac:dyDescent="0.15">
      <c r="D110" t="s">
        <v>6</v>
      </c>
      <c r="E110" s="1">
        <v>33597</v>
      </c>
      <c r="F110" s="1">
        <v>33597</v>
      </c>
      <c r="G110" s="8">
        <v>41911.083333333336</v>
      </c>
      <c r="H110" s="1" t="s">
        <v>37</v>
      </c>
      <c r="I110" s="1">
        <v>2</v>
      </c>
      <c r="J110" s="1">
        <v>3</v>
      </c>
      <c r="K110" s="1">
        <v>0</v>
      </c>
      <c r="L110" s="1" t="s">
        <v>43</v>
      </c>
      <c r="M110" s="1">
        <v>0</v>
      </c>
      <c r="N110" s="1">
        <v>0</v>
      </c>
      <c r="O110" s="1">
        <v>0</v>
      </c>
      <c r="P110" s="11" t="str">
        <f t="shared" si="1"/>
        <v>胜</v>
      </c>
      <c r="Q110" s="11" t="str">
        <f t="shared" si="1"/>
        <v>胜</v>
      </c>
    </row>
    <row r="111" spans="4:17" customFormat="1" hidden="1" x14ac:dyDescent="0.15">
      <c r="D111" t="s">
        <v>6</v>
      </c>
      <c r="E111" s="1">
        <v>35006</v>
      </c>
      <c r="F111" s="1">
        <v>35006</v>
      </c>
      <c r="G111" s="8">
        <v>41916.041666666664</v>
      </c>
      <c r="H111" s="1" t="s">
        <v>44</v>
      </c>
      <c r="I111" s="1">
        <v>0</v>
      </c>
      <c r="J111" s="1">
        <v>0</v>
      </c>
      <c r="K111" s="1">
        <v>0</v>
      </c>
      <c r="L111" s="1" t="s">
        <v>37</v>
      </c>
      <c r="M111" s="1">
        <v>0</v>
      </c>
      <c r="N111" s="1">
        <v>2</v>
      </c>
      <c r="O111" s="1">
        <v>0</v>
      </c>
      <c r="P111" s="11" t="str">
        <f t="shared" si="1"/>
        <v>平</v>
      </c>
      <c r="Q111" s="11" t="str">
        <f t="shared" si="1"/>
        <v>负</v>
      </c>
    </row>
    <row r="112" spans="4:17" customFormat="1" hidden="1" x14ac:dyDescent="0.15">
      <c r="D112" t="s">
        <v>6</v>
      </c>
      <c r="E112" s="1">
        <v>35112</v>
      </c>
      <c r="F112" s="1">
        <v>35112</v>
      </c>
      <c r="G112" s="8">
        <v>41916.999305555553</v>
      </c>
      <c r="H112" s="1" t="s">
        <v>45</v>
      </c>
      <c r="I112" s="1">
        <v>1</v>
      </c>
      <c r="J112" s="1">
        <v>1</v>
      </c>
      <c r="K112" s="1">
        <v>0</v>
      </c>
      <c r="L112" s="1" t="s">
        <v>38</v>
      </c>
      <c r="M112" s="1">
        <v>0</v>
      </c>
      <c r="N112" s="1">
        <v>2</v>
      </c>
      <c r="O112" s="1">
        <v>0</v>
      </c>
      <c r="P112" s="11" t="str">
        <f t="shared" si="1"/>
        <v>胜</v>
      </c>
      <c r="Q112" s="11" t="str">
        <f t="shared" si="1"/>
        <v>负</v>
      </c>
    </row>
    <row r="113" spans="4:17" customFormat="1" hidden="1" x14ac:dyDescent="0.15">
      <c r="D113" t="s">
        <v>6</v>
      </c>
      <c r="E113" s="1">
        <v>35208</v>
      </c>
      <c r="F113" s="1">
        <v>35208</v>
      </c>
      <c r="G113" s="8">
        <v>41917.895833333336</v>
      </c>
      <c r="H113" s="1" t="s">
        <v>41</v>
      </c>
      <c r="I113" s="1">
        <v>0</v>
      </c>
      <c r="J113" s="1">
        <v>0</v>
      </c>
      <c r="K113" s="1">
        <v>0</v>
      </c>
      <c r="L113" s="1" t="s">
        <v>40</v>
      </c>
      <c r="M113" s="1">
        <v>0</v>
      </c>
      <c r="N113" s="1">
        <v>0</v>
      </c>
      <c r="O113" s="1">
        <v>0</v>
      </c>
      <c r="P113" s="11" t="str">
        <f t="shared" si="1"/>
        <v>平</v>
      </c>
      <c r="Q113" s="11" t="str">
        <f t="shared" si="1"/>
        <v>平</v>
      </c>
    </row>
    <row r="114" spans="4:17" customFormat="1" hidden="1" x14ac:dyDescent="0.15">
      <c r="D114" t="s">
        <v>6</v>
      </c>
      <c r="E114" s="1">
        <v>35508</v>
      </c>
      <c r="F114" s="1">
        <v>35508</v>
      </c>
      <c r="G114" s="8">
        <v>41918</v>
      </c>
      <c r="H114" s="1" t="s">
        <v>48</v>
      </c>
      <c r="I114" s="1">
        <v>0</v>
      </c>
      <c r="J114" s="1">
        <v>2</v>
      </c>
      <c r="K114" s="1">
        <v>0</v>
      </c>
      <c r="L114" s="1" t="s">
        <v>31</v>
      </c>
      <c r="M114" s="1">
        <v>0</v>
      </c>
      <c r="N114" s="1">
        <v>0</v>
      </c>
      <c r="O114" s="1">
        <v>0</v>
      </c>
      <c r="P114" s="11" t="str">
        <f t="shared" si="1"/>
        <v>平</v>
      </c>
      <c r="Q114" s="11" t="str">
        <f t="shared" si="1"/>
        <v>胜</v>
      </c>
    </row>
    <row r="115" spans="4:17" hidden="1" x14ac:dyDescent="0.15">
      <c r="D115" s="2" t="s">
        <v>6</v>
      </c>
      <c r="E115" s="6">
        <v>35509</v>
      </c>
      <c r="F115" s="6">
        <v>35509</v>
      </c>
      <c r="G115" s="24">
        <v>41918</v>
      </c>
      <c r="H115" s="6" t="s">
        <v>32</v>
      </c>
      <c r="I115" s="6">
        <v>1</v>
      </c>
      <c r="J115" s="6">
        <v>1</v>
      </c>
      <c r="K115" s="6">
        <v>0</v>
      </c>
      <c r="L115" s="6" t="s">
        <v>42</v>
      </c>
      <c r="M115" s="6">
        <v>0</v>
      </c>
      <c r="N115" s="6">
        <v>1</v>
      </c>
      <c r="O115" s="6">
        <v>0</v>
      </c>
      <c r="P115" s="11" t="str">
        <f t="shared" si="1"/>
        <v>胜</v>
      </c>
      <c r="Q115" s="11" t="str">
        <f t="shared" si="1"/>
        <v>平</v>
      </c>
    </row>
    <row r="116" spans="4:17" customFormat="1" hidden="1" x14ac:dyDescent="0.15">
      <c r="D116" t="s">
        <v>6</v>
      </c>
      <c r="E116" s="1">
        <v>35510</v>
      </c>
      <c r="F116" s="1">
        <v>35510</v>
      </c>
      <c r="G116" s="8">
        <v>41918</v>
      </c>
      <c r="H116" s="1" t="s">
        <v>49</v>
      </c>
      <c r="I116" s="1">
        <v>1</v>
      </c>
      <c r="J116" s="1">
        <v>2</v>
      </c>
      <c r="K116" s="1">
        <v>0</v>
      </c>
      <c r="L116" s="1" t="s">
        <v>35</v>
      </c>
      <c r="M116" s="1">
        <v>1</v>
      </c>
      <c r="N116" s="1">
        <v>1</v>
      </c>
      <c r="O116" s="1">
        <v>0</v>
      </c>
      <c r="P116" s="11" t="str">
        <f t="shared" si="1"/>
        <v>平</v>
      </c>
      <c r="Q116" s="11" t="str">
        <f t="shared" si="1"/>
        <v>胜</v>
      </c>
    </row>
    <row r="117" spans="4:17" customFormat="1" hidden="1" x14ac:dyDescent="0.15">
      <c r="D117" t="s">
        <v>6</v>
      </c>
      <c r="E117" s="1">
        <v>35527</v>
      </c>
      <c r="F117" s="1">
        <v>35527</v>
      </c>
      <c r="G117" s="8">
        <v>41918.084027777775</v>
      </c>
      <c r="H117" s="1" t="s">
        <v>46</v>
      </c>
      <c r="I117" s="1">
        <v>0</v>
      </c>
      <c r="J117" s="1">
        <v>1</v>
      </c>
      <c r="K117" s="1">
        <v>0</v>
      </c>
      <c r="L117" s="1" t="s">
        <v>36</v>
      </c>
      <c r="M117" s="1">
        <v>1</v>
      </c>
      <c r="N117" s="1">
        <v>2</v>
      </c>
      <c r="O117" s="1">
        <v>0</v>
      </c>
      <c r="P117" s="11" t="str">
        <f t="shared" si="1"/>
        <v>负</v>
      </c>
      <c r="Q117" s="11" t="str">
        <f t="shared" si="1"/>
        <v>负</v>
      </c>
    </row>
    <row r="118" spans="4:17" customFormat="1" hidden="1" x14ac:dyDescent="0.15">
      <c r="D118" t="s">
        <v>6</v>
      </c>
      <c r="E118" s="1">
        <v>35993</v>
      </c>
      <c r="F118" s="1">
        <v>35993</v>
      </c>
      <c r="G118" s="8">
        <v>41916.895833333336</v>
      </c>
      <c r="H118" s="1" t="s">
        <v>43</v>
      </c>
      <c r="I118" s="1">
        <v>1</v>
      </c>
      <c r="J118" s="1">
        <v>2</v>
      </c>
      <c r="K118" s="1">
        <v>0</v>
      </c>
      <c r="L118" s="1" t="s">
        <v>34</v>
      </c>
      <c r="M118" s="1">
        <v>0</v>
      </c>
      <c r="N118" s="1">
        <v>2</v>
      </c>
      <c r="O118" s="1">
        <v>0</v>
      </c>
      <c r="P118" s="11" t="str">
        <f t="shared" si="1"/>
        <v>胜</v>
      </c>
      <c r="Q118" s="11" t="str">
        <f t="shared" si="1"/>
        <v>平</v>
      </c>
    </row>
    <row r="119" spans="4:17" customFormat="1" hidden="1" x14ac:dyDescent="0.15">
      <c r="D119" t="s">
        <v>6</v>
      </c>
      <c r="E119" s="1">
        <v>37779</v>
      </c>
      <c r="F119" s="1">
        <v>37779</v>
      </c>
      <c r="G119" s="8">
        <v>41930.041666666664</v>
      </c>
      <c r="H119" s="1" t="s">
        <v>46</v>
      </c>
      <c r="I119" s="1">
        <v>1</v>
      </c>
      <c r="J119" s="1">
        <v>1</v>
      </c>
      <c r="K119" s="1">
        <v>0</v>
      </c>
      <c r="L119" s="1" t="s">
        <v>41</v>
      </c>
      <c r="M119" s="1">
        <v>0</v>
      </c>
      <c r="N119" s="1">
        <v>2</v>
      </c>
      <c r="O119" s="1">
        <v>0</v>
      </c>
      <c r="P119" s="11" t="str">
        <f t="shared" si="1"/>
        <v>胜</v>
      </c>
      <c r="Q119" s="11" t="str">
        <f t="shared" si="1"/>
        <v>负</v>
      </c>
    </row>
    <row r="120" spans="4:17" customFormat="1" x14ac:dyDescent="0.15">
      <c r="D120" t="s">
        <v>6</v>
      </c>
      <c r="E120" s="1">
        <v>37963</v>
      </c>
      <c r="F120" s="1">
        <v>37963</v>
      </c>
      <c r="G120" s="8">
        <v>41930.895833333336</v>
      </c>
      <c r="H120" s="1" t="s">
        <v>36</v>
      </c>
      <c r="I120" s="1">
        <v>0</v>
      </c>
      <c r="J120" s="1">
        <v>1</v>
      </c>
      <c r="K120" s="1">
        <v>0</v>
      </c>
      <c r="L120" s="1" t="s">
        <v>43</v>
      </c>
      <c r="M120" s="1">
        <v>1</v>
      </c>
      <c r="N120" s="1">
        <v>1</v>
      </c>
      <c r="O120" s="1">
        <v>0</v>
      </c>
      <c r="P120" s="11" t="str">
        <f t="shared" si="1"/>
        <v>负</v>
      </c>
      <c r="Q120" s="11" t="str">
        <f t="shared" si="1"/>
        <v>平</v>
      </c>
    </row>
    <row r="121" spans="4:17" customFormat="1" hidden="1" x14ac:dyDescent="0.15">
      <c r="D121" t="s">
        <v>6</v>
      </c>
      <c r="E121" s="1">
        <v>38051</v>
      </c>
      <c r="F121" s="1">
        <v>38051</v>
      </c>
      <c r="G121" s="8">
        <v>41931</v>
      </c>
      <c r="H121" s="1" t="s">
        <v>38</v>
      </c>
      <c r="I121" s="1">
        <v>0</v>
      </c>
      <c r="J121" s="1">
        <v>1</v>
      </c>
      <c r="K121" s="1">
        <v>0</v>
      </c>
      <c r="L121" s="1" t="s">
        <v>48</v>
      </c>
      <c r="M121" s="1">
        <v>0</v>
      </c>
      <c r="N121" s="1">
        <v>2</v>
      </c>
      <c r="O121" s="1">
        <v>0</v>
      </c>
      <c r="P121" s="11" t="str">
        <f t="shared" si="1"/>
        <v>平</v>
      </c>
      <c r="Q121" s="11" t="str">
        <f t="shared" si="1"/>
        <v>负</v>
      </c>
    </row>
    <row r="122" spans="4:17" customFormat="1" hidden="1" x14ac:dyDescent="0.15">
      <c r="D122" t="s">
        <v>6</v>
      </c>
      <c r="E122" s="1">
        <v>38303</v>
      </c>
      <c r="F122" s="1">
        <v>38303</v>
      </c>
      <c r="G122" s="8">
        <v>41931.895833333336</v>
      </c>
      <c r="H122" s="1" t="s">
        <v>40</v>
      </c>
      <c r="I122" s="1">
        <v>2</v>
      </c>
      <c r="J122" s="1">
        <v>2</v>
      </c>
      <c r="K122" s="1">
        <v>0</v>
      </c>
      <c r="L122" s="1" t="s">
        <v>44</v>
      </c>
      <c r="M122" s="1">
        <v>0</v>
      </c>
      <c r="N122" s="1">
        <v>1</v>
      </c>
      <c r="O122" s="1">
        <v>0</v>
      </c>
      <c r="P122" s="11" t="str">
        <f t="shared" si="1"/>
        <v>胜</v>
      </c>
      <c r="Q122" s="11" t="str">
        <f t="shared" si="1"/>
        <v>胜</v>
      </c>
    </row>
    <row r="123" spans="4:17" customFormat="1" hidden="1" x14ac:dyDescent="0.15">
      <c r="D123" t="s">
        <v>6</v>
      </c>
      <c r="E123" s="1">
        <v>38324</v>
      </c>
      <c r="F123" s="1">
        <v>38324</v>
      </c>
      <c r="G123" s="8">
        <v>41932</v>
      </c>
      <c r="H123" s="1" t="s">
        <v>31</v>
      </c>
      <c r="I123" s="1">
        <v>1</v>
      </c>
      <c r="J123" s="1">
        <v>1</v>
      </c>
      <c r="K123" s="1">
        <v>0</v>
      </c>
      <c r="L123" s="1" t="s">
        <v>35</v>
      </c>
      <c r="M123" s="1">
        <v>0</v>
      </c>
      <c r="N123" s="1">
        <v>0</v>
      </c>
      <c r="O123" s="1">
        <v>0</v>
      </c>
      <c r="P123" s="11" t="str">
        <f t="shared" si="1"/>
        <v>胜</v>
      </c>
      <c r="Q123" s="11" t="str">
        <f t="shared" si="1"/>
        <v>胜</v>
      </c>
    </row>
    <row r="124" spans="4:17" customFormat="1" hidden="1" x14ac:dyDescent="0.15">
      <c r="D124" t="s">
        <v>6</v>
      </c>
      <c r="E124" s="1">
        <v>38325</v>
      </c>
      <c r="F124" s="1">
        <v>38325</v>
      </c>
      <c r="G124" s="8">
        <v>41932</v>
      </c>
      <c r="H124" s="1" t="s">
        <v>34</v>
      </c>
      <c r="I124" s="1">
        <v>2</v>
      </c>
      <c r="J124" s="1">
        <v>4</v>
      </c>
      <c r="K124" s="1">
        <v>0</v>
      </c>
      <c r="L124" s="1" t="s">
        <v>32</v>
      </c>
      <c r="M124" s="1">
        <v>2</v>
      </c>
      <c r="N124" s="1">
        <v>3</v>
      </c>
      <c r="O124" s="1">
        <v>0</v>
      </c>
      <c r="P124" s="11" t="str">
        <f t="shared" si="1"/>
        <v>平</v>
      </c>
      <c r="Q124" s="11" t="str">
        <f t="shared" si="1"/>
        <v>胜</v>
      </c>
    </row>
    <row r="125" spans="4:17" customFormat="1" hidden="1" x14ac:dyDescent="0.15">
      <c r="D125" t="s">
        <v>6</v>
      </c>
      <c r="E125" s="1">
        <v>38326</v>
      </c>
      <c r="F125" s="1">
        <v>38326</v>
      </c>
      <c r="G125" s="8">
        <v>41932</v>
      </c>
      <c r="H125" s="1" t="s">
        <v>42</v>
      </c>
      <c r="I125" s="1">
        <v>0</v>
      </c>
      <c r="J125" s="1">
        <v>1</v>
      </c>
      <c r="K125" s="1">
        <v>0</v>
      </c>
      <c r="L125" s="1" t="s">
        <v>45</v>
      </c>
      <c r="M125" s="1">
        <v>1</v>
      </c>
      <c r="N125" s="1">
        <v>1</v>
      </c>
      <c r="O125" s="1">
        <v>0</v>
      </c>
      <c r="P125" s="11" t="str">
        <f t="shared" si="1"/>
        <v>负</v>
      </c>
      <c r="Q125" s="11" t="str">
        <f t="shared" si="1"/>
        <v>平</v>
      </c>
    </row>
    <row r="126" spans="4:17" customFormat="1" hidden="1" x14ac:dyDescent="0.15">
      <c r="D126" t="s">
        <v>6</v>
      </c>
      <c r="E126" s="1">
        <v>38338</v>
      </c>
      <c r="F126" s="1">
        <v>38338</v>
      </c>
      <c r="G126" s="8">
        <v>41932.083333333336</v>
      </c>
      <c r="H126" s="1" t="s">
        <v>37</v>
      </c>
      <c r="I126" s="1">
        <v>2</v>
      </c>
      <c r="J126" s="1">
        <v>3</v>
      </c>
      <c r="K126" s="1">
        <v>0</v>
      </c>
      <c r="L126" s="1" t="s">
        <v>49</v>
      </c>
      <c r="M126" s="1">
        <v>2</v>
      </c>
      <c r="N126" s="1">
        <v>2</v>
      </c>
      <c r="O126" s="1">
        <v>0</v>
      </c>
      <c r="P126" s="11" t="str">
        <f t="shared" si="1"/>
        <v>平</v>
      </c>
      <c r="Q126" s="11" t="str">
        <f t="shared" si="1"/>
        <v>胜</v>
      </c>
    </row>
    <row r="127" spans="4:17" customFormat="1" hidden="1" x14ac:dyDescent="0.15">
      <c r="D127" t="s">
        <v>6</v>
      </c>
      <c r="E127" s="1">
        <v>40181</v>
      </c>
      <c r="F127" s="1">
        <v>40181</v>
      </c>
      <c r="G127" s="8">
        <v>41938.9375</v>
      </c>
      <c r="H127" s="1" t="s">
        <v>37</v>
      </c>
      <c r="I127" s="1">
        <v>2</v>
      </c>
      <c r="J127" s="1">
        <v>3</v>
      </c>
      <c r="K127" s="1">
        <v>0</v>
      </c>
      <c r="L127" s="1" t="s">
        <v>31</v>
      </c>
      <c r="M127" s="1">
        <v>0</v>
      </c>
      <c r="N127" s="1">
        <v>1</v>
      </c>
      <c r="O127" s="1">
        <v>0</v>
      </c>
      <c r="P127" s="11" t="str">
        <f t="shared" si="1"/>
        <v>胜</v>
      </c>
      <c r="Q127" s="11" t="str">
        <f t="shared" si="1"/>
        <v>胜</v>
      </c>
    </row>
    <row r="128" spans="4:17" customFormat="1" hidden="1" x14ac:dyDescent="0.15">
      <c r="D128" t="s">
        <v>6</v>
      </c>
      <c r="E128" s="1">
        <v>40182</v>
      </c>
      <c r="F128" s="1">
        <v>40182</v>
      </c>
      <c r="G128" s="8">
        <v>41938.938888888886</v>
      </c>
      <c r="H128" s="1" t="s">
        <v>41</v>
      </c>
      <c r="I128" s="1">
        <v>0</v>
      </c>
      <c r="J128" s="1">
        <v>1</v>
      </c>
      <c r="K128" s="1">
        <v>0</v>
      </c>
      <c r="L128" s="1" t="s">
        <v>42</v>
      </c>
      <c r="M128" s="1">
        <v>0</v>
      </c>
      <c r="N128" s="1">
        <v>1</v>
      </c>
      <c r="O128" s="1">
        <v>0</v>
      </c>
      <c r="P128" s="11" t="str">
        <f t="shared" si="1"/>
        <v>平</v>
      </c>
      <c r="Q128" s="11" t="str">
        <f t="shared" si="1"/>
        <v>平</v>
      </c>
    </row>
    <row r="129" spans="4:17" hidden="1" x14ac:dyDescent="0.15">
      <c r="D129" s="2" t="s">
        <v>6</v>
      </c>
      <c r="E129" s="6">
        <v>40184</v>
      </c>
      <c r="F129" s="6">
        <v>40184</v>
      </c>
      <c r="G129" s="24">
        <v>41939.125</v>
      </c>
      <c r="H129" s="6" t="s">
        <v>32</v>
      </c>
      <c r="I129" s="6">
        <v>2</v>
      </c>
      <c r="J129" s="6">
        <v>2</v>
      </c>
      <c r="K129" s="6">
        <v>0</v>
      </c>
      <c r="L129" s="6" t="s">
        <v>46</v>
      </c>
      <c r="M129" s="6">
        <v>0</v>
      </c>
      <c r="N129" s="6">
        <v>1</v>
      </c>
      <c r="O129" s="6">
        <v>0</v>
      </c>
      <c r="P129" s="11" t="str">
        <f t="shared" si="1"/>
        <v>胜</v>
      </c>
      <c r="Q129" s="11" t="str">
        <f t="shared" si="1"/>
        <v>胜</v>
      </c>
    </row>
    <row r="130" spans="4:17" customFormat="1" hidden="1" x14ac:dyDescent="0.15">
      <c r="D130" t="s">
        <v>6</v>
      </c>
      <c r="E130" s="1">
        <v>40185</v>
      </c>
      <c r="F130" s="1">
        <v>40185</v>
      </c>
      <c r="G130" s="8">
        <v>41939.042361111111</v>
      </c>
      <c r="H130" s="1" t="s">
        <v>35</v>
      </c>
      <c r="I130" s="1">
        <v>0</v>
      </c>
      <c r="J130" s="1">
        <v>0</v>
      </c>
      <c r="K130" s="1">
        <v>0</v>
      </c>
      <c r="L130" s="1" t="s">
        <v>38</v>
      </c>
      <c r="M130" s="1">
        <v>1</v>
      </c>
      <c r="N130" s="1">
        <v>1</v>
      </c>
      <c r="O130" s="1">
        <v>0</v>
      </c>
      <c r="P130" s="11" t="str">
        <f t="shared" si="1"/>
        <v>负</v>
      </c>
      <c r="Q130" s="11" t="str">
        <f t="shared" si="1"/>
        <v>负</v>
      </c>
    </row>
    <row r="131" spans="4:17" customFormat="1" hidden="1" x14ac:dyDescent="0.15">
      <c r="D131" t="s">
        <v>6</v>
      </c>
      <c r="E131" s="1">
        <v>40186</v>
      </c>
      <c r="F131" s="1">
        <v>40186</v>
      </c>
      <c r="G131" s="8">
        <v>41939.042361111111</v>
      </c>
      <c r="H131" s="1" t="s">
        <v>45</v>
      </c>
      <c r="I131" s="1">
        <v>0</v>
      </c>
      <c r="J131" s="1">
        <v>1</v>
      </c>
      <c r="K131" s="1">
        <v>0</v>
      </c>
      <c r="L131" s="1" t="s">
        <v>43</v>
      </c>
      <c r="M131" s="1">
        <v>2</v>
      </c>
      <c r="N131" s="1">
        <v>2</v>
      </c>
      <c r="O131" s="1">
        <v>0</v>
      </c>
      <c r="P131" s="11" t="str">
        <f t="shared" si="1"/>
        <v>负</v>
      </c>
      <c r="Q131" s="11" t="str">
        <f t="shared" si="1"/>
        <v>负</v>
      </c>
    </row>
    <row r="132" spans="4:17" customFormat="1" hidden="1" x14ac:dyDescent="0.15">
      <c r="D132" t="s">
        <v>6</v>
      </c>
      <c r="E132" s="1">
        <v>40187</v>
      </c>
      <c r="F132" s="1">
        <v>40187</v>
      </c>
      <c r="G132" s="8">
        <v>41939.041666666664</v>
      </c>
      <c r="H132" s="1" t="s">
        <v>44</v>
      </c>
      <c r="I132" s="1">
        <v>2</v>
      </c>
      <c r="J132" s="1">
        <v>4</v>
      </c>
      <c r="K132" s="1">
        <v>0</v>
      </c>
      <c r="L132" s="1" t="s">
        <v>36</v>
      </c>
      <c r="M132" s="1">
        <v>0</v>
      </c>
      <c r="N132" s="1">
        <v>1</v>
      </c>
      <c r="O132" s="1">
        <v>0</v>
      </c>
      <c r="P132" s="11" t="str">
        <f t="shared" si="1"/>
        <v>胜</v>
      </c>
      <c r="Q132" s="11" t="str">
        <f t="shared" si="1"/>
        <v>胜</v>
      </c>
    </row>
    <row r="133" spans="4:17" customFormat="1" hidden="1" x14ac:dyDescent="0.15">
      <c r="D133" t="s">
        <v>6</v>
      </c>
      <c r="E133" s="1">
        <v>40698</v>
      </c>
      <c r="F133" s="1">
        <v>40698</v>
      </c>
      <c r="G133" s="8">
        <v>41937.041666666664</v>
      </c>
      <c r="H133" s="1" t="s">
        <v>49</v>
      </c>
      <c r="I133" s="1">
        <v>0</v>
      </c>
      <c r="J133" s="1">
        <v>1</v>
      </c>
      <c r="K133" s="1">
        <v>0</v>
      </c>
      <c r="L133" s="1" t="s">
        <v>34</v>
      </c>
      <c r="M133" s="1">
        <v>2</v>
      </c>
      <c r="N133" s="1">
        <v>2</v>
      </c>
      <c r="O133" s="1">
        <v>0</v>
      </c>
      <c r="P133" s="11" t="str">
        <f t="shared" si="1"/>
        <v>负</v>
      </c>
      <c r="Q133" s="11" t="str">
        <f t="shared" si="1"/>
        <v>负</v>
      </c>
    </row>
    <row r="134" spans="4:17" customFormat="1" hidden="1" x14ac:dyDescent="0.15">
      <c r="D134" t="s">
        <v>6</v>
      </c>
      <c r="E134" s="1">
        <v>41963</v>
      </c>
      <c r="F134" s="1">
        <v>41963</v>
      </c>
      <c r="G134" s="8">
        <v>41946.040972222225</v>
      </c>
      <c r="H134" s="1" t="s">
        <v>45</v>
      </c>
      <c r="I134" s="1">
        <v>0</v>
      </c>
      <c r="J134" s="1">
        <v>1</v>
      </c>
      <c r="K134" s="1">
        <v>0</v>
      </c>
      <c r="L134" s="1" t="s">
        <v>41</v>
      </c>
      <c r="M134" s="1">
        <v>0</v>
      </c>
      <c r="N134" s="1">
        <v>0</v>
      </c>
      <c r="O134" s="1">
        <v>0</v>
      </c>
      <c r="P134" s="11" t="str">
        <f t="shared" si="1"/>
        <v>平</v>
      </c>
      <c r="Q134" s="11" t="str">
        <f t="shared" si="1"/>
        <v>胜</v>
      </c>
    </row>
    <row r="135" spans="4:17" customFormat="1" hidden="1" x14ac:dyDescent="0.15">
      <c r="D135" t="s">
        <v>6</v>
      </c>
      <c r="E135" s="1">
        <v>41964</v>
      </c>
      <c r="F135" s="1">
        <v>41964</v>
      </c>
      <c r="G135" s="8">
        <v>41946.041666666664</v>
      </c>
      <c r="H135" s="1" t="s">
        <v>40</v>
      </c>
      <c r="I135" s="1">
        <v>0</v>
      </c>
      <c r="J135" s="1">
        <v>2</v>
      </c>
      <c r="K135" s="1">
        <v>0</v>
      </c>
      <c r="L135" s="1" t="s">
        <v>38</v>
      </c>
      <c r="M135" s="1">
        <v>0</v>
      </c>
      <c r="N135" s="1">
        <v>0</v>
      </c>
      <c r="O135" s="1">
        <v>0</v>
      </c>
      <c r="P135" s="11" t="str">
        <f t="shared" si="1"/>
        <v>平</v>
      </c>
      <c r="Q135" s="11" t="str">
        <f t="shared" si="1"/>
        <v>胜</v>
      </c>
    </row>
    <row r="136" spans="4:17" customFormat="1" hidden="1" x14ac:dyDescent="0.15">
      <c r="D136" t="s">
        <v>6</v>
      </c>
      <c r="E136" s="1">
        <v>41965</v>
      </c>
      <c r="F136" s="1">
        <v>41965</v>
      </c>
      <c r="G136" s="8">
        <v>41946.042361111111</v>
      </c>
      <c r="H136" s="1" t="s">
        <v>42</v>
      </c>
      <c r="I136" s="1">
        <v>0</v>
      </c>
      <c r="J136" s="1">
        <v>0</v>
      </c>
      <c r="K136" s="1">
        <v>0</v>
      </c>
      <c r="L136" s="1" t="s">
        <v>48</v>
      </c>
      <c r="M136" s="1">
        <v>0</v>
      </c>
      <c r="N136" s="1">
        <v>1</v>
      </c>
      <c r="O136" s="1">
        <v>0</v>
      </c>
      <c r="P136" s="11" t="str">
        <f t="shared" si="1"/>
        <v>平</v>
      </c>
      <c r="Q136" s="11" t="str">
        <f t="shared" si="1"/>
        <v>负</v>
      </c>
    </row>
    <row r="137" spans="4:17" customFormat="1" hidden="1" x14ac:dyDescent="0.15">
      <c r="D137" t="s">
        <v>6</v>
      </c>
      <c r="E137" s="1">
        <v>41966</v>
      </c>
      <c r="F137" s="1">
        <v>41966</v>
      </c>
      <c r="G137" s="8">
        <v>41946.042361111111</v>
      </c>
      <c r="H137" s="1" t="s">
        <v>46</v>
      </c>
      <c r="I137" s="1">
        <v>1</v>
      </c>
      <c r="J137" s="1">
        <v>2</v>
      </c>
      <c r="K137" s="1">
        <v>0</v>
      </c>
      <c r="L137" s="1" t="s">
        <v>35</v>
      </c>
      <c r="M137" s="1">
        <v>0</v>
      </c>
      <c r="N137" s="1">
        <v>1</v>
      </c>
      <c r="O137" s="1">
        <v>0</v>
      </c>
      <c r="P137" s="11" t="str">
        <f t="shared" si="1"/>
        <v>胜</v>
      </c>
      <c r="Q137" s="11" t="str">
        <f t="shared" si="1"/>
        <v>胜</v>
      </c>
    </row>
    <row r="138" spans="4:17" customFormat="1" hidden="1" x14ac:dyDescent="0.15">
      <c r="D138" t="s">
        <v>6</v>
      </c>
      <c r="E138" s="1">
        <v>41967</v>
      </c>
      <c r="F138" s="1">
        <v>41967</v>
      </c>
      <c r="G138" s="8">
        <v>41946.041666666664</v>
      </c>
      <c r="H138" s="1" t="s">
        <v>34</v>
      </c>
      <c r="I138" s="1">
        <v>0</v>
      </c>
      <c r="J138" s="1">
        <v>0</v>
      </c>
      <c r="K138" s="1">
        <v>0</v>
      </c>
      <c r="L138" s="1" t="s">
        <v>37</v>
      </c>
      <c r="M138" s="1">
        <v>0</v>
      </c>
      <c r="N138" s="1">
        <v>1</v>
      </c>
      <c r="O138" s="1">
        <v>0</v>
      </c>
      <c r="P138" s="11" t="str">
        <f t="shared" si="1"/>
        <v>平</v>
      </c>
      <c r="Q138" s="11" t="str">
        <f t="shared" si="1"/>
        <v>负</v>
      </c>
    </row>
    <row r="139" spans="4:17" customFormat="1" hidden="1" x14ac:dyDescent="0.15">
      <c r="D139" t="s">
        <v>6</v>
      </c>
      <c r="E139" s="1">
        <v>41968</v>
      </c>
      <c r="F139" s="1">
        <v>41968</v>
      </c>
      <c r="G139" s="8">
        <v>41946.041666666664</v>
      </c>
      <c r="H139" s="1" t="s">
        <v>44</v>
      </c>
      <c r="I139" s="1">
        <v>2</v>
      </c>
      <c r="J139" s="1">
        <v>4</v>
      </c>
      <c r="K139" s="1">
        <v>0</v>
      </c>
      <c r="L139" s="1" t="s">
        <v>32</v>
      </c>
      <c r="M139" s="1">
        <v>0</v>
      </c>
      <c r="N139" s="1">
        <v>0</v>
      </c>
      <c r="O139" s="1">
        <v>0</v>
      </c>
      <c r="P139" s="11" t="str">
        <f t="shared" si="1"/>
        <v>胜</v>
      </c>
      <c r="Q139" s="11" t="str">
        <f t="shared" si="1"/>
        <v>胜</v>
      </c>
    </row>
    <row r="140" spans="4:17" customFormat="1" x14ac:dyDescent="0.15">
      <c r="D140" t="s">
        <v>6</v>
      </c>
      <c r="E140" s="1">
        <v>41969</v>
      </c>
      <c r="F140" s="1">
        <v>41969</v>
      </c>
      <c r="G140" s="8">
        <v>41946.041666666664</v>
      </c>
      <c r="H140" s="1" t="s">
        <v>36</v>
      </c>
      <c r="I140" s="1">
        <v>1</v>
      </c>
      <c r="J140" s="1">
        <v>1</v>
      </c>
      <c r="K140" s="1">
        <v>0</v>
      </c>
      <c r="L140" s="1" t="s">
        <v>31</v>
      </c>
      <c r="M140" s="1">
        <v>2</v>
      </c>
      <c r="N140" s="1">
        <v>3</v>
      </c>
      <c r="O140" s="1">
        <v>0</v>
      </c>
      <c r="P140" s="11" t="str">
        <f t="shared" si="1"/>
        <v>负</v>
      </c>
      <c r="Q140" s="11" t="str">
        <f t="shared" si="1"/>
        <v>负</v>
      </c>
    </row>
    <row r="141" spans="4:17" customFormat="1" hidden="1" x14ac:dyDescent="0.15">
      <c r="D141" t="s">
        <v>6</v>
      </c>
      <c r="E141" s="1">
        <v>41970</v>
      </c>
      <c r="F141" s="1">
        <v>41970</v>
      </c>
      <c r="G141" s="8">
        <v>41946.041666666664</v>
      </c>
      <c r="H141" s="1" t="s">
        <v>43</v>
      </c>
      <c r="I141" s="1">
        <v>2</v>
      </c>
      <c r="J141" s="1">
        <v>4</v>
      </c>
      <c r="K141" s="1">
        <v>0</v>
      </c>
      <c r="L141" s="1" t="s">
        <v>49</v>
      </c>
      <c r="M141" s="1">
        <v>1</v>
      </c>
      <c r="N141" s="1">
        <v>1</v>
      </c>
      <c r="O141" s="1">
        <v>0</v>
      </c>
      <c r="P141" s="11" t="str">
        <f t="shared" ref="P141:Q204" si="2">IF(I141=M141,"平",IF(I141&gt;M141,"胜","负"))</f>
        <v>胜</v>
      </c>
      <c r="Q141" s="11" t="str">
        <f t="shared" si="2"/>
        <v>胜</v>
      </c>
    </row>
    <row r="142" spans="4:17" customFormat="1" hidden="1" x14ac:dyDescent="0.15">
      <c r="D142" t="s">
        <v>6</v>
      </c>
      <c r="E142" s="1">
        <v>43631</v>
      </c>
      <c r="F142" s="1">
        <v>43631</v>
      </c>
      <c r="G142" s="8">
        <v>41953.041666666664</v>
      </c>
      <c r="H142" s="1" t="s">
        <v>49</v>
      </c>
      <c r="I142" s="1">
        <v>1</v>
      </c>
      <c r="J142" s="1">
        <v>1</v>
      </c>
      <c r="K142" s="1">
        <v>0</v>
      </c>
      <c r="L142" s="1" t="s">
        <v>36</v>
      </c>
      <c r="M142" s="1">
        <v>0</v>
      </c>
      <c r="N142" s="1">
        <v>0</v>
      </c>
      <c r="O142" s="1">
        <v>0</v>
      </c>
      <c r="P142" s="11" t="str">
        <f t="shared" si="2"/>
        <v>胜</v>
      </c>
      <c r="Q142" s="11" t="str">
        <f t="shared" si="2"/>
        <v>胜</v>
      </c>
    </row>
    <row r="143" spans="4:17" customFormat="1" hidden="1" x14ac:dyDescent="0.15">
      <c r="D143" t="s">
        <v>6</v>
      </c>
      <c r="E143" s="1">
        <v>43632</v>
      </c>
      <c r="F143" s="1">
        <v>43632</v>
      </c>
      <c r="G143" s="8">
        <v>41953.042361111111</v>
      </c>
      <c r="H143" s="1" t="s">
        <v>31</v>
      </c>
      <c r="I143" s="1">
        <v>1</v>
      </c>
      <c r="J143" s="1">
        <v>1</v>
      </c>
      <c r="K143" s="1">
        <v>0</v>
      </c>
      <c r="L143" s="1" t="s">
        <v>43</v>
      </c>
      <c r="M143" s="1">
        <v>0</v>
      </c>
      <c r="N143" s="1">
        <v>2</v>
      </c>
      <c r="O143" s="1">
        <v>0</v>
      </c>
      <c r="P143" s="11" t="str">
        <f t="shared" si="2"/>
        <v>胜</v>
      </c>
      <c r="Q143" s="11" t="str">
        <f t="shared" si="2"/>
        <v>负</v>
      </c>
    </row>
    <row r="144" spans="4:17" hidden="1" x14ac:dyDescent="0.15">
      <c r="D144" s="2" t="s">
        <v>6</v>
      </c>
      <c r="E144" s="6">
        <v>43634</v>
      </c>
      <c r="F144" s="6">
        <v>43634</v>
      </c>
      <c r="G144" s="24">
        <v>41953.041666666664</v>
      </c>
      <c r="H144" s="6" t="s">
        <v>32</v>
      </c>
      <c r="I144" s="6">
        <v>0</v>
      </c>
      <c r="J144" s="6">
        <v>3</v>
      </c>
      <c r="K144" s="6">
        <v>0</v>
      </c>
      <c r="L144" s="6" t="s">
        <v>45</v>
      </c>
      <c r="M144" s="6">
        <v>1</v>
      </c>
      <c r="N144" s="6">
        <v>2</v>
      </c>
      <c r="O144" s="6">
        <v>0</v>
      </c>
      <c r="P144" s="11" t="str">
        <f t="shared" si="2"/>
        <v>负</v>
      </c>
      <c r="Q144" s="11" t="str">
        <f t="shared" si="2"/>
        <v>胜</v>
      </c>
    </row>
    <row r="145" spans="4:17" customFormat="1" hidden="1" x14ac:dyDescent="0.15">
      <c r="D145" t="s">
        <v>6</v>
      </c>
      <c r="E145" s="1">
        <v>43636</v>
      </c>
      <c r="F145" s="1">
        <v>43636</v>
      </c>
      <c r="G145" s="8">
        <v>41953.042361111111</v>
      </c>
      <c r="H145" s="1" t="s">
        <v>35</v>
      </c>
      <c r="I145" s="1">
        <v>0</v>
      </c>
      <c r="J145" s="1">
        <v>0</v>
      </c>
      <c r="K145" s="1">
        <v>0</v>
      </c>
      <c r="L145" s="1" t="s">
        <v>42</v>
      </c>
      <c r="M145" s="1">
        <v>0</v>
      </c>
      <c r="N145" s="1">
        <v>2</v>
      </c>
      <c r="O145" s="1">
        <v>0</v>
      </c>
      <c r="P145" s="11" t="str">
        <f t="shared" si="2"/>
        <v>平</v>
      </c>
      <c r="Q145" s="11" t="str">
        <f t="shared" si="2"/>
        <v>负</v>
      </c>
    </row>
    <row r="146" spans="4:17" customFormat="1" hidden="1" x14ac:dyDescent="0.15">
      <c r="D146" t="s">
        <v>6</v>
      </c>
      <c r="E146" s="1">
        <v>43637</v>
      </c>
      <c r="F146" s="1">
        <v>43637</v>
      </c>
      <c r="G146" s="8">
        <v>41953.042361111111</v>
      </c>
      <c r="H146" s="1" t="s">
        <v>41</v>
      </c>
      <c r="I146" s="1">
        <v>1</v>
      </c>
      <c r="J146" s="1">
        <v>3</v>
      </c>
      <c r="K146" s="1">
        <v>0</v>
      </c>
      <c r="L146" s="1" t="s">
        <v>44</v>
      </c>
      <c r="M146" s="1">
        <v>1</v>
      </c>
      <c r="N146" s="1">
        <v>2</v>
      </c>
      <c r="O146" s="1">
        <v>0</v>
      </c>
      <c r="P146" s="11" t="str">
        <f t="shared" si="2"/>
        <v>平</v>
      </c>
      <c r="Q146" s="11" t="str">
        <f t="shared" si="2"/>
        <v>胜</v>
      </c>
    </row>
    <row r="147" spans="4:17" customFormat="1" hidden="1" x14ac:dyDescent="0.15">
      <c r="D147" t="s">
        <v>6</v>
      </c>
      <c r="E147" s="1">
        <v>43638</v>
      </c>
      <c r="F147" s="1">
        <v>43638</v>
      </c>
      <c r="G147" s="8">
        <v>41953.040972222225</v>
      </c>
      <c r="H147" s="1" t="s">
        <v>48</v>
      </c>
      <c r="I147" s="1">
        <v>1</v>
      </c>
      <c r="J147" s="1">
        <v>2</v>
      </c>
      <c r="K147" s="1">
        <v>0</v>
      </c>
      <c r="L147" s="1" t="s">
        <v>46</v>
      </c>
      <c r="M147" s="1">
        <v>2</v>
      </c>
      <c r="N147" s="1">
        <v>3</v>
      </c>
      <c r="O147" s="1">
        <v>0</v>
      </c>
      <c r="P147" s="11" t="str">
        <f t="shared" si="2"/>
        <v>负</v>
      </c>
      <c r="Q147" s="11" t="str">
        <f t="shared" si="2"/>
        <v>负</v>
      </c>
    </row>
    <row r="148" spans="4:17" customFormat="1" hidden="1" x14ac:dyDescent="0.15">
      <c r="D148" t="s">
        <v>6</v>
      </c>
      <c r="E148" s="1">
        <v>43639</v>
      </c>
      <c r="F148" s="1">
        <v>43639</v>
      </c>
      <c r="G148" s="8">
        <v>41953.041666666664</v>
      </c>
      <c r="H148" s="1" t="s">
        <v>37</v>
      </c>
      <c r="I148" s="1">
        <v>1</v>
      </c>
      <c r="J148" s="1">
        <v>4</v>
      </c>
      <c r="K148" s="1">
        <v>0</v>
      </c>
      <c r="L148" s="1" t="s">
        <v>40</v>
      </c>
      <c r="M148" s="1">
        <v>1</v>
      </c>
      <c r="N148" s="1">
        <v>1</v>
      </c>
      <c r="O148" s="1">
        <v>0</v>
      </c>
      <c r="P148" s="11" t="str">
        <f t="shared" si="2"/>
        <v>平</v>
      </c>
      <c r="Q148" s="11" t="str">
        <f t="shared" si="2"/>
        <v>胜</v>
      </c>
    </row>
    <row r="149" spans="4:17" customFormat="1" hidden="1" x14ac:dyDescent="0.15">
      <c r="D149" t="s">
        <v>6</v>
      </c>
      <c r="E149" s="1">
        <v>43773</v>
      </c>
      <c r="F149" s="1">
        <v>43773</v>
      </c>
      <c r="G149" s="8">
        <v>41953.042361111111</v>
      </c>
      <c r="H149" s="1" t="s">
        <v>38</v>
      </c>
      <c r="I149" s="1">
        <v>0</v>
      </c>
      <c r="J149" s="1">
        <v>2</v>
      </c>
      <c r="K149" s="1">
        <v>0</v>
      </c>
      <c r="L149" s="1" t="s">
        <v>34</v>
      </c>
      <c r="M149" s="1">
        <v>0</v>
      </c>
      <c r="N149" s="1">
        <v>0</v>
      </c>
      <c r="O149" s="1">
        <v>0</v>
      </c>
      <c r="P149" s="11" t="str">
        <f t="shared" si="2"/>
        <v>平</v>
      </c>
      <c r="Q149" s="11" t="str">
        <f t="shared" si="2"/>
        <v>胜</v>
      </c>
    </row>
    <row r="150" spans="4:17" customFormat="1" hidden="1" x14ac:dyDescent="0.15">
      <c r="D150" t="s">
        <v>6</v>
      </c>
      <c r="E150" s="1">
        <v>73538</v>
      </c>
      <c r="F150" s="1">
        <v>73538</v>
      </c>
      <c r="G150" s="8">
        <v>42100.895833333336</v>
      </c>
      <c r="H150" s="1" t="s">
        <v>51</v>
      </c>
      <c r="I150" s="1">
        <v>0</v>
      </c>
      <c r="J150" s="1">
        <v>1</v>
      </c>
      <c r="K150" s="1">
        <v>0</v>
      </c>
      <c r="L150" s="1" t="s">
        <v>45</v>
      </c>
      <c r="M150" s="1">
        <v>0</v>
      </c>
      <c r="N150" s="1">
        <v>0</v>
      </c>
      <c r="O150" s="1">
        <v>0</v>
      </c>
      <c r="P150" s="11" t="str">
        <f t="shared" si="2"/>
        <v>平</v>
      </c>
      <c r="Q150" s="11" t="str">
        <f t="shared" si="2"/>
        <v>胜</v>
      </c>
    </row>
    <row r="151" spans="4:17" customFormat="1" hidden="1" x14ac:dyDescent="0.15">
      <c r="D151" t="s">
        <v>6</v>
      </c>
      <c r="E151" s="1">
        <v>73741</v>
      </c>
      <c r="F151" s="1">
        <v>73741</v>
      </c>
      <c r="G151" s="8">
        <v>42101.000694444447</v>
      </c>
      <c r="H151" s="1" t="s">
        <v>42</v>
      </c>
      <c r="I151" s="1">
        <v>1</v>
      </c>
      <c r="J151" s="1">
        <v>1</v>
      </c>
      <c r="K151" s="1">
        <v>0</v>
      </c>
      <c r="L151" s="1" t="s">
        <v>48</v>
      </c>
      <c r="M151" s="1">
        <v>0</v>
      </c>
      <c r="N151" s="1">
        <v>1</v>
      </c>
      <c r="O151" s="1">
        <v>0</v>
      </c>
      <c r="P151" s="11" t="str">
        <f t="shared" si="2"/>
        <v>胜</v>
      </c>
      <c r="Q151" s="11" t="str">
        <f t="shared" si="2"/>
        <v>平</v>
      </c>
    </row>
    <row r="152" spans="4:17" customFormat="1" hidden="1" x14ac:dyDescent="0.15">
      <c r="D152" t="s">
        <v>6</v>
      </c>
      <c r="E152" s="1">
        <v>73742</v>
      </c>
      <c r="F152" s="1">
        <v>73742</v>
      </c>
      <c r="G152" s="8">
        <v>42101</v>
      </c>
      <c r="H152" s="1" t="s">
        <v>52</v>
      </c>
      <c r="I152" s="1">
        <v>1</v>
      </c>
      <c r="J152" s="1">
        <v>3</v>
      </c>
      <c r="K152" s="1">
        <v>0</v>
      </c>
      <c r="L152" s="1" t="s">
        <v>32</v>
      </c>
      <c r="M152" s="1">
        <v>1</v>
      </c>
      <c r="N152" s="1">
        <v>1</v>
      </c>
      <c r="O152" s="1">
        <v>0</v>
      </c>
      <c r="P152" s="11" t="str">
        <f t="shared" si="2"/>
        <v>平</v>
      </c>
      <c r="Q152" s="11" t="str">
        <f t="shared" si="2"/>
        <v>胜</v>
      </c>
    </row>
    <row r="153" spans="4:17" customFormat="1" hidden="1" x14ac:dyDescent="0.15">
      <c r="D153" t="s">
        <v>6</v>
      </c>
      <c r="E153" s="1">
        <v>73743</v>
      </c>
      <c r="F153" s="1">
        <v>73743</v>
      </c>
      <c r="G153" s="8">
        <v>42101</v>
      </c>
      <c r="H153" s="1" t="s">
        <v>53</v>
      </c>
      <c r="I153" s="1">
        <v>0</v>
      </c>
      <c r="J153" s="1">
        <v>0</v>
      </c>
      <c r="K153" s="1">
        <v>0</v>
      </c>
      <c r="L153" s="1" t="s">
        <v>41</v>
      </c>
      <c r="M153" s="1">
        <v>0</v>
      </c>
      <c r="N153" s="1">
        <v>1</v>
      </c>
      <c r="O153" s="1">
        <v>0</v>
      </c>
      <c r="P153" s="11" t="str">
        <f t="shared" si="2"/>
        <v>平</v>
      </c>
      <c r="Q153" s="11" t="str">
        <f t="shared" si="2"/>
        <v>负</v>
      </c>
    </row>
    <row r="154" spans="4:17" customFormat="1" hidden="1" x14ac:dyDescent="0.15">
      <c r="D154" t="s">
        <v>6</v>
      </c>
      <c r="E154" s="1">
        <v>73744</v>
      </c>
      <c r="F154" s="1">
        <v>73744</v>
      </c>
      <c r="G154" s="8">
        <v>42101.000694444447</v>
      </c>
      <c r="H154" s="1" t="s">
        <v>37</v>
      </c>
      <c r="I154" s="1">
        <v>3</v>
      </c>
      <c r="J154" s="1">
        <v>5</v>
      </c>
      <c r="K154" s="1">
        <v>0</v>
      </c>
      <c r="L154" s="1" t="s">
        <v>43</v>
      </c>
      <c r="M154" s="1">
        <v>0</v>
      </c>
      <c r="N154" s="1">
        <v>0</v>
      </c>
      <c r="O154" s="1">
        <v>0</v>
      </c>
      <c r="P154" s="11" t="str">
        <f t="shared" si="2"/>
        <v>胜</v>
      </c>
      <c r="Q154" s="11" t="str">
        <f t="shared" si="2"/>
        <v>胜</v>
      </c>
    </row>
    <row r="155" spans="4:17" customFormat="1" hidden="1" x14ac:dyDescent="0.15">
      <c r="D155" t="s">
        <v>6</v>
      </c>
      <c r="E155" s="1">
        <v>73747</v>
      </c>
      <c r="F155" s="1">
        <v>73747</v>
      </c>
      <c r="G155" s="8">
        <v>42101.041666666664</v>
      </c>
      <c r="H155" s="1" t="s">
        <v>49</v>
      </c>
      <c r="I155" s="1">
        <v>2</v>
      </c>
      <c r="J155" s="1">
        <v>3</v>
      </c>
      <c r="K155" s="1">
        <v>0</v>
      </c>
      <c r="L155" s="1" t="s">
        <v>40</v>
      </c>
      <c r="M155" s="1">
        <v>1</v>
      </c>
      <c r="N155" s="1">
        <v>1</v>
      </c>
      <c r="O155" s="1">
        <v>0</v>
      </c>
      <c r="P155" s="11" t="str">
        <f t="shared" si="2"/>
        <v>胜</v>
      </c>
      <c r="Q155" s="11" t="str">
        <f t="shared" si="2"/>
        <v>胜</v>
      </c>
    </row>
    <row r="156" spans="4:17" customFormat="1" hidden="1" x14ac:dyDescent="0.15">
      <c r="D156" t="s">
        <v>6</v>
      </c>
      <c r="E156" s="1">
        <v>74202</v>
      </c>
      <c r="F156" s="1">
        <v>74202</v>
      </c>
      <c r="G156" s="8">
        <v>42102.041666666664</v>
      </c>
      <c r="H156" s="1" t="s">
        <v>38</v>
      </c>
      <c r="I156" s="1">
        <v>0</v>
      </c>
      <c r="J156" s="1">
        <v>1</v>
      </c>
      <c r="K156" s="1">
        <v>0</v>
      </c>
      <c r="L156" s="1" t="s">
        <v>54</v>
      </c>
      <c r="M156" s="1">
        <v>0</v>
      </c>
      <c r="N156" s="1">
        <v>2</v>
      </c>
      <c r="O156" s="1">
        <v>0</v>
      </c>
      <c r="P156" s="11" t="str">
        <f t="shared" si="2"/>
        <v>平</v>
      </c>
      <c r="Q156" s="11" t="str">
        <f t="shared" si="2"/>
        <v>负</v>
      </c>
    </row>
    <row r="157" spans="4:17" customFormat="1" hidden="1" x14ac:dyDescent="0.15">
      <c r="D157" t="s">
        <v>6</v>
      </c>
      <c r="E157" s="1">
        <v>74474</v>
      </c>
      <c r="F157" s="1">
        <v>74474</v>
      </c>
      <c r="G157" s="8">
        <v>42102.041666666664</v>
      </c>
      <c r="H157" s="1" t="s">
        <v>44</v>
      </c>
      <c r="I157" s="1">
        <v>0</v>
      </c>
      <c r="J157" s="1">
        <v>1</v>
      </c>
      <c r="K157" s="1">
        <v>0</v>
      </c>
      <c r="L157" s="1" t="s">
        <v>36</v>
      </c>
      <c r="M157" s="1">
        <v>1</v>
      </c>
      <c r="N157" s="1">
        <v>1</v>
      </c>
      <c r="O157" s="1">
        <v>0</v>
      </c>
      <c r="P157" s="11" t="str">
        <f t="shared" si="2"/>
        <v>负</v>
      </c>
      <c r="Q157" s="11" t="str">
        <f t="shared" si="2"/>
        <v>平</v>
      </c>
    </row>
    <row r="158" spans="4:17" customFormat="1" hidden="1" x14ac:dyDescent="0.15">
      <c r="D158" t="s">
        <v>6</v>
      </c>
      <c r="E158" s="1">
        <v>75227</v>
      </c>
      <c r="F158" s="1">
        <v>75227</v>
      </c>
      <c r="G158" s="8">
        <v>42105.041666666664</v>
      </c>
      <c r="H158" s="1" t="s">
        <v>41</v>
      </c>
      <c r="I158" s="1">
        <v>0</v>
      </c>
      <c r="J158" s="1">
        <v>1</v>
      </c>
      <c r="K158" s="1">
        <v>0</v>
      </c>
      <c r="L158" s="1" t="s">
        <v>49</v>
      </c>
      <c r="M158" s="1">
        <v>0</v>
      </c>
      <c r="N158" s="1">
        <v>1</v>
      </c>
      <c r="O158" s="1">
        <v>0</v>
      </c>
      <c r="P158" s="11" t="str">
        <f t="shared" si="2"/>
        <v>平</v>
      </c>
      <c r="Q158" s="11" t="str">
        <f t="shared" si="2"/>
        <v>平</v>
      </c>
    </row>
    <row r="159" spans="4:17" hidden="1" x14ac:dyDescent="0.15">
      <c r="D159" s="2" t="s">
        <v>6</v>
      </c>
      <c r="E159" s="6">
        <v>75236</v>
      </c>
      <c r="F159" s="6">
        <v>75236</v>
      </c>
      <c r="G159" s="24">
        <v>42105.895833333336</v>
      </c>
      <c r="H159" s="6" t="s">
        <v>32</v>
      </c>
      <c r="I159" s="6">
        <v>0</v>
      </c>
      <c r="J159" s="6">
        <v>1</v>
      </c>
      <c r="K159" s="6">
        <v>0</v>
      </c>
      <c r="L159" s="6" t="s">
        <v>38</v>
      </c>
      <c r="M159" s="6">
        <v>1</v>
      </c>
      <c r="N159" s="6">
        <v>3</v>
      </c>
      <c r="O159" s="6">
        <v>0</v>
      </c>
      <c r="P159" s="11" t="str">
        <f t="shared" si="2"/>
        <v>负</v>
      </c>
      <c r="Q159" s="11" t="str">
        <f t="shared" si="2"/>
        <v>负</v>
      </c>
    </row>
    <row r="160" spans="4:17" customFormat="1" hidden="1" x14ac:dyDescent="0.15">
      <c r="D160" t="s">
        <v>6</v>
      </c>
      <c r="E160" s="1">
        <v>75248</v>
      </c>
      <c r="F160" s="1">
        <v>75248</v>
      </c>
      <c r="G160" s="8">
        <v>42105.999305555553</v>
      </c>
      <c r="H160" s="1" t="s">
        <v>40</v>
      </c>
      <c r="I160" s="1">
        <v>1</v>
      </c>
      <c r="J160" s="1">
        <v>1</v>
      </c>
      <c r="K160" s="1">
        <v>0</v>
      </c>
      <c r="L160" s="1" t="s">
        <v>51</v>
      </c>
      <c r="M160" s="1">
        <v>1</v>
      </c>
      <c r="N160" s="1">
        <v>1</v>
      </c>
      <c r="O160" s="1">
        <v>0</v>
      </c>
      <c r="P160" s="11" t="str">
        <f t="shared" si="2"/>
        <v>平</v>
      </c>
      <c r="Q160" s="11" t="str">
        <f t="shared" si="2"/>
        <v>平</v>
      </c>
    </row>
    <row r="161" spans="4:17" customFormat="1" hidden="1" x14ac:dyDescent="0.15">
      <c r="D161" t="s">
        <v>6</v>
      </c>
      <c r="E161" s="1">
        <v>75253</v>
      </c>
      <c r="F161" s="1">
        <v>75253</v>
      </c>
      <c r="G161" s="8">
        <v>42106.895833333336</v>
      </c>
      <c r="H161" s="1" t="s">
        <v>43</v>
      </c>
      <c r="I161" s="1">
        <v>0</v>
      </c>
      <c r="J161" s="1">
        <v>1</v>
      </c>
      <c r="K161" s="1">
        <v>0</v>
      </c>
      <c r="L161" s="1" t="s">
        <v>44</v>
      </c>
      <c r="M161" s="1">
        <v>0</v>
      </c>
      <c r="N161" s="1">
        <v>1</v>
      </c>
      <c r="O161" s="1">
        <v>0</v>
      </c>
      <c r="P161" s="11" t="str">
        <f t="shared" si="2"/>
        <v>平</v>
      </c>
      <c r="Q161" s="11" t="str">
        <f t="shared" si="2"/>
        <v>平</v>
      </c>
    </row>
    <row r="162" spans="4:17" customFormat="1" hidden="1" x14ac:dyDescent="0.15">
      <c r="D162" t="s">
        <v>6</v>
      </c>
      <c r="E162" s="1">
        <v>75503</v>
      </c>
      <c r="F162" s="1">
        <v>75503</v>
      </c>
      <c r="G162" s="8">
        <v>42107</v>
      </c>
      <c r="H162" s="1" t="s">
        <v>48</v>
      </c>
      <c r="I162" s="1">
        <v>0</v>
      </c>
      <c r="J162" s="1">
        <v>0</v>
      </c>
      <c r="K162" s="1">
        <v>0</v>
      </c>
      <c r="L162" s="1" t="s">
        <v>37</v>
      </c>
      <c r="M162" s="1">
        <v>3</v>
      </c>
      <c r="N162" s="1">
        <v>6</v>
      </c>
      <c r="O162" s="1">
        <v>0</v>
      </c>
      <c r="P162" s="11" t="str">
        <f t="shared" si="2"/>
        <v>负</v>
      </c>
      <c r="Q162" s="11" t="str">
        <f t="shared" si="2"/>
        <v>负</v>
      </c>
    </row>
    <row r="163" spans="4:17" customFormat="1" x14ac:dyDescent="0.15">
      <c r="D163" t="s">
        <v>6</v>
      </c>
      <c r="E163" s="1">
        <v>75504</v>
      </c>
      <c r="F163" s="1">
        <v>75504</v>
      </c>
      <c r="G163" s="8">
        <v>42107</v>
      </c>
      <c r="H163" s="1" t="s">
        <v>36</v>
      </c>
      <c r="I163" s="1">
        <v>0</v>
      </c>
      <c r="J163" s="1">
        <v>2</v>
      </c>
      <c r="K163" s="1">
        <v>0</v>
      </c>
      <c r="L163" s="1" t="s">
        <v>52</v>
      </c>
      <c r="M163" s="1">
        <v>0</v>
      </c>
      <c r="N163" s="1">
        <v>1</v>
      </c>
      <c r="O163" s="1">
        <v>0</v>
      </c>
      <c r="P163" s="11" t="str">
        <f t="shared" si="2"/>
        <v>平</v>
      </c>
      <c r="Q163" s="11" t="str">
        <f t="shared" si="2"/>
        <v>胜</v>
      </c>
    </row>
    <row r="164" spans="4:17" customFormat="1" hidden="1" x14ac:dyDescent="0.15">
      <c r="D164" t="s">
        <v>6</v>
      </c>
      <c r="E164" s="1">
        <v>75510</v>
      </c>
      <c r="F164" s="1">
        <v>75510</v>
      </c>
      <c r="G164" s="8">
        <v>42107.000694444447</v>
      </c>
      <c r="H164" s="1" t="s">
        <v>54</v>
      </c>
      <c r="I164" s="1">
        <v>0</v>
      </c>
      <c r="J164" s="1">
        <v>2</v>
      </c>
      <c r="K164" s="1">
        <v>0</v>
      </c>
      <c r="L164" s="1" t="s">
        <v>42</v>
      </c>
      <c r="M164" s="1">
        <v>0</v>
      </c>
      <c r="N164" s="1">
        <v>0</v>
      </c>
      <c r="O164" s="1">
        <v>0</v>
      </c>
      <c r="P164" s="11" t="str">
        <f t="shared" si="2"/>
        <v>平</v>
      </c>
      <c r="Q164" s="11" t="str">
        <f t="shared" si="2"/>
        <v>胜</v>
      </c>
    </row>
    <row r="165" spans="4:17" customFormat="1" hidden="1" x14ac:dyDescent="0.15">
      <c r="D165" t="s">
        <v>6</v>
      </c>
      <c r="E165" s="1">
        <v>75514</v>
      </c>
      <c r="F165" s="1">
        <v>75514</v>
      </c>
      <c r="G165" s="8">
        <v>42106.999305555553</v>
      </c>
      <c r="H165" s="1" t="s">
        <v>45</v>
      </c>
      <c r="I165" s="1">
        <v>1</v>
      </c>
      <c r="J165" s="1">
        <v>3</v>
      </c>
      <c r="K165" s="1">
        <v>0</v>
      </c>
      <c r="L165" s="1" t="s">
        <v>53</v>
      </c>
      <c r="M165" s="1">
        <v>0</v>
      </c>
      <c r="N165" s="1">
        <v>1</v>
      </c>
      <c r="O165" s="1">
        <v>0</v>
      </c>
      <c r="P165" s="11" t="str">
        <f t="shared" si="2"/>
        <v>胜</v>
      </c>
      <c r="Q165" s="11" t="str">
        <f t="shared" si="2"/>
        <v>胜</v>
      </c>
    </row>
    <row r="166" spans="4:17" customFormat="1" hidden="1" x14ac:dyDescent="0.15">
      <c r="D166" t="s">
        <v>6</v>
      </c>
      <c r="E166" s="1">
        <v>76751</v>
      </c>
      <c r="F166" s="1">
        <v>76751</v>
      </c>
      <c r="G166" s="8">
        <v>42112.040972222225</v>
      </c>
      <c r="H166" s="1" t="s">
        <v>49</v>
      </c>
      <c r="I166" s="1">
        <v>2</v>
      </c>
      <c r="J166" s="1">
        <v>2</v>
      </c>
      <c r="K166" s="1">
        <v>0</v>
      </c>
      <c r="L166" s="1" t="s">
        <v>48</v>
      </c>
      <c r="M166" s="1">
        <v>0</v>
      </c>
      <c r="N166" s="1">
        <v>0</v>
      </c>
      <c r="O166" s="1">
        <v>0</v>
      </c>
      <c r="P166" s="11" t="str">
        <f t="shared" si="2"/>
        <v>胜</v>
      </c>
      <c r="Q166" s="11" t="str">
        <f t="shared" si="2"/>
        <v>胜</v>
      </c>
    </row>
    <row r="167" spans="4:17" customFormat="1" hidden="1" x14ac:dyDescent="0.15">
      <c r="D167" t="s">
        <v>6</v>
      </c>
      <c r="E167" s="1">
        <v>76804</v>
      </c>
      <c r="F167" s="1">
        <v>76804</v>
      </c>
      <c r="G167" s="8">
        <v>42112.895138888889</v>
      </c>
      <c r="H167" s="1" t="s">
        <v>51</v>
      </c>
      <c r="I167" s="1">
        <v>0</v>
      </c>
      <c r="J167" s="1">
        <v>1</v>
      </c>
      <c r="K167" s="1">
        <v>0</v>
      </c>
      <c r="L167" s="1" t="s">
        <v>36</v>
      </c>
      <c r="M167" s="1">
        <v>0</v>
      </c>
      <c r="N167" s="1">
        <v>1</v>
      </c>
      <c r="O167" s="1">
        <v>0</v>
      </c>
      <c r="P167" s="11" t="str">
        <f t="shared" si="2"/>
        <v>平</v>
      </c>
      <c r="Q167" s="11" t="str">
        <f t="shared" si="2"/>
        <v>平</v>
      </c>
    </row>
    <row r="168" spans="4:17" customFormat="1" hidden="1" x14ac:dyDescent="0.15">
      <c r="D168" t="s">
        <v>6</v>
      </c>
      <c r="E168" s="1">
        <v>76981</v>
      </c>
      <c r="F168" s="1">
        <v>76981</v>
      </c>
      <c r="G168" s="8">
        <v>42112.999305555553</v>
      </c>
      <c r="H168" s="1" t="s">
        <v>37</v>
      </c>
      <c r="I168" s="1">
        <v>1</v>
      </c>
      <c r="J168" s="1">
        <v>1</v>
      </c>
      <c r="K168" s="1">
        <v>0</v>
      </c>
      <c r="L168" s="1" t="s">
        <v>40</v>
      </c>
      <c r="M168" s="1">
        <v>0</v>
      </c>
      <c r="N168" s="1">
        <v>1</v>
      </c>
      <c r="O168" s="1">
        <v>0</v>
      </c>
      <c r="P168" s="11" t="str">
        <f t="shared" si="2"/>
        <v>胜</v>
      </c>
      <c r="Q168" s="11" t="str">
        <f t="shared" si="2"/>
        <v>平</v>
      </c>
    </row>
    <row r="169" spans="4:17" hidden="1" x14ac:dyDescent="0.15">
      <c r="D169" s="2" t="s">
        <v>6</v>
      </c>
      <c r="E169" s="6">
        <v>77039</v>
      </c>
      <c r="F169" s="6">
        <v>77039</v>
      </c>
      <c r="G169" s="24">
        <v>42113.895833333336</v>
      </c>
      <c r="H169" s="6" t="s">
        <v>32</v>
      </c>
      <c r="I169" s="6">
        <v>2</v>
      </c>
      <c r="J169" s="6">
        <v>2</v>
      </c>
      <c r="K169" s="6">
        <v>0</v>
      </c>
      <c r="L169" s="6" t="s">
        <v>54</v>
      </c>
      <c r="M169" s="6">
        <v>2</v>
      </c>
      <c r="N169" s="6">
        <v>4</v>
      </c>
      <c r="O169" s="6">
        <v>0</v>
      </c>
      <c r="P169" s="11" t="str">
        <f t="shared" si="2"/>
        <v>平</v>
      </c>
      <c r="Q169" s="11" t="str">
        <f t="shared" si="2"/>
        <v>负</v>
      </c>
    </row>
    <row r="170" spans="4:17" customFormat="1" hidden="1" x14ac:dyDescent="0.15">
      <c r="D170" t="s">
        <v>6</v>
      </c>
      <c r="E170" s="1">
        <v>77442</v>
      </c>
      <c r="F170" s="1">
        <v>77442</v>
      </c>
      <c r="G170" s="8">
        <v>42113.999305555553</v>
      </c>
      <c r="H170" s="1" t="s">
        <v>52</v>
      </c>
      <c r="I170" s="1">
        <v>0</v>
      </c>
      <c r="J170" s="1">
        <v>1</v>
      </c>
      <c r="K170" s="1">
        <v>0</v>
      </c>
      <c r="L170" s="1" t="s">
        <v>41</v>
      </c>
      <c r="M170" s="1">
        <v>0</v>
      </c>
      <c r="N170" s="1">
        <v>0</v>
      </c>
      <c r="O170" s="1">
        <v>0</v>
      </c>
      <c r="P170" s="11" t="str">
        <f t="shared" si="2"/>
        <v>平</v>
      </c>
      <c r="Q170" s="11" t="str">
        <f t="shared" si="2"/>
        <v>胜</v>
      </c>
    </row>
    <row r="171" spans="4:17" customFormat="1" hidden="1" x14ac:dyDescent="0.15">
      <c r="D171" t="s">
        <v>6</v>
      </c>
      <c r="E171" s="1">
        <v>77443</v>
      </c>
      <c r="F171" s="1">
        <v>77443</v>
      </c>
      <c r="G171" s="8">
        <v>42114</v>
      </c>
      <c r="H171" s="1" t="s">
        <v>42</v>
      </c>
      <c r="I171" s="1">
        <v>0</v>
      </c>
      <c r="J171" s="1">
        <v>1</v>
      </c>
      <c r="K171" s="1">
        <v>0</v>
      </c>
      <c r="L171" s="1" t="s">
        <v>45</v>
      </c>
      <c r="M171" s="1">
        <v>0</v>
      </c>
      <c r="N171" s="1">
        <v>0</v>
      </c>
      <c r="O171" s="1">
        <v>0</v>
      </c>
      <c r="P171" s="11" t="str">
        <f t="shared" si="2"/>
        <v>平</v>
      </c>
      <c r="Q171" s="11" t="str">
        <f t="shared" si="2"/>
        <v>胜</v>
      </c>
    </row>
    <row r="172" spans="4:17" customFormat="1" hidden="1" x14ac:dyDescent="0.15">
      <c r="D172" t="s">
        <v>6</v>
      </c>
      <c r="E172" s="1">
        <v>77444</v>
      </c>
      <c r="F172" s="1">
        <v>77444</v>
      </c>
      <c r="G172" s="8">
        <v>42114</v>
      </c>
      <c r="H172" s="1" t="s">
        <v>53</v>
      </c>
      <c r="I172" s="1">
        <v>1</v>
      </c>
      <c r="J172" s="1">
        <v>1</v>
      </c>
      <c r="K172" s="1">
        <v>0</v>
      </c>
      <c r="L172" s="1" t="s">
        <v>44</v>
      </c>
      <c r="M172" s="1">
        <v>1</v>
      </c>
      <c r="N172" s="1">
        <v>1</v>
      </c>
      <c r="O172" s="1">
        <v>0</v>
      </c>
      <c r="P172" s="11" t="str">
        <f t="shared" si="2"/>
        <v>平</v>
      </c>
      <c r="Q172" s="11" t="str">
        <f t="shared" si="2"/>
        <v>平</v>
      </c>
    </row>
    <row r="173" spans="4:17" customFormat="1" hidden="1" x14ac:dyDescent="0.15">
      <c r="D173" t="s">
        <v>6</v>
      </c>
      <c r="E173" s="1">
        <v>77445</v>
      </c>
      <c r="F173" s="1">
        <v>77445</v>
      </c>
      <c r="G173" s="8">
        <v>42114</v>
      </c>
      <c r="H173" s="1" t="s">
        <v>38</v>
      </c>
      <c r="I173" s="1">
        <v>2</v>
      </c>
      <c r="J173" s="1">
        <v>5</v>
      </c>
      <c r="K173" s="1">
        <v>0</v>
      </c>
      <c r="L173" s="1" t="s">
        <v>43</v>
      </c>
      <c r="M173" s="1">
        <v>1</v>
      </c>
      <c r="N173" s="1">
        <v>1</v>
      </c>
      <c r="O173" s="1">
        <v>0</v>
      </c>
      <c r="P173" s="11" t="str">
        <f t="shared" si="2"/>
        <v>胜</v>
      </c>
      <c r="Q173" s="11" t="str">
        <f t="shared" si="2"/>
        <v>胜</v>
      </c>
    </row>
    <row r="174" spans="4:17" customFormat="1" x14ac:dyDescent="0.15">
      <c r="D174" t="s">
        <v>6</v>
      </c>
      <c r="E174" s="1">
        <v>78711</v>
      </c>
      <c r="F174" s="1">
        <v>78711</v>
      </c>
      <c r="G174" s="8">
        <v>42119.041666666664</v>
      </c>
      <c r="H174" s="1" t="s">
        <v>36</v>
      </c>
      <c r="I174" s="1">
        <v>1</v>
      </c>
      <c r="J174" s="1">
        <v>2</v>
      </c>
      <c r="K174" s="1">
        <v>0</v>
      </c>
      <c r="L174" s="1" t="s">
        <v>49</v>
      </c>
      <c r="M174" s="1">
        <v>1</v>
      </c>
      <c r="N174" s="1">
        <v>3</v>
      </c>
      <c r="O174" s="1">
        <v>0</v>
      </c>
      <c r="P174" s="11" t="str">
        <f t="shared" si="2"/>
        <v>平</v>
      </c>
      <c r="Q174" s="11" t="str">
        <f t="shared" si="2"/>
        <v>负</v>
      </c>
    </row>
    <row r="175" spans="4:17" customFormat="1" hidden="1" x14ac:dyDescent="0.15">
      <c r="D175" t="s">
        <v>6</v>
      </c>
      <c r="E175" s="1">
        <v>78747</v>
      </c>
      <c r="F175" s="1">
        <v>78747</v>
      </c>
      <c r="G175" s="8">
        <v>42119.895138888889</v>
      </c>
      <c r="H175" s="1" t="s">
        <v>54</v>
      </c>
      <c r="I175" s="1">
        <v>2</v>
      </c>
      <c r="J175" s="1">
        <v>2</v>
      </c>
      <c r="K175" s="1">
        <v>0</v>
      </c>
      <c r="L175" s="1" t="s">
        <v>51</v>
      </c>
      <c r="M175" s="1">
        <v>0</v>
      </c>
      <c r="N175" s="1">
        <v>2</v>
      </c>
      <c r="O175" s="1">
        <v>0</v>
      </c>
      <c r="P175" s="11" t="str">
        <f t="shared" si="2"/>
        <v>胜</v>
      </c>
      <c r="Q175" s="11" t="str">
        <f t="shared" si="2"/>
        <v>平</v>
      </c>
    </row>
    <row r="176" spans="4:17" customFormat="1" hidden="1" x14ac:dyDescent="0.15">
      <c r="D176" t="s">
        <v>6</v>
      </c>
      <c r="E176" s="1">
        <v>78754</v>
      </c>
      <c r="F176" s="1">
        <v>78754</v>
      </c>
      <c r="G176" s="8">
        <v>42119.999305555553</v>
      </c>
      <c r="H176" s="1" t="s">
        <v>45</v>
      </c>
      <c r="I176" s="1">
        <v>0</v>
      </c>
      <c r="J176" s="1">
        <v>1</v>
      </c>
      <c r="K176" s="1">
        <v>0</v>
      </c>
      <c r="L176" s="1" t="s">
        <v>37</v>
      </c>
      <c r="M176" s="1">
        <v>1</v>
      </c>
      <c r="N176" s="1">
        <v>4</v>
      </c>
      <c r="O176" s="1">
        <v>0</v>
      </c>
      <c r="P176" s="11" t="str">
        <f t="shared" si="2"/>
        <v>负</v>
      </c>
      <c r="Q176" s="11" t="str">
        <f t="shared" si="2"/>
        <v>负</v>
      </c>
    </row>
    <row r="177" spans="4:17" customFormat="1" hidden="1" x14ac:dyDescent="0.15">
      <c r="D177" t="s">
        <v>6</v>
      </c>
      <c r="E177" s="1">
        <v>78780</v>
      </c>
      <c r="F177" s="1">
        <v>78780</v>
      </c>
      <c r="G177" s="8">
        <v>42120.895138888889</v>
      </c>
      <c r="H177" s="1" t="s">
        <v>43</v>
      </c>
      <c r="I177" s="1">
        <v>0</v>
      </c>
      <c r="J177" s="1">
        <v>0</v>
      </c>
      <c r="K177" s="1">
        <v>0</v>
      </c>
      <c r="L177" s="1" t="s">
        <v>53</v>
      </c>
      <c r="M177" s="1">
        <v>1</v>
      </c>
      <c r="N177" s="1">
        <v>2</v>
      </c>
      <c r="O177" s="1">
        <v>0</v>
      </c>
      <c r="P177" s="11" t="str">
        <f t="shared" si="2"/>
        <v>负</v>
      </c>
      <c r="Q177" s="11" t="str">
        <f t="shared" si="2"/>
        <v>负</v>
      </c>
    </row>
    <row r="178" spans="4:17" customFormat="1" hidden="1" x14ac:dyDescent="0.15">
      <c r="D178" t="s">
        <v>6</v>
      </c>
      <c r="E178" s="1">
        <v>78786</v>
      </c>
      <c r="F178" s="1">
        <v>78786</v>
      </c>
      <c r="G178" s="8">
        <v>42121</v>
      </c>
      <c r="H178" s="1" t="s">
        <v>41</v>
      </c>
      <c r="I178" s="1">
        <v>1</v>
      </c>
      <c r="J178" s="1">
        <v>2</v>
      </c>
      <c r="K178" s="1">
        <v>0</v>
      </c>
      <c r="L178" s="1" t="s">
        <v>32</v>
      </c>
      <c r="M178" s="1">
        <v>1</v>
      </c>
      <c r="N178" s="1">
        <v>2</v>
      </c>
      <c r="O178" s="1">
        <v>0</v>
      </c>
      <c r="P178" s="11" t="str">
        <f t="shared" si="2"/>
        <v>平</v>
      </c>
      <c r="Q178" s="11" t="str">
        <f t="shared" si="2"/>
        <v>平</v>
      </c>
    </row>
    <row r="179" spans="4:17" customFormat="1" hidden="1" x14ac:dyDescent="0.15">
      <c r="D179" t="s">
        <v>6</v>
      </c>
      <c r="E179" s="1">
        <v>78787</v>
      </c>
      <c r="F179" s="1">
        <v>78787</v>
      </c>
      <c r="G179" s="8">
        <v>42121</v>
      </c>
      <c r="H179" s="1" t="s">
        <v>48</v>
      </c>
      <c r="I179" s="1">
        <v>0</v>
      </c>
      <c r="J179" s="1">
        <v>0</v>
      </c>
      <c r="K179" s="1">
        <v>0</v>
      </c>
      <c r="L179" s="1" t="s">
        <v>38</v>
      </c>
      <c r="M179" s="1">
        <v>0</v>
      </c>
      <c r="N179" s="1">
        <v>0</v>
      </c>
      <c r="O179" s="1">
        <v>0</v>
      </c>
      <c r="P179" s="11" t="str">
        <f t="shared" si="2"/>
        <v>平</v>
      </c>
      <c r="Q179" s="11" t="str">
        <f t="shared" si="2"/>
        <v>平</v>
      </c>
    </row>
    <row r="180" spans="4:17" customFormat="1" hidden="1" x14ac:dyDescent="0.15">
      <c r="D180" t="s">
        <v>6</v>
      </c>
      <c r="E180" s="1">
        <v>78788</v>
      </c>
      <c r="F180" s="1">
        <v>78788</v>
      </c>
      <c r="G180" s="8">
        <v>42121</v>
      </c>
      <c r="H180" s="1" t="s">
        <v>44</v>
      </c>
      <c r="I180" s="1">
        <v>0</v>
      </c>
      <c r="J180" s="1">
        <v>0</v>
      </c>
      <c r="K180" s="1">
        <v>0</v>
      </c>
      <c r="L180" s="1" t="s">
        <v>42</v>
      </c>
      <c r="M180" s="1">
        <v>2</v>
      </c>
      <c r="N180" s="1">
        <v>2</v>
      </c>
      <c r="O180" s="1">
        <v>0</v>
      </c>
      <c r="P180" s="11" t="str">
        <f t="shared" si="2"/>
        <v>负</v>
      </c>
      <c r="Q180" s="11" t="str">
        <f t="shared" si="2"/>
        <v>负</v>
      </c>
    </row>
    <row r="181" spans="4:17" customFormat="1" hidden="1" x14ac:dyDescent="0.15">
      <c r="D181" t="s">
        <v>6</v>
      </c>
      <c r="E181" s="1">
        <v>78789</v>
      </c>
      <c r="F181" s="1">
        <v>78789</v>
      </c>
      <c r="G181" s="8">
        <v>42120.999305555553</v>
      </c>
      <c r="H181" s="1" t="s">
        <v>40</v>
      </c>
      <c r="I181" s="1">
        <v>3</v>
      </c>
      <c r="J181" s="1">
        <v>3</v>
      </c>
      <c r="K181" s="1">
        <v>0</v>
      </c>
      <c r="L181" s="1" t="s">
        <v>52</v>
      </c>
      <c r="M181" s="1">
        <v>1</v>
      </c>
      <c r="N181" s="1">
        <v>2</v>
      </c>
      <c r="O181" s="1">
        <v>0</v>
      </c>
      <c r="P181" s="11" t="str">
        <f t="shared" si="2"/>
        <v>胜</v>
      </c>
      <c r="Q181" s="11" t="str">
        <f t="shared" si="2"/>
        <v>胜</v>
      </c>
    </row>
    <row r="182" spans="4:17" customFormat="1" hidden="1" x14ac:dyDescent="0.15">
      <c r="D182" t="s">
        <v>6</v>
      </c>
      <c r="E182" s="1">
        <v>80682</v>
      </c>
      <c r="F182" s="1">
        <v>80682</v>
      </c>
      <c r="G182" s="8">
        <v>42124.040972222225</v>
      </c>
      <c r="H182" s="1" t="s">
        <v>41</v>
      </c>
      <c r="I182" s="1">
        <v>2</v>
      </c>
      <c r="J182" s="1">
        <v>2</v>
      </c>
      <c r="K182" s="1">
        <v>0</v>
      </c>
      <c r="L182" s="1" t="s">
        <v>54</v>
      </c>
      <c r="M182" s="1">
        <v>0</v>
      </c>
      <c r="N182" s="1">
        <v>0</v>
      </c>
      <c r="O182" s="1">
        <v>0</v>
      </c>
      <c r="P182" s="11" t="str">
        <f t="shared" si="2"/>
        <v>胜</v>
      </c>
      <c r="Q182" s="11" t="str">
        <f t="shared" si="2"/>
        <v>胜</v>
      </c>
    </row>
    <row r="183" spans="4:17" customFormat="1" hidden="1" x14ac:dyDescent="0.15">
      <c r="D183" t="s">
        <v>6</v>
      </c>
      <c r="E183" s="1">
        <v>80683</v>
      </c>
      <c r="F183" s="1">
        <v>80683</v>
      </c>
      <c r="G183" s="8">
        <v>42124.041666666664</v>
      </c>
      <c r="H183" s="1" t="s">
        <v>38</v>
      </c>
      <c r="I183" s="1">
        <v>2</v>
      </c>
      <c r="J183" s="1">
        <v>3</v>
      </c>
      <c r="K183" s="1">
        <v>0</v>
      </c>
      <c r="L183" s="1" t="s">
        <v>40</v>
      </c>
      <c r="M183" s="1">
        <v>1</v>
      </c>
      <c r="N183" s="1">
        <v>1</v>
      </c>
      <c r="O183" s="1">
        <v>0</v>
      </c>
      <c r="P183" s="11" t="str">
        <f t="shared" si="2"/>
        <v>胜</v>
      </c>
      <c r="Q183" s="11" t="str">
        <f t="shared" si="2"/>
        <v>胜</v>
      </c>
    </row>
    <row r="184" spans="4:17" hidden="1" x14ac:dyDescent="0.15">
      <c r="D184" s="2" t="s">
        <v>6</v>
      </c>
      <c r="E184" s="6">
        <v>80987</v>
      </c>
      <c r="F184" s="6">
        <v>80987</v>
      </c>
      <c r="G184" s="24">
        <v>42125</v>
      </c>
      <c r="H184" s="6" t="s">
        <v>32</v>
      </c>
      <c r="I184" s="6">
        <v>0</v>
      </c>
      <c r="J184" s="6">
        <v>1</v>
      </c>
      <c r="K184" s="6">
        <v>0</v>
      </c>
      <c r="L184" s="6" t="s">
        <v>48</v>
      </c>
      <c r="M184" s="6">
        <v>1</v>
      </c>
      <c r="N184" s="6">
        <v>2</v>
      </c>
      <c r="O184" s="6">
        <v>0</v>
      </c>
      <c r="P184" s="11" t="str">
        <f t="shared" si="2"/>
        <v>负</v>
      </c>
      <c r="Q184" s="11" t="str">
        <f t="shared" si="2"/>
        <v>负</v>
      </c>
    </row>
    <row r="185" spans="4:17" customFormat="1" hidden="1" x14ac:dyDescent="0.15">
      <c r="D185" t="s">
        <v>6</v>
      </c>
      <c r="E185" s="1">
        <v>80988</v>
      </c>
      <c r="F185" s="1">
        <v>80988</v>
      </c>
      <c r="G185" s="8">
        <v>42125</v>
      </c>
      <c r="H185" s="1" t="s">
        <v>53</v>
      </c>
      <c r="I185" s="1">
        <v>0</v>
      </c>
      <c r="J185" s="1">
        <v>0</v>
      </c>
      <c r="K185" s="1">
        <v>0</v>
      </c>
      <c r="L185" s="1" t="s">
        <v>42</v>
      </c>
      <c r="M185" s="1">
        <v>2</v>
      </c>
      <c r="N185" s="1">
        <v>2</v>
      </c>
      <c r="O185" s="1">
        <v>0</v>
      </c>
      <c r="P185" s="11" t="str">
        <f t="shared" si="2"/>
        <v>负</v>
      </c>
      <c r="Q185" s="11" t="str">
        <f t="shared" si="2"/>
        <v>负</v>
      </c>
    </row>
    <row r="186" spans="4:17" customFormat="1" hidden="1" x14ac:dyDescent="0.15">
      <c r="D186" t="s">
        <v>6</v>
      </c>
      <c r="E186" s="1">
        <v>80989</v>
      </c>
      <c r="F186" s="1">
        <v>80989</v>
      </c>
      <c r="G186" s="8">
        <v>42124.999305555553</v>
      </c>
      <c r="H186" s="1" t="s">
        <v>52</v>
      </c>
      <c r="I186" s="1">
        <v>0</v>
      </c>
      <c r="J186" s="1">
        <v>1</v>
      </c>
      <c r="K186" s="1">
        <v>0</v>
      </c>
      <c r="L186" s="1" t="s">
        <v>45</v>
      </c>
      <c r="M186" s="1">
        <v>0</v>
      </c>
      <c r="N186" s="1">
        <v>2</v>
      </c>
      <c r="O186" s="1">
        <v>0</v>
      </c>
      <c r="P186" s="11" t="str">
        <f t="shared" si="2"/>
        <v>平</v>
      </c>
      <c r="Q186" s="11" t="str">
        <f t="shared" si="2"/>
        <v>负</v>
      </c>
    </row>
    <row r="187" spans="4:17" customFormat="1" hidden="1" x14ac:dyDescent="0.15">
      <c r="D187" t="s">
        <v>6</v>
      </c>
      <c r="E187" s="1">
        <v>80990</v>
      </c>
      <c r="F187" s="1">
        <v>80990</v>
      </c>
      <c r="G187" s="8">
        <v>42124.999305555553</v>
      </c>
      <c r="H187" s="1" t="s">
        <v>49</v>
      </c>
      <c r="I187" s="1">
        <v>1</v>
      </c>
      <c r="J187" s="1">
        <v>1</v>
      </c>
      <c r="K187" s="1">
        <v>0</v>
      </c>
      <c r="L187" s="1" t="s">
        <v>43</v>
      </c>
      <c r="M187" s="1">
        <v>0</v>
      </c>
      <c r="N187" s="1">
        <v>2</v>
      </c>
      <c r="O187" s="1">
        <v>0</v>
      </c>
      <c r="P187" s="11" t="str">
        <f t="shared" si="2"/>
        <v>胜</v>
      </c>
      <c r="Q187" s="11" t="str">
        <f t="shared" si="2"/>
        <v>负</v>
      </c>
    </row>
    <row r="188" spans="4:17" customFormat="1" hidden="1" x14ac:dyDescent="0.15">
      <c r="D188" t="s">
        <v>6</v>
      </c>
      <c r="E188" s="1">
        <v>80998</v>
      </c>
      <c r="F188" s="1">
        <v>80998</v>
      </c>
      <c r="G188" s="8">
        <v>42125.082638888889</v>
      </c>
      <c r="H188" s="1" t="s">
        <v>51</v>
      </c>
      <c r="I188" s="1">
        <v>1</v>
      </c>
      <c r="J188" s="1">
        <v>1</v>
      </c>
      <c r="K188" s="1">
        <v>0</v>
      </c>
      <c r="L188" s="1" t="s">
        <v>44</v>
      </c>
      <c r="M188" s="1">
        <v>1</v>
      </c>
      <c r="N188" s="1">
        <v>4</v>
      </c>
      <c r="O188" s="1">
        <v>0</v>
      </c>
      <c r="P188" s="11" t="str">
        <f t="shared" si="2"/>
        <v>平</v>
      </c>
      <c r="Q188" s="11" t="str">
        <f t="shared" si="2"/>
        <v>负</v>
      </c>
    </row>
    <row r="189" spans="4:17" customFormat="1" hidden="1" x14ac:dyDescent="0.15">
      <c r="D189" t="s">
        <v>6</v>
      </c>
      <c r="E189" s="1">
        <v>80999</v>
      </c>
      <c r="F189" s="1">
        <v>80999</v>
      </c>
      <c r="G189" s="8">
        <v>42125.083333333336</v>
      </c>
      <c r="H189" s="1" t="s">
        <v>37</v>
      </c>
      <c r="I189" s="1">
        <v>0</v>
      </c>
      <c r="J189" s="1">
        <v>3</v>
      </c>
      <c r="K189" s="1">
        <v>0</v>
      </c>
      <c r="L189" s="1" t="s">
        <v>36</v>
      </c>
      <c r="M189" s="1">
        <v>1</v>
      </c>
      <c r="N189" s="1">
        <v>2</v>
      </c>
      <c r="O189" s="1">
        <v>0</v>
      </c>
      <c r="P189" s="11" t="str">
        <f t="shared" si="2"/>
        <v>负</v>
      </c>
      <c r="Q189" s="11" t="str">
        <f t="shared" si="2"/>
        <v>胜</v>
      </c>
    </row>
    <row r="190" spans="4:17" customFormat="1" hidden="1" x14ac:dyDescent="0.15">
      <c r="D190" t="s">
        <v>6</v>
      </c>
      <c r="E190" s="1">
        <v>81725</v>
      </c>
      <c r="F190" s="1">
        <v>81725</v>
      </c>
      <c r="G190" s="8">
        <v>42127</v>
      </c>
      <c r="H190" s="1" t="s">
        <v>40</v>
      </c>
      <c r="I190" s="1">
        <v>1</v>
      </c>
      <c r="J190" s="1">
        <v>1</v>
      </c>
      <c r="K190" s="1">
        <v>0</v>
      </c>
      <c r="L190" s="1" t="s">
        <v>41</v>
      </c>
      <c r="M190" s="1">
        <v>1</v>
      </c>
      <c r="N190" s="1">
        <v>1</v>
      </c>
      <c r="O190" s="1">
        <v>0</v>
      </c>
      <c r="P190" s="11" t="str">
        <f t="shared" si="2"/>
        <v>平</v>
      </c>
      <c r="Q190" s="11" t="str">
        <f t="shared" si="2"/>
        <v>平</v>
      </c>
    </row>
    <row r="191" spans="4:17" customFormat="1" hidden="1" x14ac:dyDescent="0.15">
      <c r="D191" t="s">
        <v>6</v>
      </c>
      <c r="E191" s="1">
        <v>81759</v>
      </c>
      <c r="F191" s="1">
        <v>81759</v>
      </c>
      <c r="G191" s="8">
        <v>42129.041666666664</v>
      </c>
      <c r="H191" s="1" t="s">
        <v>45</v>
      </c>
      <c r="I191" s="1">
        <v>1</v>
      </c>
      <c r="J191" s="1">
        <v>2</v>
      </c>
      <c r="K191" s="1">
        <v>0</v>
      </c>
      <c r="L191" s="1" t="s">
        <v>38</v>
      </c>
      <c r="M191" s="1">
        <v>1</v>
      </c>
      <c r="N191" s="1">
        <v>1</v>
      </c>
      <c r="O191" s="1">
        <v>0</v>
      </c>
      <c r="P191" s="11" t="str">
        <f t="shared" si="2"/>
        <v>平</v>
      </c>
      <c r="Q191" s="11" t="str">
        <f t="shared" si="2"/>
        <v>胜</v>
      </c>
    </row>
    <row r="192" spans="4:17" customFormat="1" hidden="1" x14ac:dyDescent="0.15">
      <c r="D192" t="s">
        <v>6</v>
      </c>
      <c r="E192" s="1">
        <v>82095</v>
      </c>
      <c r="F192" s="1">
        <v>82095</v>
      </c>
      <c r="G192" s="8">
        <v>42128</v>
      </c>
      <c r="H192" s="1" t="s">
        <v>44</v>
      </c>
      <c r="I192" s="1">
        <v>0</v>
      </c>
      <c r="J192" s="1">
        <v>1</v>
      </c>
      <c r="K192" s="1">
        <v>0</v>
      </c>
      <c r="L192" s="1" t="s">
        <v>49</v>
      </c>
      <c r="M192" s="1">
        <v>1</v>
      </c>
      <c r="N192" s="1">
        <v>1</v>
      </c>
      <c r="O192" s="1">
        <v>0</v>
      </c>
      <c r="P192" s="11" t="str">
        <f t="shared" si="2"/>
        <v>负</v>
      </c>
      <c r="Q192" s="11" t="str">
        <f t="shared" si="2"/>
        <v>平</v>
      </c>
    </row>
    <row r="193" spans="4:17" customFormat="1" hidden="1" x14ac:dyDescent="0.15">
      <c r="D193" t="s">
        <v>6</v>
      </c>
      <c r="E193" s="1">
        <v>82098</v>
      </c>
      <c r="F193" s="1">
        <v>82098</v>
      </c>
      <c r="G193" s="8">
        <v>42127.999305555553</v>
      </c>
      <c r="H193" s="1" t="s">
        <v>48</v>
      </c>
      <c r="I193" s="1">
        <v>1</v>
      </c>
      <c r="J193" s="1">
        <v>2</v>
      </c>
      <c r="K193" s="1">
        <v>0</v>
      </c>
      <c r="L193" s="1" t="s">
        <v>52</v>
      </c>
      <c r="M193" s="1">
        <v>1</v>
      </c>
      <c r="N193" s="1">
        <v>1</v>
      </c>
      <c r="O193" s="1">
        <v>0</v>
      </c>
      <c r="P193" s="11" t="str">
        <f t="shared" si="2"/>
        <v>平</v>
      </c>
      <c r="Q193" s="11" t="str">
        <f t="shared" si="2"/>
        <v>胜</v>
      </c>
    </row>
    <row r="194" spans="4:17" customFormat="1" hidden="1" x14ac:dyDescent="0.15">
      <c r="D194" t="s">
        <v>6</v>
      </c>
      <c r="E194" s="1">
        <v>82099</v>
      </c>
      <c r="F194" s="1">
        <v>82099</v>
      </c>
      <c r="G194" s="8">
        <v>42128</v>
      </c>
      <c r="H194" s="1" t="s">
        <v>42</v>
      </c>
      <c r="I194" s="1">
        <v>0</v>
      </c>
      <c r="J194" s="1">
        <v>1</v>
      </c>
      <c r="K194" s="1">
        <v>0</v>
      </c>
      <c r="L194" s="1" t="s">
        <v>51</v>
      </c>
      <c r="M194" s="1">
        <v>0</v>
      </c>
      <c r="N194" s="1">
        <v>0</v>
      </c>
      <c r="O194" s="1">
        <v>0</v>
      </c>
      <c r="P194" s="11" t="str">
        <f t="shared" si="2"/>
        <v>平</v>
      </c>
      <c r="Q194" s="11" t="str">
        <f t="shared" si="2"/>
        <v>胜</v>
      </c>
    </row>
    <row r="195" spans="4:17" customFormat="1" hidden="1" x14ac:dyDescent="0.15">
      <c r="D195" t="s">
        <v>6</v>
      </c>
      <c r="E195" s="1">
        <v>82131</v>
      </c>
      <c r="F195" s="1">
        <v>82131</v>
      </c>
      <c r="G195" s="8">
        <v>42128.083333333336</v>
      </c>
      <c r="H195" s="1" t="s">
        <v>54</v>
      </c>
      <c r="I195" s="1">
        <v>1</v>
      </c>
      <c r="J195" s="1">
        <v>1</v>
      </c>
      <c r="K195" s="1">
        <v>0</v>
      </c>
      <c r="L195" s="1" t="s">
        <v>37</v>
      </c>
      <c r="M195" s="1">
        <v>1</v>
      </c>
      <c r="N195" s="1">
        <v>2</v>
      </c>
      <c r="O195" s="1">
        <v>0</v>
      </c>
      <c r="P195" s="11" t="str">
        <f t="shared" si="2"/>
        <v>平</v>
      </c>
      <c r="Q195" s="11" t="str">
        <f t="shared" si="2"/>
        <v>负</v>
      </c>
    </row>
    <row r="196" spans="4:17" customFormat="1" x14ac:dyDescent="0.15">
      <c r="D196" t="s">
        <v>6</v>
      </c>
      <c r="E196" s="1">
        <v>82269</v>
      </c>
      <c r="F196" s="1">
        <v>82269</v>
      </c>
      <c r="G196" s="8">
        <v>42127.895138888889</v>
      </c>
      <c r="H196" s="1" t="s">
        <v>36</v>
      </c>
      <c r="I196" s="1">
        <v>2</v>
      </c>
      <c r="J196" s="1">
        <v>3</v>
      </c>
      <c r="K196" s="1">
        <v>0</v>
      </c>
      <c r="L196" s="1" t="s">
        <v>53</v>
      </c>
      <c r="M196" s="1">
        <v>1</v>
      </c>
      <c r="N196" s="1">
        <v>1</v>
      </c>
      <c r="O196" s="1">
        <v>0</v>
      </c>
      <c r="P196" s="11" t="str">
        <f t="shared" si="2"/>
        <v>胜</v>
      </c>
      <c r="Q196" s="11" t="str">
        <f t="shared" si="2"/>
        <v>胜</v>
      </c>
    </row>
    <row r="197" spans="4:17" customFormat="1" hidden="1" x14ac:dyDescent="0.15">
      <c r="D197" t="s">
        <v>6</v>
      </c>
      <c r="E197" s="1">
        <v>82270</v>
      </c>
      <c r="F197" s="1">
        <v>82270</v>
      </c>
      <c r="G197" s="8">
        <v>42127.895833333336</v>
      </c>
      <c r="H197" s="1" t="s">
        <v>43</v>
      </c>
      <c r="I197" s="1">
        <v>1</v>
      </c>
      <c r="J197" s="1">
        <v>2</v>
      </c>
      <c r="K197" s="1">
        <v>0</v>
      </c>
      <c r="L197" s="1" t="s">
        <v>32</v>
      </c>
      <c r="M197" s="1">
        <v>0</v>
      </c>
      <c r="N197" s="1">
        <v>0</v>
      </c>
      <c r="O197" s="1">
        <v>0</v>
      </c>
      <c r="P197" s="11" t="str">
        <f t="shared" si="2"/>
        <v>胜</v>
      </c>
      <c r="Q197" s="11" t="str">
        <f t="shared" si="2"/>
        <v>胜</v>
      </c>
    </row>
    <row r="198" spans="4:17" customFormat="1" hidden="1" x14ac:dyDescent="0.15">
      <c r="D198" t="s">
        <v>6</v>
      </c>
      <c r="E198" s="1">
        <v>82995</v>
      </c>
      <c r="F198" s="1">
        <v>82995</v>
      </c>
      <c r="G198" s="8">
        <v>42134.895138888889</v>
      </c>
      <c r="H198" s="1" t="s">
        <v>52</v>
      </c>
      <c r="I198" s="1">
        <v>0</v>
      </c>
      <c r="J198" s="1">
        <v>1</v>
      </c>
      <c r="K198" s="1">
        <v>0</v>
      </c>
      <c r="L198" s="1" t="s">
        <v>43</v>
      </c>
      <c r="M198" s="1">
        <v>0</v>
      </c>
      <c r="N198" s="1">
        <v>3</v>
      </c>
      <c r="O198" s="1">
        <v>0</v>
      </c>
      <c r="P198" s="11" t="str">
        <f t="shared" si="2"/>
        <v>平</v>
      </c>
      <c r="Q198" s="11" t="str">
        <f t="shared" si="2"/>
        <v>负</v>
      </c>
    </row>
    <row r="199" spans="4:17" customFormat="1" hidden="1" x14ac:dyDescent="0.15">
      <c r="D199" t="s">
        <v>6</v>
      </c>
      <c r="E199" s="1">
        <v>82999</v>
      </c>
      <c r="F199" s="1">
        <v>82999</v>
      </c>
      <c r="G199" s="8">
        <v>42135.000694444447</v>
      </c>
      <c r="H199" s="1" t="s">
        <v>41</v>
      </c>
      <c r="I199" s="1">
        <v>1</v>
      </c>
      <c r="J199" s="1">
        <v>3</v>
      </c>
      <c r="K199" s="1">
        <v>0</v>
      </c>
      <c r="L199" s="1" t="s">
        <v>48</v>
      </c>
      <c r="M199" s="1">
        <v>0</v>
      </c>
      <c r="N199" s="1">
        <v>0</v>
      </c>
      <c r="O199" s="1">
        <v>0</v>
      </c>
      <c r="P199" s="11" t="str">
        <f t="shared" si="2"/>
        <v>胜</v>
      </c>
      <c r="Q199" s="11" t="str">
        <f t="shared" si="2"/>
        <v>胜</v>
      </c>
    </row>
    <row r="200" spans="4:17" hidden="1" x14ac:dyDescent="0.15">
      <c r="D200" s="2" t="s">
        <v>6</v>
      </c>
      <c r="E200" s="6">
        <v>83000</v>
      </c>
      <c r="F200" s="6">
        <v>83000</v>
      </c>
      <c r="G200" s="24">
        <v>42135</v>
      </c>
      <c r="H200" s="6" t="s">
        <v>32</v>
      </c>
      <c r="I200" s="6">
        <v>2</v>
      </c>
      <c r="J200" s="6">
        <v>3</v>
      </c>
      <c r="K200" s="6">
        <v>0</v>
      </c>
      <c r="L200" s="6" t="s">
        <v>40</v>
      </c>
      <c r="M200" s="6">
        <v>4</v>
      </c>
      <c r="N200" s="6">
        <v>5</v>
      </c>
      <c r="O200" s="6">
        <v>0</v>
      </c>
      <c r="P200" s="11" t="str">
        <f t="shared" si="2"/>
        <v>负</v>
      </c>
      <c r="Q200" s="11" t="str">
        <f t="shared" si="2"/>
        <v>负</v>
      </c>
    </row>
    <row r="201" spans="4:17" customFormat="1" hidden="1" x14ac:dyDescent="0.15">
      <c r="D201" t="s">
        <v>6</v>
      </c>
      <c r="E201" s="1">
        <v>83001</v>
      </c>
      <c r="F201" s="1">
        <v>83001</v>
      </c>
      <c r="G201" s="8">
        <v>42134.999305555553</v>
      </c>
      <c r="H201" s="1" t="s">
        <v>45</v>
      </c>
      <c r="I201" s="1">
        <v>0</v>
      </c>
      <c r="J201" s="1">
        <v>1</v>
      </c>
      <c r="K201" s="1">
        <v>0</v>
      </c>
      <c r="L201" s="1" t="s">
        <v>54</v>
      </c>
      <c r="M201" s="1">
        <v>1</v>
      </c>
      <c r="N201" s="1">
        <v>1</v>
      </c>
      <c r="O201" s="1">
        <v>0</v>
      </c>
      <c r="P201" s="11" t="str">
        <f t="shared" si="2"/>
        <v>负</v>
      </c>
      <c r="Q201" s="11" t="str">
        <f t="shared" si="2"/>
        <v>平</v>
      </c>
    </row>
    <row r="202" spans="4:17" customFormat="1" hidden="1" x14ac:dyDescent="0.15">
      <c r="D202" t="s">
        <v>6</v>
      </c>
      <c r="E202" s="1">
        <v>83007</v>
      </c>
      <c r="F202" s="1">
        <v>83007</v>
      </c>
      <c r="G202" s="8">
        <v>42135.083333333336</v>
      </c>
      <c r="H202" s="1" t="s">
        <v>38</v>
      </c>
      <c r="I202" s="1">
        <v>2</v>
      </c>
      <c r="J202" s="1">
        <v>4</v>
      </c>
      <c r="K202" s="1">
        <v>0</v>
      </c>
      <c r="L202" s="1" t="s">
        <v>36</v>
      </c>
      <c r="M202" s="1">
        <v>0</v>
      </c>
      <c r="N202" s="1">
        <v>0</v>
      </c>
      <c r="O202" s="1">
        <v>0</v>
      </c>
      <c r="P202" s="11" t="str">
        <f t="shared" si="2"/>
        <v>胜</v>
      </c>
      <c r="Q202" s="11" t="str">
        <f t="shared" si="2"/>
        <v>胜</v>
      </c>
    </row>
    <row r="203" spans="4:17" customFormat="1" hidden="1" x14ac:dyDescent="0.15">
      <c r="D203" t="s">
        <v>6</v>
      </c>
      <c r="E203" s="1">
        <v>83018</v>
      </c>
      <c r="F203" s="1">
        <v>83018</v>
      </c>
      <c r="G203" s="8">
        <v>42133.895833333336</v>
      </c>
      <c r="H203" s="1" t="s">
        <v>51</v>
      </c>
      <c r="I203" s="1">
        <v>1</v>
      </c>
      <c r="J203" s="1">
        <v>4</v>
      </c>
      <c r="K203" s="1">
        <v>0</v>
      </c>
      <c r="L203" s="1" t="s">
        <v>53</v>
      </c>
      <c r="M203" s="1">
        <v>2</v>
      </c>
      <c r="N203" s="1">
        <v>3</v>
      </c>
      <c r="O203" s="1">
        <v>0</v>
      </c>
      <c r="P203" s="11" t="str">
        <f t="shared" si="2"/>
        <v>负</v>
      </c>
      <c r="Q203" s="11" t="str">
        <f t="shared" si="2"/>
        <v>胜</v>
      </c>
    </row>
    <row r="204" spans="4:17" customFormat="1" hidden="1" x14ac:dyDescent="0.15">
      <c r="D204" t="s">
        <v>6</v>
      </c>
      <c r="E204" s="1">
        <v>83021</v>
      </c>
      <c r="F204" s="1">
        <v>83021</v>
      </c>
      <c r="G204" s="8">
        <v>42134</v>
      </c>
      <c r="H204" s="1" t="s">
        <v>37</v>
      </c>
      <c r="I204" s="1">
        <v>3</v>
      </c>
      <c r="J204" s="1">
        <v>3</v>
      </c>
      <c r="K204" s="1">
        <v>0</v>
      </c>
      <c r="L204" s="1" t="s">
        <v>44</v>
      </c>
      <c r="M204" s="1">
        <v>0</v>
      </c>
      <c r="N204" s="1">
        <v>0</v>
      </c>
      <c r="O204" s="1">
        <v>0</v>
      </c>
      <c r="P204" s="11" t="str">
        <f t="shared" si="2"/>
        <v>胜</v>
      </c>
      <c r="Q204" s="11" t="str">
        <f t="shared" si="2"/>
        <v>胜</v>
      </c>
    </row>
    <row r="205" spans="4:17" customFormat="1" hidden="1" x14ac:dyDescent="0.15">
      <c r="D205" t="s">
        <v>6</v>
      </c>
      <c r="E205" s="1">
        <v>83023</v>
      </c>
      <c r="F205" s="1">
        <v>83023</v>
      </c>
      <c r="G205" s="8">
        <v>42134.082638888889</v>
      </c>
      <c r="H205" s="1" t="s">
        <v>49</v>
      </c>
      <c r="I205" s="1">
        <v>0</v>
      </c>
      <c r="J205" s="1">
        <v>0</v>
      </c>
      <c r="K205" s="1">
        <v>0</v>
      </c>
      <c r="L205" s="1" t="s">
        <v>42</v>
      </c>
      <c r="M205" s="1">
        <v>1</v>
      </c>
      <c r="N205" s="1">
        <v>2</v>
      </c>
      <c r="O205" s="1">
        <v>0</v>
      </c>
      <c r="P205" s="11" t="str">
        <f t="shared" ref="P205:Q268" si="3">IF(I205=M205,"平",IF(I205&gt;M205,"胜","负"))</f>
        <v>负</v>
      </c>
      <c r="Q205" s="11" t="str">
        <f t="shared" si="3"/>
        <v>负</v>
      </c>
    </row>
    <row r="206" spans="4:17" customFormat="1" hidden="1" x14ac:dyDescent="0.15">
      <c r="D206" t="s">
        <v>6</v>
      </c>
      <c r="E206" s="1">
        <v>84679</v>
      </c>
      <c r="F206" s="1">
        <v>84679</v>
      </c>
      <c r="G206" s="8">
        <v>42136.999305555553</v>
      </c>
      <c r="H206" s="1" t="s">
        <v>53</v>
      </c>
      <c r="I206" s="1">
        <v>2</v>
      </c>
      <c r="J206" s="1">
        <v>4</v>
      </c>
      <c r="K206" s="1">
        <v>0</v>
      </c>
      <c r="L206" s="1" t="s">
        <v>49</v>
      </c>
      <c r="M206" s="1">
        <v>2</v>
      </c>
      <c r="N206" s="1">
        <v>5</v>
      </c>
      <c r="O206" s="1">
        <v>0</v>
      </c>
      <c r="P206" s="11" t="str">
        <f t="shared" si="3"/>
        <v>平</v>
      </c>
      <c r="Q206" s="11" t="str">
        <f t="shared" si="3"/>
        <v>负</v>
      </c>
    </row>
    <row r="207" spans="4:17" customFormat="1" hidden="1" x14ac:dyDescent="0.15">
      <c r="D207" t="s">
        <v>6</v>
      </c>
      <c r="E207" s="1">
        <v>84681</v>
      </c>
      <c r="F207" s="1">
        <v>84681</v>
      </c>
      <c r="G207" s="8">
        <v>42136.999305555553</v>
      </c>
      <c r="H207" s="1" t="s">
        <v>51</v>
      </c>
      <c r="I207" s="1">
        <v>2</v>
      </c>
      <c r="J207" s="1">
        <v>3</v>
      </c>
      <c r="K207" s="1">
        <v>0</v>
      </c>
      <c r="L207" s="1" t="s">
        <v>37</v>
      </c>
      <c r="M207" s="1">
        <v>2</v>
      </c>
      <c r="N207" s="1">
        <v>2</v>
      </c>
      <c r="O207" s="1">
        <v>0</v>
      </c>
      <c r="P207" s="11" t="str">
        <f t="shared" si="3"/>
        <v>平</v>
      </c>
      <c r="Q207" s="11" t="str">
        <f t="shared" si="3"/>
        <v>胜</v>
      </c>
    </row>
    <row r="208" spans="4:17" customFormat="1" hidden="1" x14ac:dyDescent="0.15">
      <c r="D208" t="s">
        <v>6</v>
      </c>
      <c r="E208" s="1">
        <v>84711</v>
      </c>
      <c r="F208" s="1">
        <v>84711</v>
      </c>
      <c r="G208" s="8">
        <v>42138</v>
      </c>
      <c r="H208" s="1" t="s">
        <v>54</v>
      </c>
      <c r="I208" s="1">
        <v>1</v>
      </c>
      <c r="J208" s="1">
        <v>2</v>
      </c>
      <c r="K208" s="1">
        <v>0</v>
      </c>
      <c r="L208" s="1" t="s">
        <v>40</v>
      </c>
      <c r="M208" s="1">
        <v>0</v>
      </c>
      <c r="N208" s="1">
        <v>0</v>
      </c>
      <c r="O208" s="1">
        <v>0</v>
      </c>
      <c r="P208" s="11" t="str">
        <f t="shared" si="3"/>
        <v>胜</v>
      </c>
      <c r="Q208" s="11" t="str">
        <f t="shared" si="3"/>
        <v>胜</v>
      </c>
    </row>
    <row r="209" spans="4:17" customFormat="1" hidden="1" x14ac:dyDescent="0.15">
      <c r="D209" t="s">
        <v>6</v>
      </c>
      <c r="E209" s="1">
        <v>84712</v>
      </c>
      <c r="F209" s="1">
        <v>84712</v>
      </c>
      <c r="G209" s="8">
        <v>42138</v>
      </c>
      <c r="H209" s="1" t="s">
        <v>48</v>
      </c>
      <c r="I209" s="1">
        <v>0</v>
      </c>
      <c r="J209" s="1">
        <v>0</v>
      </c>
      <c r="K209" s="1">
        <v>0</v>
      </c>
      <c r="L209" s="1" t="s">
        <v>45</v>
      </c>
      <c r="M209" s="1">
        <v>1</v>
      </c>
      <c r="N209" s="1">
        <v>2</v>
      </c>
      <c r="O209" s="1">
        <v>0</v>
      </c>
      <c r="P209" s="11" t="str">
        <f t="shared" si="3"/>
        <v>负</v>
      </c>
      <c r="Q209" s="11" t="str">
        <f t="shared" si="3"/>
        <v>负</v>
      </c>
    </row>
    <row r="210" spans="4:17" customFormat="1" hidden="1" x14ac:dyDescent="0.15">
      <c r="D210" t="s">
        <v>6</v>
      </c>
      <c r="E210" s="1">
        <v>84713</v>
      </c>
      <c r="F210" s="1">
        <v>84713</v>
      </c>
      <c r="G210" s="8">
        <v>42138</v>
      </c>
      <c r="H210" s="1" t="s">
        <v>44</v>
      </c>
      <c r="I210" s="1">
        <v>0</v>
      </c>
      <c r="J210" s="1">
        <v>2</v>
      </c>
      <c r="K210" s="1">
        <v>0</v>
      </c>
      <c r="L210" s="1" t="s">
        <v>38</v>
      </c>
      <c r="M210" s="1">
        <v>1</v>
      </c>
      <c r="N210" s="1">
        <v>1</v>
      </c>
      <c r="O210" s="1">
        <v>0</v>
      </c>
      <c r="P210" s="11" t="str">
        <f t="shared" si="3"/>
        <v>负</v>
      </c>
      <c r="Q210" s="11" t="str">
        <f t="shared" si="3"/>
        <v>胜</v>
      </c>
    </row>
    <row r="211" spans="4:17" customFormat="1" x14ac:dyDescent="0.15">
      <c r="D211" t="s">
        <v>6</v>
      </c>
      <c r="E211" s="1">
        <v>84714</v>
      </c>
      <c r="F211" s="1">
        <v>84714</v>
      </c>
      <c r="G211" s="8">
        <v>42137.999305555553</v>
      </c>
      <c r="H211" s="1" t="s">
        <v>36</v>
      </c>
      <c r="I211" s="1">
        <v>1</v>
      </c>
      <c r="J211" s="1">
        <v>1</v>
      </c>
      <c r="K211" s="1">
        <v>0</v>
      </c>
      <c r="L211" s="1" t="s">
        <v>32</v>
      </c>
      <c r="M211" s="1">
        <v>1</v>
      </c>
      <c r="N211" s="1">
        <v>1</v>
      </c>
      <c r="O211" s="1">
        <v>0</v>
      </c>
      <c r="P211" s="11" t="str">
        <f t="shared" si="3"/>
        <v>平</v>
      </c>
      <c r="Q211" s="11" t="str">
        <f t="shared" si="3"/>
        <v>平</v>
      </c>
    </row>
    <row r="212" spans="4:17" customFormat="1" hidden="1" x14ac:dyDescent="0.15">
      <c r="D212" t="s">
        <v>6</v>
      </c>
      <c r="E212" s="1">
        <v>84715</v>
      </c>
      <c r="F212" s="1">
        <v>84715</v>
      </c>
      <c r="G212" s="8">
        <v>42138</v>
      </c>
      <c r="H212" s="1" t="s">
        <v>42</v>
      </c>
      <c r="I212" s="1">
        <v>1</v>
      </c>
      <c r="J212" s="1">
        <v>4</v>
      </c>
      <c r="K212" s="1">
        <v>0</v>
      </c>
      <c r="L212" s="1" t="s">
        <v>52</v>
      </c>
      <c r="M212" s="1">
        <v>0</v>
      </c>
      <c r="N212" s="1">
        <v>0</v>
      </c>
      <c r="O212" s="1">
        <v>0</v>
      </c>
      <c r="P212" s="11" t="str">
        <f t="shared" si="3"/>
        <v>胜</v>
      </c>
      <c r="Q212" s="11" t="str">
        <f t="shared" si="3"/>
        <v>胜</v>
      </c>
    </row>
    <row r="213" spans="4:17" customFormat="1" hidden="1" x14ac:dyDescent="0.15">
      <c r="D213" t="s">
        <v>6</v>
      </c>
      <c r="E213" s="1">
        <v>84977</v>
      </c>
      <c r="F213" s="1">
        <v>84977</v>
      </c>
      <c r="G213" s="8">
        <v>42138</v>
      </c>
      <c r="H213" s="1" t="s">
        <v>43</v>
      </c>
      <c r="I213" s="1">
        <v>0</v>
      </c>
      <c r="J213" s="1">
        <v>2</v>
      </c>
      <c r="K213" s="1">
        <v>0</v>
      </c>
      <c r="L213" s="1" t="s">
        <v>41</v>
      </c>
      <c r="M213" s="1">
        <v>1</v>
      </c>
      <c r="N213" s="1">
        <v>2</v>
      </c>
      <c r="O213" s="1">
        <v>0</v>
      </c>
      <c r="P213" s="11" t="str">
        <f t="shared" si="3"/>
        <v>负</v>
      </c>
      <c r="Q213" s="11" t="str">
        <f t="shared" si="3"/>
        <v>平</v>
      </c>
    </row>
    <row r="214" spans="4:17" customFormat="1" hidden="1" x14ac:dyDescent="0.15">
      <c r="D214" t="s">
        <v>6</v>
      </c>
      <c r="E214" s="1">
        <v>85389</v>
      </c>
      <c r="F214" s="1">
        <v>85389</v>
      </c>
      <c r="G214" s="8">
        <v>42140.895138888889</v>
      </c>
      <c r="H214" s="1" t="s">
        <v>49</v>
      </c>
      <c r="I214" s="1">
        <v>2</v>
      </c>
      <c r="J214" s="1">
        <v>4</v>
      </c>
      <c r="K214" s="1">
        <v>0</v>
      </c>
      <c r="L214" s="1" t="s">
        <v>51</v>
      </c>
      <c r="M214" s="1">
        <v>1</v>
      </c>
      <c r="N214" s="1">
        <v>2</v>
      </c>
      <c r="O214" s="1">
        <v>0</v>
      </c>
      <c r="P214" s="11" t="str">
        <f t="shared" si="3"/>
        <v>胜</v>
      </c>
      <c r="Q214" s="11" t="str">
        <f t="shared" si="3"/>
        <v>胜</v>
      </c>
    </row>
    <row r="215" spans="4:17" hidden="1" x14ac:dyDescent="0.15">
      <c r="D215" s="2" t="s">
        <v>6</v>
      </c>
      <c r="E215" s="6">
        <v>85392</v>
      </c>
      <c r="F215" s="6">
        <v>85392</v>
      </c>
      <c r="G215" s="24">
        <v>42140.895138888889</v>
      </c>
      <c r="H215" s="6" t="s">
        <v>32</v>
      </c>
      <c r="I215" s="6">
        <v>0</v>
      </c>
      <c r="J215" s="6">
        <v>1</v>
      </c>
      <c r="K215" s="6">
        <v>0</v>
      </c>
      <c r="L215" s="6" t="s">
        <v>53</v>
      </c>
      <c r="M215" s="6">
        <v>0</v>
      </c>
      <c r="N215" s="6">
        <v>0</v>
      </c>
      <c r="O215" s="6">
        <v>0</v>
      </c>
      <c r="P215" s="11" t="str">
        <f t="shared" si="3"/>
        <v>平</v>
      </c>
      <c r="Q215" s="11" t="str">
        <f t="shared" si="3"/>
        <v>胜</v>
      </c>
    </row>
    <row r="216" spans="4:17" customFormat="1" hidden="1" x14ac:dyDescent="0.15">
      <c r="D216" t="s">
        <v>6</v>
      </c>
      <c r="E216" s="1">
        <v>85419</v>
      </c>
      <c r="F216" s="1">
        <v>85419</v>
      </c>
      <c r="G216" s="8">
        <v>42141.002083333333</v>
      </c>
      <c r="H216" s="1" t="s">
        <v>37</v>
      </c>
      <c r="I216" s="1">
        <v>2</v>
      </c>
      <c r="J216" s="1">
        <v>5</v>
      </c>
      <c r="K216" s="1">
        <v>0</v>
      </c>
      <c r="L216" s="1" t="s">
        <v>52</v>
      </c>
      <c r="M216" s="1">
        <v>1</v>
      </c>
      <c r="N216" s="1">
        <v>1</v>
      </c>
      <c r="O216" s="1">
        <v>0</v>
      </c>
      <c r="P216" s="11" t="str">
        <f t="shared" si="3"/>
        <v>胜</v>
      </c>
      <c r="Q216" s="11" t="str">
        <f t="shared" si="3"/>
        <v>胜</v>
      </c>
    </row>
    <row r="217" spans="4:17" customFormat="1" hidden="1" x14ac:dyDescent="0.15">
      <c r="D217" t="s">
        <v>6</v>
      </c>
      <c r="E217" s="1">
        <v>85420</v>
      </c>
      <c r="F217" s="1">
        <v>85420</v>
      </c>
      <c r="G217" s="8">
        <v>42141</v>
      </c>
      <c r="H217" s="1" t="s">
        <v>38</v>
      </c>
      <c r="I217" s="1">
        <v>2</v>
      </c>
      <c r="J217" s="1">
        <v>3</v>
      </c>
      <c r="K217" s="1">
        <v>0</v>
      </c>
      <c r="L217" s="1" t="s">
        <v>42</v>
      </c>
      <c r="M217" s="1">
        <v>1</v>
      </c>
      <c r="N217" s="1">
        <v>3</v>
      </c>
      <c r="O217" s="1">
        <v>0</v>
      </c>
      <c r="P217" s="11" t="str">
        <f t="shared" si="3"/>
        <v>胜</v>
      </c>
      <c r="Q217" s="11" t="str">
        <f t="shared" si="3"/>
        <v>平</v>
      </c>
    </row>
    <row r="218" spans="4:17" customFormat="1" hidden="1" x14ac:dyDescent="0.15">
      <c r="D218" t="s">
        <v>6</v>
      </c>
      <c r="E218" s="1">
        <v>85421</v>
      </c>
      <c r="F218" s="1">
        <v>85421</v>
      </c>
      <c r="G218" s="8">
        <v>42140.999305555553</v>
      </c>
      <c r="H218" s="1" t="s">
        <v>54</v>
      </c>
      <c r="I218" s="1">
        <v>0</v>
      </c>
      <c r="J218" s="1">
        <v>0</v>
      </c>
      <c r="K218" s="1">
        <v>0</v>
      </c>
      <c r="L218" s="1" t="s">
        <v>48</v>
      </c>
      <c r="M218" s="1">
        <v>0</v>
      </c>
      <c r="N218" s="1">
        <v>0</v>
      </c>
      <c r="O218" s="1">
        <v>0</v>
      </c>
      <c r="P218" s="11" t="str">
        <f t="shared" si="3"/>
        <v>平</v>
      </c>
      <c r="Q218" s="11" t="str">
        <f t="shared" si="3"/>
        <v>平</v>
      </c>
    </row>
    <row r="219" spans="4:17" customFormat="1" hidden="1" x14ac:dyDescent="0.15">
      <c r="D219" t="s">
        <v>6</v>
      </c>
      <c r="E219" s="1">
        <v>85422</v>
      </c>
      <c r="F219" s="1">
        <v>85422</v>
      </c>
      <c r="G219" s="8">
        <v>42140.999305555553</v>
      </c>
      <c r="H219" s="1" t="s">
        <v>40</v>
      </c>
      <c r="I219" s="1">
        <v>2</v>
      </c>
      <c r="J219" s="1">
        <v>3</v>
      </c>
      <c r="K219" s="1">
        <v>0</v>
      </c>
      <c r="L219" s="1" t="s">
        <v>43</v>
      </c>
      <c r="M219" s="1">
        <v>0</v>
      </c>
      <c r="N219" s="1">
        <v>1</v>
      </c>
      <c r="O219" s="1">
        <v>0</v>
      </c>
      <c r="P219" s="11" t="str">
        <f t="shared" si="3"/>
        <v>胜</v>
      </c>
      <c r="Q219" s="11" t="str">
        <f t="shared" si="3"/>
        <v>胜</v>
      </c>
    </row>
    <row r="220" spans="4:17" customFormat="1" hidden="1" x14ac:dyDescent="0.15">
      <c r="D220" t="s">
        <v>6</v>
      </c>
      <c r="E220" s="1">
        <v>85423</v>
      </c>
      <c r="F220" s="1">
        <v>85423</v>
      </c>
      <c r="G220" s="8">
        <v>42141</v>
      </c>
      <c r="H220" s="1" t="s">
        <v>41</v>
      </c>
      <c r="I220" s="1">
        <v>0</v>
      </c>
      <c r="J220" s="1">
        <v>1</v>
      </c>
      <c r="K220" s="1">
        <v>0</v>
      </c>
      <c r="L220" s="1" t="s">
        <v>44</v>
      </c>
      <c r="M220" s="1">
        <v>1</v>
      </c>
      <c r="N220" s="1">
        <v>3</v>
      </c>
      <c r="O220" s="1">
        <v>0</v>
      </c>
      <c r="P220" s="11" t="str">
        <f t="shared" si="3"/>
        <v>负</v>
      </c>
      <c r="Q220" s="11" t="str">
        <f t="shared" si="3"/>
        <v>负</v>
      </c>
    </row>
    <row r="221" spans="4:17" customFormat="1" hidden="1" x14ac:dyDescent="0.15">
      <c r="D221" t="s">
        <v>6</v>
      </c>
      <c r="E221" s="1">
        <v>85447</v>
      </c>
      <c r="F221" s="1">
        <v>85447</v>
      </c>
      <c r="G221" s="8">
        <v>42141.082638888889</v>
      </c>
      <c r="H221" s="1" t="s">
        <v>45</v>
      </c>
      <c r="I221" s="1">
        <v>0</v>
      </c>
      <c r="J221" s="1">
        <v>1</v>
      </c>
      <c r="K221" s="1">
        <v>0</v>
      </c>
      <c r="L221" s="1" t="s">
        <v>36</v>
      </c>
      <c r="M221" s="1">
        <v>0</v>
      </c>
      <c r="N221" s="1">
        <v>0</v>
      </c>
      <c r="O221" s="1">
        <v>0</v>
      </c>
      <c r="P221" s="11" t="str">
        <f t="shared" si="3"/>
        <v>平</v>
      </c>
      <c r="Q221" s="11" t="str">
        <f t="shared" si="3"/>
        <v>胜</v>
      </c>
    </row>
    <row r="222" spans="4:17" customFormat="1" hidden="1" x14ac:dyDescent="0.15">
      <c r="D222" t="s">
        <v>6</v>
      </c>
      <c r="E222" s="1">
        <v>86632</v>
      </c>
      <c r="F222" s="1">
        <v>86632</v>
      </c>
      <c r="G222" s="8">
        <v>42147.041666666664</v>
      </c>
      <c r="H222" s="1" t="s">
        <v>51</v>
      </c>
      <c r="I222" s="1">
        <v>0</v>
      </c>
      <c r="J222" s="1">
        <v>0</v>
      </c>
      <c r="K222" s="1">
        <v>0</v>
      </c>
      <c r="L222" s="1" t="s">
        <v>38</v>
      </c>
      <c r="M222" s="1">
        <v>1</v>
      </c>
      <c r="N222" s="1">
        <v>3</v>
      </c>
      <c r="O222" s="1">
        <v>0</v>
      </c>
      <c r="P222" s="11" t="str">
        <f t="shared" si="3"/>
        <v>负</v>
      </c>
      <c r="Q222" s="11" t="str">
        <f t="shared" si="3"/>
        <v>负</v>
      </c>
    </row>
    <row r="223" spans="4:17" customFormat="1" hidden="1" x14ac:dyDescent="0.15">
      <c r="D223" t="s">
        <v>6</v>
      </c>
      <c r="E223" s="1">
        <v>86774</v>
      </c>
      <c r="F223" s="1">
        <v>86774</v>
      </c>
      <c r="G223" s="8">
        <v>42148.999305555553</v>
      </c>
      <c r="H223" s="1" t="s">
        <v>48</v>
      </c>
      <c r="I223" s="1">
        <v>2</v>
      </c>
      <c r="J223" s="1">
        <v>4</v>
      </c>
      <c r="K223" s="1">
        <v>0</v>
      </c>
      <c r="L223" s="1" t="s">
        <v>40</v>
      </c>
      <c r="M223" s="1">
        <v>0</v>
      </c>
      <c r="N223" s="1">
        <v>0</v>
      </c>
      <c r="O223" s="1">
        <v>0</v>
      </c>
      <c r="P223" s="11" t="str">
        <f t="shared" si="3"/>
        <v>胜</v>
      </c>
      <c r="Q223" s="11" t="str">
        <f t="shared" si="3"/>
        <v>胜</v>
      </c>
    </row>
    <row r="224" spans="4:17" customFormat="1" hidden="1" x14ac:dyDescent="0.15">
      <c r="D224" t="s">
        <v>6</v>
      </c>
      <c r="E224" s="1">
        <v>86776</v>
      </c>
      <c r="F224" s="1">
        <v>86776</v>
      </c>
      <c r="G224" s="8">
        <v>42149.895833333336</v>
      </c>
      <c r="H224" s="1" t="s">
        <v>44</v>
      </c>
      <c r="I224" s="1">
        <v>2</v>
      </c>
      <c r="J224" s="1">
        <v>3</v>
      </c>
      <c r="K224" s="1">
        <v>0</v>
      </c>
      <c r="L224" s="1" t="s">
        <v>32</v>
      </c>
      <c r="M224" s="1">
        <v>0</v>
      </c>
      <c r="N224" s="1">
        <v>0</v>
      </c>
      <c r="O224" s="1">
        <v>0</v>
      </c>
      <c r="P224" s="11" t="str">
        <f t="shared" si="3"/>
        <v>胜</v>
      </c>
      <c r="Q224" s="11" t="str">
        <f t="shared" si="3"/>
        <v>胜</v>
      </c>
    </row>
    <row r="225" spans="4:17" customFormat="1" hidden="1" x14ac:dyDescent="0.15">
      <c r="D225" t="s">
        <v>6</v>
      </c>
      <c r="E225" s="1">
        <v>86777</v>
      </c>
      <c r="F225" s="1">
        <v>86777</v>
      </c>
      <c r="G225" s="8">
        <v>42149.895138888889</v>
      </c>
      <c r="H225" s="1" t="s">
        <v>53</v>
      </c>
      <c r="I225" s="1">
        <v>2</v>
      </c>
      <c r="J225" s="1">
        <v>2</v>
      </c>
      <c r="K225" s="1">
        <v>0</v>
      </c>
      <c r="L225" s="1" t="s">
        <v>54</v>
      </c>
      <c r="M225" s="1">
        <v>1</v>
      </c>
      <c r="N225" s="1">
        <v>2</v>
      </c>
      <c r="O225" s="1">
        <v>0</v>
      </c>
      <c r="P225" s="11" t="str">
        <f t="shared" si="3"/>
        <v>胜</v>
      </c>
      <c r="Q225" s="11" t="str">
        <f t="shared" si="3"/>
        <v>平</v>
      </c>
    </row>
    <row r="226" spans="4:17" customFormat="1" hidden="1" x14ac:dyDescent="0.15">
      <c r="D226" t="s">
        <v>6</v>
      </c>
      <c r="E226" s="1">
        <v>86870</v>
      </c>
      <c r="F226" s="1">
        <v>86870</v>
      </c>
      <c r="G226" s="8">
        <v>42150.000694444447</v>
      </c>
      <c r="H226" s="1" t="s">
        <v>43</v>
      </c>
      <c r="I226" s="1">
        <v>0</v>
      </c>
      <c r="J226" s="1">
        <v>0</v>
      </c>
      <c r="K226" s="1">
        <v>0</v>
      </c>
      <c r="L226" s="1" t="s">
        <v>45</v>
      </c>
      <c r="M226" s="1">
        <v>1</v>
      </c>
      <c r="N226" s="1">
        <v>4</v>
      </c>
      <c r="O226" s="1">
        <v>0</v>
      </c>
      <c r="P226" s="11" t="str">
        <f t="shared" si="3"/>
        <v>负</v>
      </c>
      <c r="Q226" s="11" t="str">
        <f t="shared" si="3"/>
        <v>负</v>
      </c>
    </row>
    <row r="227" spans="4:17" customFormat="1" hidden="1" x14ac:dyDescent="0.15">
      <c r="D227" t="s">
        <v>6</v>
      </c>
      <c r="E227" s="1">
        <v>86871</v>
      </c>
      <c r="F227" s="1">
        <v>86871</v>
      </c>
      <c r="G227" s="8">
        <v>42150</v>
      </c>
      <c r="H227" s="1" t="s">
        <v>42</v>
      </c>
      <c r="I227" s="1">
        <v>2</v>
      </c>
      <c r="J227" s="1">
        <v>2</v>
      </c>
      <c r="K227" s="1">
        <v>0</v>
      </c>
      <c r="L227" s="1" t="s">
        <v>37</v>
      </c>
      <c r="M227" s="1">
        <v>2</v>
      </c>
      <c r="N227" s="1">
        <v>3</v>
      </c>
      <c r="O227" s="1">
        <v>0</v>
      </c>
      <c r="P227" s="11" t="str">
        <f t="shared" si="3"/>
        <v>平</v>
      </c>
      <c r="Q227" s="11" t="str">
        <f t="shared" si="3"/>
        <v>负</v>
      </c>
    </row>
    <row r="228" spans="4:17" hidden="1" x14ac:dyDescent="0.15">
      <c r="D228" s="2" t="s">
        <v>6</v>
      </c>
      <c r="E228" s="6">
        <v>88439</v>
      </c>
      <c r="F228" s="6">
        <v>88439</v>
      </c>
      <c r="G228" s="24">
        <v>42156.001388888886</v>
      </c>
      <c r="H228" s="6" t="s">
        <v>32</v>
      </c>
      <c r="I228" s="6">
        <v>2</v>
      </c>
      <c r="J228" s="6">
        <v>5</v>
      </c>
      <c r="K228" s="6">
        <v>0</v>
      </c>
      <c r="L228" s="6" t="s">
        <v>51</v>
      </c>
      <c r="M228" s="6">
        <v>1</v>
      </c>
      <c r="N228" s="6">
        <v>1</v>
      </c>
      <c r="O228" s="6">
        <v>0</v>
      </c>
      <c r="P228" s="11" t="str">
        <f t="shared" si="3"/>
        <v>胜</v>
      </c>
      <c r="Q228" s="11" t="str">
        <f t="shared" si="3"/>
        <v>胜</v>
      </c>
    </row>
    <row r="229" spans="4:17" customFormat="1" hidden="1" x14ac:dyDescent="0.15">
      <c r="D229" t="s">
        <v>6</v>
      </c>
      <c r="E229" s="1">
        <v>88440</v>
      </c>
      <c r="F229" s="1">
        <v>88440</v>
      </c>
      <c r="G229" s="8">
        <v>42156</v>
      </c>
      <c r="H229" s="1" t="s">
        <v>41</v>
      </c>
      <c r="I229" s="1">
        <v>0</v>
      </c>
      <c r="J229" s="1">
        <v>0</v>
      </c>
      <c r="K229" s="1">
        <v>0</v>
      </c>
      <c r="L229" s="1" t="s">
        <v>42</v>
      </c>
      <c r="M229" s="1">
        <v>0</v>
      </c>
      <c r="N229" s="1">
        <v>1</v>
      </c>
      <c r="O229" s="1">
        <v>0</v>
      </c>
      <c r="P229" s="11" t="str">
        <f t="shared" si="3"/>
        <v>平</v>
      </c>
      <c r="Q229" s="11" t="str">
        <f t="shared" si="3"/>
        <v>负</v>
      </c>
    </row>
    <row r="230" spans="4:17" customFormat="1" hidden="1" x14ac:dyDescent="0.15">
      <c r="D230" t="s">
        <v>6</v>
      </c>
      <c r="E230" s="1">
        <v>88441</v>
      </c>
      <c r="F230" s="1">
        <v>88441</v>
      </c>
      <c r="G230" s="8">
        <v>42155.999305555553</v>
      </c>
      <c r="H230" s="1" t="s">
        <v>45</v>
      </c>
      <c r="I230" s="1">
        <v>1</v>
      </c>
      <c r="J230" s="1">
        <v>3</v>
      </c>
      <c r="K230" s="1">
        <v>0</v>
      </c>
      <c r="L230" s="1" t="s">
        <v>49</v>
      </c>
      <c r="M230" s="1">
        <v>3</v>
      </c>
      <c r="N230" s="1">
        <v>4</v>
      </c>
      <c r="O230" s="1">
        <v>0</v>
      </c>
      <c r="P230" s="11" t="str">
        <f t="shared" si="3"/>
        <v>负</v>
      </c>
      <c r="Q230" s="11" t="str">
        <f t="shared" si="3"/>
        <v>负</v>
      </c>
    </row>
    <row r="231" spans="4:17" customFormat="1" hidden="1" x14ac:dyDescent="0.15">
      <c r="D231" t="s">
        <v>6</v>
      </c>
      <c r="E231" s="1">
        <v>88442</v>
      </c>
      <c r="F231" s="1">
        <v>88442</v>
      </c>
      <c r="G231" s="8">
        <v>42156.083333333336</v>
      </c>
      <c r="H231" s="1" t="s">
        <v>37</v>
      </c>
      <c r="I231" s="1">
        <v>0</v>
      </c>
      <c r="J231" s="1">
        <v>1</v>
      </c>
      <c r="K231" s="1">
        <v>0</v>
      </c>
      <c r="L231" s="1" t="s">
        <v>53</v>
      </c>
      <c r="M231" s="1">
        <v>0</v>
      </c>
      <c r="N231" s="1">
        <v>1</v>
      </c>
      <c r="O231" s="1">
        <v>0</v>
      </c>
      <c r="P231" s="11" t="str">
        <f t="shared" si="3"/>
        <v>平</v>
      </c>
      <c r="Q231" s="11" t="str">
        <f t="shared" si="3"/>
        <v>平</v>
      </c>
    </row>
    <row r="232" spans="4:17" customFormat="1" hidden="1" x14ac:dyDescent="0.15">
      <c r="D232" t="s">
        <v>6</v>
      </c>
      <c r="E232" s="1">
        <v>88449</v>
      </c>
      <c r="F232" s="1">
        <v>88449</v>
      </c>
      <c r="G232" s="8">
        <v>42155.895833333336</v>
      </c>
      <c r="H232" s="1" t="s">
        <v>40</v>
      </c>
      <c r="I232" s="1">
        <v>0</v>
      </c>
      <c r="J232" s="1">
        <v>2</v>
      </c>
      <c r="K232" s="1">
        <v>0</v>
      </c>
      <c r="L232" s="1" t="s">
        <v>44</v>
      </c>
      <c r="M232" s="1">
        <v>0</v>
      </c>
      <c r="N232" s="1">
        <v>0</v>
      </c>
      <c r="O232" s="1">
        <v>0</v>
      </c>
      <c r="P232" s="11" t="str">
        <f t="shared" si="3"/>
        <v>平</v>
      </c>
      <c r="Q232" s="11" t="str">
        <f t="shared" si="3"/>
        <v>胜</v>
      </c>
    </row>
    <row r="233" spans="4:17" customFormat="1" hidden="1" x14ac:dyDescent="0.15">
      <c r="D233" t="s">
        <v>6</v>
      </c>
      <c r="E233" s="1">
        <v>88544</v>
      </c>
      <c r="F233" s="1">
        <v>88544</v>
      </c>
      <c r="G233" s="8">
        <v>42154.041666666664</v>
      </c>
      <c r="H233" s="1" t="s">
        <v>54</v>
      </c>
      <c r="I233" s="1">
        <v>1</v>
      </c>
      <c r="J233" s="1">
        <v>1</v>
      </c>
      <c r="K233" s="1">
        <v>0</v>
      </c>
      <c r="L233" s="1" t="s">
        <v>43</v>
      </c>
      <c r="M233" s="1">
        <v>0</v>
      </c>
      <c r="N233" s="1">
        <v>1</v>
      </c>
      <c r="O233" s="1">
        <v>0</v>
      </c>
      <c r="P233" s="11" t="str">
        <f t="shared" si="3"/>
        <v>胜</v>
      </c>
      <c r="Q233" s="11" t="str">
        <f t="shared" si="3"/>
        <v>平</v>
      </c>
    </row>
    <row r="234" spans="4:17" customFormat="1" hidden="1" x14ac:dyDescent="0.15">
      <c r="D234" t="s">
        <v>6</v>
      </c>
      <c r="E234" s="1">
        <v>88620</v>
      </c>
      <c r="F234" s="1">
        <v>88620</v>
      </c>
      <c r="G234" s="8">
        <v>42154.895138888889</v>
      </c>
      <c r="H234" s="1" t="s">
        <v>48</v>
      </c>
      <c r="I234" s="1">
        <v>0</v>
      </c>
      <c r="J234" s="1">
        <v>0</v>
      </c>
      <c r="K234" s="1">
        <v>0</v>
      </c>
      <c r="L234" s="1" t="s">
        <v>36</v>
      </c>
      <c r="M234" s="1">
        <v>0</v>
      </c>
      <c r="N234" s="1">
        <v>2</v>
      </c>
      <c r="O234" s="1">
        <v>0</v>
      </c>
      <c r="P234" s="11" t="str">
        <f t="shared" si="3"/>
        <v>平</v>
      </c>
      <c r="Q234" s="11" t="str">
        <f t="shared" si="3"/>
        <v>负</v>
      </c>
    </row>
    <row r="235" spans="4:17" customFormat="1" hidden="1" x14ac:dyDescent="0.15">
      <c r="D235" t="s">
        <v>6</v>
      </c>
      <c r="E235" s="1">
        <v>88624</v>
      </c>
      <c r="F235" s="1">
        <v>88624</v>
      </c>
      <c r="G235" s="8">
        <v>42155</v>
      </c>
      <c r="H235" s="1" t="s">
        <v>38</v>
      </c>
      <c r="I235" s="1">
        <v>3</v>
      </c>
      <c r="J235" s="1">
        <v>6</v>
      </c>
      <c r="K235" s="1">
        <v>0</v>
      </c>
      <c r="L235" s="1" t="s">
        <v>52</v>
      </c>
      <c r="M235" s="1">
        <v>1</v>
      </c>
      <c r="N235" s="1">
        <v>1</v>
      </c>
      <c r="O235" s="1">
        <v>0</v>
      </c>
      <c r="P235" s="11" t="str">
        <f t="shared" si="3"/>
        <v>胜</v>
      </c>
      <c r="Q235" s="11" t="str">
        <f t="shared" si="3"/>
        <v>胜</v>
      </c>
    </row>
    <row r="236" spans="4:17" customFormat="1" x14ac:dyDescent="0.15">
      <c r="D236" t="s">
        <v>6</v>
      </c>
      <c r="E236" s="1">
        <v>89939</v>
      </c>
      <c r="F236" s="1">
        <v>89939</v>
      </c>
      <c r="G236" s="8">
        <v>42162.999305555553</v>
      </c>
      <c r="H236" s="1" t="s">
        <v>36</v>
      </c>
      <c r="I236" s="1">
        <v>0</v>
      </c>
      <c r="J236" s="1">
        <v>0</v>
      </c>
      <c r="K236" s="1">
        <v>0</v>
      </c>
      <c r="L236" s="1" t="s">
        <v>40</v>
      </c>
      <c r="M236" s="1">
        <v>0</v>
      </c>
      <c r="N236" s="1">
        <v>1</v>
      </c>
      <c r="O236" s="1">
        <v>0</v>
      </c>
      <c r="P236" s="11" t="str">
        <f t="shared" si="3"/>
        <v>平</v>
      </c>
      <c r="Q236" s="11" t="str">
        <f t="shared" si="3"/>
        <v>负</v>
      </c>
    </row>
    <row r="237" spans="4:17" customFormat="1" hidden="1" x14ac:dyDescent="0.15">
      <c r="D237" t="s">
        <v>6</v>
      </c>
      <c r="E237" s="1">
        <v>89940</v>
      </c>
      <c r="F237" s="1">
        <v>89940</v>
      </c>
      <c r="G237" s="8">
        <v>42162.999305555553</v>
      </c>
      <c r="H237" s="1" t="s">
        <v>43</v>
      </c>
      <c r="I237" s="1">
        <v>1</v>
      </c>
      <c r="J237" s="1">
        <v>2</v>
      </c>
      <c r="K237" s="1">
        <v>0</v>
      </c>
      <c r="L237" s="1" t="s">
        <v>48</v>
      </c>
      <c r="M237" s="1">
        <v>0</v>
      </c>
      <c r="N237" s="1">
        <v>1</v>
      </c>
      <c r="O237" s="1">
        <v>0</v>
      </c>
      <c r="P237" s="11" t="str">
        <f t="shared" si="3"/>
        <v>胜</v>
      </c>
      <c r="Q237" s="11" t="str">
        <f t="shared" si="3"/>
        <v>胜</v>
      </c>
    </row>
    <row r="238" spans="4:17" customFormat="1" hidden="1" x14ac:dyDescent="0.15">
      <c r="D238" t="s">
        <v>6</v>
      </c>
      <c r="E238" s="1">
        <v>89941</v>
      </c>
      <c r="F238" s="1">
        <v>89941</v>
      </c>
      <c r="G238" s="8">
        <v>42163</v>
      </c>
      <c r="H238" s="1" t="s">
        <v>42</v>
      </c>
      <c r="I238" s="1">
        <v>1</v>
      </c>
      <c r="J238" s="1">
        <v>3</v>
      </c>
      <c r="K238" s="1">
        <v>0</v>
      </c>
      <c r="L238" s="1" t="s">
        <v>32</v>
      </c>
      <c r="M238" s="1">
        <v>1</v>
      </c>
      <c r="N238" s="1">
        <v>2</v>
      </c>
      <c r="O238" s="1">
        <v>0</v>
      </c>
      <c r="P238" s="11" t="str">
        <f t="shared" si="3"/>
        <v>平</v>
      </c>
      <c r="Q238" s="11" t="str">
        <f t="shared" si="3"/>
        <v>胜</v>
      </c>
    </row>
    <row r="239" spans="4:17" customFormat="1" hidden="1" x14ac:dyDescent="0.15">
      <c r="D239" t="s">
        <v>6</v>
      </c>
      <c r="E239" s="1">
        <v>89942</v>
      </c>
      <c r="F239" s="1">
        <v>89942</v>
      </c>
      <c r="G239" s="8">
        <v>42163</v>
      </c>
      <c r="H239" s="1" t="s">
        <v>51</v>
      </c>
      <c r="I239" s="1">
        <v>1</v>
      </c>
      <c r="J239" s="1">
        <v>1</v>
      </c>
      <c r="K239" s="1">
        <v>0</v>
      </c>
      <c r="L239" s="1" t="s">
        <v>41</v>
      </c>
      <c r="M239" s="1">
        <v>0</v>
      </c>
      <c r="N239" s="1">
        <v>1</v>
      </c>
      <c r="O239" s="1">
        <v>0</v>
      </c>
      <c r="P239" s="11" t="str">
        <f t="shared" si="3"/>
        <v>胜</v>
      </c>
      <c r="Q239" s="11" t="str">
        <f t="shared" si="3"/>
        <v>平</v>
      </c>
    </row>
    <row r="240" spans="4:17" customFormat="1" hidden="1" x14ac:dyDescent="0.15">
      <c r="D240" t="s">
        <v>6</v>
      </c>
      <c r="E240" s="1">
        <v>89944</v>
      </c>
      <c r="F240" s="1">
        <v>89944</v>
      </c>
      <c r="G240" s="8">
        <v>42163.084027777775</v>
      </c>
      <c r="H240" s="1" t="s">
        <v>44</v>
      </c>
      <c r="I240" s="1">
        <v>2</v>
      </c>
      <c r="J240" s="1">
        <v>2</v>
      </c>
      <c r="K240" s="1">
        <v>0</v>
      </c>
      <c r="L240" s="1" t="s">
        <v>45</v>
      </c>
      <c r="M240" s="1">
        <v>0</v>
      </c>
      <c r="N240" s="1">
        <v>1</v>
      </c>
      <c r="O240" s="1">
        <v>0</v>
      </c>
      <c r="P240" s="11" t="str">
        <f t="shared" si="3"/>
        <v>胜</v>
      </c>
      <c r="Q240" s="11" t="str">
        <f t="shared" si="3"/>
        <v>胜</v>
      </c>
    </row>
    <row r="241" spans="4:17" customFormat="1" hidden="1" x14ac:dyDescent="0.15">
      <c r="D241" t="s">
        <v>6</v>
      </c>
      <c r="E241" s="1">
        <v>89976</v>
      </c>
      <c r="F241" s="1">
        <v>89976</v>
      </c>
      <c r="G241" s="8">
        <v>42161.041666666664</v>
      </c>
      <c r="H241" s="1" t="s">
        <v>53</v>
      </c>
      <c r="I241" s="1">
        <v>2</v>
      </c>
      <c r="J241" s="1">
        <v>2</v>
      </c>
      <c r="K241" s="1">
        <v>0</v>
      </c>
      <c r="L241" s="1" t="s">
        <v>38</v>
      </c>
      <c r="M241" s="1">
        <v>0</v>
      </c>
      <c r="N241" s="1">
        <v>0</v>
      </c>
      <c r="O241" s="1">
        <v>0</v>
      </c>
      <c r="P241" s="11" t="str">
        <f t="shared" si="3"/>
        <v>胜</v>
      </c>
      <c r="Q241" s="11" t="str">
        <f t="shared" si="3"/>
        <v>胜</v>
      </c>
    </row>
    <row r="242" spans="4:17" customFormat="1" hidden="1" x14ac:dyDescent="0.15">
      <c r="D242" t="s">
        <v>6</v>
      </c>
      <c r="E242" s="1">
        <v>89977</v>
      </c>
      <c r="F242" s="1">
        <v>89977</v>
      </c>
      <c r="G242" s="8">
        <v>42161.895138888889</v>
      </c>
      <c r="H242" s="1" t="s">
        <v>49</v>
      </c>
      <c r="I242" s="1">
        <v>0</v>
      </c>
      <c r="J242" s="1">
        <v>1</v>
      </c>
      <c r="K242" s="1">
        <v>0</v>
      </c>
      <c r="L242" s="1" t="s">
        <v>37</v>
      </c>
      <c r="M242" s="1">
        <v>0</v>
      </c>
      <c r="N242" s="1">
        <v>2</v>
      </c>
      <c r="O242" s="1">
        <v>0</v>
      </c>
      <c r="P242" s="11" t="str">
        <f t="shared" si="3"/>
        <v>平</v>
      </c>
      <c r="Q242" s="11" t="str">
        <f t="shared" si="3"/>
        <v>负</v>
      </c>
    </row>
    <row r="243" spans="4:17" customFormat="1" hidden="1" x14ac:dyDescent="0.15">
      <c r="D243" t="s">
        <v>6</v>
      </c>
      <c r="E243" s="1">
        <v>89979</v>
      </c>
      <c r="F243" s="1">
        <v>89979</v>
      </c>
      <c r="G243" s="8">
        <v>42162</v>
      </c>
      <c r="H243" s="1" t="s">
        <v>52</v>
      </c>
      <c r="I243" s="1">
        <v>0</v>
      </c>
      <c r="J243" s="1">
        <v>0</v>
      </c>
      <c r="K243" s="1">
        <v>0</v>
      </c>
      <c r="L243" s="1" t="s">
        <v>54</v>
      </c>
      <c r="M243" s="1">
        <v>0</v>
      </c>
      <c r="N243" s="1">
        <v>1</v>
      </c>
      <c r="O243" s="1">
        <v>0</v>
      </c>
      <c r="P243" s="11" t="str">
        <f t="shared" si="3"/>
        <v>平</v>
      </c>
      <c r="Q243" s="11" t="str">
        <f t="shared" si="3"/>
        <v>负</v>
      </c>
    </row>
    <row r="244" spans="4:17" customFormat="1" hidden="1" x14ac:dyDescent="0.15">
      <c r="D244" t="s">
        <v>6</v>
      </c>
      <c r="E244" s="1">
        <v>92139</v>
      </c>
      <c r="F244" s="1">
        <v>92139</v>
      </c>
      <c r="G244" s="8">
        <v>42175.040972222225</v>
      </c>
      <c r="H244" s="1" t="s">
        <v>54</v>
      </c>
      <c r="I244" s="1">
        <v>3</v>
      </c>
      <c r="J244" s="1">
        <v>3</v>
      </c>
      <c r="K244" s="1">
        <v>0</v>
      </c>
      <c r="L244" s="1" t="s">
        <v>36</v>
      </c>
      <c r="M244" s="1">
        <v>1</v>
      </c>
      <c r="N244" s="1">
        <v>3</v>
      </c>
      <c r="O244" s="1">
        <v>0</v>
      </c>
      <c r="P244" s="11" t="str">
        <f t="shared" si="3"/>
        <v>胜</v>
      </c>
      <c r="Q244" s="11" t="str">
        <f t="shared" si="3"/>
        <v>平</v>
      </c>
    </row>
    <row r="245" spans="4:17" customFormat="1" hidden="1" x14ac:dyDescent="0.15">
      <c r="D245" t="s">
        <v>6</v>
      </c>
      <c r="E245" s="1">
        <v>92215</v>
      </c>
      <c r="F245" s="1">
        <v>92215</v>
      </c>
      <c r="G245" s="8">
        <v>42175.895833333336</v>
      </c>
      <c r="H245" s="1" t="s">
        <v>52</v>
      </c>
      <c r="I245" s="1">
        <v>0</v>
      </c>
      <c r="J245" s="1">
        <v>0</v>
      </c>
      <c r="K245" s="1">
        <v>0</v>
      </c>
      <c r="L245" s="1" t="s">
        <v>44</v>
      </c>
      <c r="M245" s="1">
        <v>0</v>
      </c>
      <c r="N245" s="1">
        <v>0</v>
      </c>
      <c r="O245" s="1">
        <v>0</v>
      </c>
      <c r="P245" s="11" t="str">
        <f t="shared" si="3"/>
        <v>平</v>
      </c>
      <c r="Q245" s="11" t="str">
        <f t="shared" si="3"/>
        <v>平</v>
      </c>
    </row>
    <row r="246" spans="4:17" customFormat="1" hidden="1" x14ac:dyDescent="0.15">
      <c r="D246" t="s">
        <v>6</v>
      </c>
      <c r="E246" s="1">
        <v>92290</v>
      </c>
      <c r="F246" s="1">
        <v>92290</v>
      </c>
      <c r="G246" s="8">
        <v>42176</v>
      </c>
      <c r="H246" s="1" t="s">
        <v>38</v>
      </c>
      <c r="I246" s="1">
        <v>0</v>
      </c>
      <c r="J246" s="1">
        <v>0</v>
      </c>
      <c r="K246" s="1">
        <v>0</v>
      </c>
      <c r="L246" s="1" t="s">
        <v>49</v>
      </c>
      <c r="M246" s="1">
        <v>0</v>
      </c>
      <c r="N246" s="1">
        <v>0</v>
      </c>
      <c r="O246" s="1">
        <v>0</v>
      </c>
      <c r="P246" s="11" t="str">
        <f t="shared" si="3"/>
        <v>平</v>
      </c>
      <c r="Q246" s="11" t="str">
        <f t="shared" si="3"/>
        <v>平</v>
      </c>
    </row>
    <row r="247" spans="4:17" hidden="1" x14ac:dyDescent="0.15">
      <c r="D247" s="2" t="s">
        <v>6</v>
      </c>
      <c r="E247" s="6">
        <v>92298</v>
      </c>
      <c r="F247" s="6">
        <v>92298</v>
      </c>
      <c r="G247" s="24">
        <v>42176.895138888889</v>
      </c>
      <c r="H247" s="6" t="s">
        <v>32</v>
      </c>
      <c r="I247" s="6">
        <v>0</v>
      </c>
      <c r="J247" s="6">
        <v>0</v>
      </c>
      <c r="K247" s="6">
        <v>0</v>
      </c>
      <c r="L247" s="6" t="s">
        <v>45</v>
      </c>
      <c r="M247" s="6">
        <v>3</v>
      </c>
      <c r="N247" s="6">
        <v>3</v>
      </c>
      <c r="O247" s="6">
        <v>0</v>
      </c>
      <c r="P247" s="11" t="str">
        <f t="shared" si="3"/>
        <v>负</v>
      </c>
      <c r="Q247" s="11" t="str">
        <f t="shared" si="3"/>
        <v>负</v>
      </c>
    </row>
    <row r="248" spans="4:17" customFormat="1" hidden="1" x14ac:dyDescent="0.15">
      <c r="D248" t="s">
        <v>6</v>
      </c>
      <c r="E248" s="1">
        <v>92395</v>
      </c>
      <c r="F248" s="1">
        <v>92395</v>
      </c>
      <c r="G248" s="8">
        <v>42177</v>
      </c>
      <c r="H248" s="1" t="s">
        <v>40</v>
      </c>
      <c r="I248" s="1">
        <v>1</v>
      </c>
      <c r="J248" s="1">
        <v>2</v>
      </c>
      <c r="K248" s="1">
        <v>0</v>
      </c>
      <c r="L248" s="1" t="s">
        <v>53</v>
      </c>
      <c r="M248" s="1">
        <v>0</v>
      </c>
      <c r="N248" s="1">
        <v>1</v>
      </c>
      <c r="O248" s="1">
        <v>0</v>
      </c>
      <c r="P248" s="11" t="str">
        <f t="shared" si="3"/>
        <v>胜</v>
      </c>
      <c r="Q248" s="11" t="str">
        <f t="shared" si="3"/>
        <v>胜</v>
      </c>
    </row>
    <row r="249" spans="4:17" customFormat="1" hidden="1" x14ac:dyDescent="0.15">
      <c r="D249" t="s">
        <v>6</v>
      </c>
      <c r="E249" s="1">
        <v>92396</v>
      </c>
      <c r="F249" s="1">
        <v>92396</v>
      </c>
      <c r="G249" s="8">
        <v>42176.999305555553</v>
      </c>
      <c r="H249" s="1" t="s">
        <v>48</v>
      </c>
      <c r="I249" s="1">
        <v>1</v>
      </c>
      <c r="J249" s="1">
        <v>1</v>
      </c>
      <c r="K249" s="1">
        <v>0</v>
      </c>
      <c r="L249" s="1" t="s">
        <v>51</v>
      </c>
      <c r="M249" s="1">
        <v>0</v>
      </c>
      <c r="N249" s="1">
        <v>1</v>
      </c>
      <c r="O249" s="1">
        <v>0</v>
      </c>
      <c r="P249" s="11" t="str">
        <f t="shared" si="3"/>
        <v>胜</v>
      </c>
      <c r="Q249" s="11" t="str">
        <f t="shared" si="3"/>
        <v>平</v>
      </c>
    </row>
    <row r="250" spans="4:17" customFormat="1" hidden="1" x14ac:dyDescent="0.15">
      <c r="D250" t="s">
        <v>6</v>
      </c>
      <c r="E250" s="1">
        <v>92403</v>
      </c>
      <c r="F250" s="1">
        <v>92403</v>
      </c>
      <c r="G250" s="8">
        <v>42177</v>
      </c>
      <c r="H250" s="1" t="s">
        <v>43</v>
      </c>
      <c r="I250" s="1">
        <v>1</v>
      </c>
      <c r="J250" s="1">
        <v>1</v>
      </c>
      <c r="K250" s="1">
        <v>0</v>
      </c>
      <c r="L250" s="1" t="s">
        <v>42</v>
      </c>
      <c r="M250" s="1">
        <v>1</v>
      </c>
      <c r="N250" s="1">
        <v>1</v>
      </c>
      <c r="O250" s="1">
        <v>0</v>
      </c>
      <c r="P250" s="11" t="str">
        <f t="shared" si="3"/>
        <v>平</v>
      </c>
      <c r="Q250" s="11" t="str">
        <f t="shared" si="3"/>
        <v>平</v>
      </c>
    </row>
    <row r="251" spans="4:17" customFormat="1" hidden="1" x14ac:dyDescent="0.15">
      <c r="D251" t="s">
        <v>6</v>
      </c>
      <c r="E251" s="1">
        <v>92405</v>
      </c>
      <c r="F251" s="1">
        <v>92405</v>
      </c>
      <c r="G251" s="8">
        <v>42177.083333333336</v>
      </c>
      <c r="H251" s="1" t="s">
        <v>41</v>
      </c>
      <c r="I251" s="1">
        <v>0</v>
      </c>
      <c r="J251" s="1">
        <v>0</v>
      </c>
      <c r="K251" s="1">
        <v>0</v>
      </c>
      <c r="L251" s="1" t="s">
        <v>37</v>
      </c>
      <c r="M251" s="1">
        <v>1</v>
      </c>
      <c r="N251" s="1">
        <v>2</v>
      </c>
      <c r="O251" s="1">
        <v>0</v>
      </c>
      <c r="P251" s="11" t="str">
        <f t="shared" si="3"/>
        <v>负</v>
      </c>
      <c r="Q251" s="11" t="str">
        <f t="shared" si="3"/>
        <v>负</v>
      </c>
    </row>
    <row r="252" spans="4:17" customFormat="1" x14ac:dyDescent="0.15">
      <c r="D252" t="s">
        <v>6</v>
      </c>
      <c r="E252" s="1">
        <v>93334</v>
      </c>
      <c r="F252" s="1">
        <v>93334</v>
      </c>
      <c r="G252" s="8">
        <v>42182.895138888889</v>
      </c>
      <c r="H252" s="1" t="s">
        <v>36</v>
      </c>
      <c r="I252" s="1">
        <v>2</v>
      </c>
      <c r="J252" s="1">
        <v>3</v>
      </c>
      <c r="K252" s="1">
        <v>0</v>
      </c>
      <c r="L252" s="1" t="s">
        <v>43</v>
      </c>
      <c r="M252" s="1">
        <v>1</v>
      </c>
      <c r="N252" s="1">
        <v>1</v>
      </c>
      <c r="O252" s="1">
        <v>0</v>
      </c>
      <c r="P252" s="11" t="str">
        <f t="shared" si="3"/>
        <v>胜</v>
      </c>
      <c r="Q252" s="11" t="str">
        <f t="shared" si="3"/>
        <v>胜</v>
      </c>
    </row>
    <row r="253" spans="4:17" customFormat="1" hidden="1" x14ac:dyDescent="0.15">
      <c r="D253" t="s">
        <v>6</v>
      </c>
      <c r="E253" s="1">
        <v>93337</v>
      </c>
      <c r="F253" s="1">
        <v>93337</v>
      </c>
      <c r="G253" s="8">
        <v>42183</v>
      </c>
      <c r="H253" s="1" t="s">
        <v>37</v>
      </c>
      <c r="I253" s="1">
        <v>1</v>
      </c>
      <c r="J253" s="1">
        <v>1</v>
      </c>
      <c r="K253" s="1">
        <v>0</v>
      </c>
      <c r="L253" s="1" t="s">
        <v>38</v>
      </c>
      <c r="M253" s="1">
        <v>1</v>
      </c>
      <c r="N253" s="1">
        <v>1</v>
      </c>
      <c r="O253" s="1">
        <v>0</v>
      </c>
      <c r="P253" s="11" t="str">
        <f t="shared" si="3"/>
        <v>平</v>
      </c>
      <c r="Q253" s="11" t="str">
        <f t="shared" si="3"/>
        <v>平</v>
      </c>
    </row>
    <row r="254" spans="4:17" customFormat="1" hidden="1" x14ac:dyDescent="0.15">
      <c r="D254" t="s">
        <v>6</v>
      </c>
      <c r="E254" s="1">
        <v>93338</v>
      </c>
      <c r="F254" s="1">
        <v>93338</v>
      </c>
      <c r="G254" s="8">
        <v>42183.084027777775</v>
      </c>
      <c r="H254" s="1" t="s">
        <v>42</v>
      </c>
      <c r="I254" s="1">
        <v>2</v>
      </c>
      <c r="J254" s="1">
        <v>3</v>
      </c>
      <c r="K254" s="1">
        <v>0</v>
      </c>
      <c r="L254" s="1" t="s">
        <v>40</v>
      </c>
      <c r="M254" s="1">
        <v>0</v>
      </c>
      <c r="N254" s="1">
        <v>2</v>
      </c>
      <c r="O254" s="1">
        <v>0</v>
      </c>
      <c r="P254" s="11" t="str">
        <f t="shared" si="3"/>
        <v>胜</v>
      </c>
      <c r="Q254" s="11" t="str">
        <f t="shared" si="3"/>
        <v>胜</v>
      </c>
    </row>
    <row r="255" spans="4:17" customFormat="1" hidden="1" x14ac:dyDescent="0.15">
      <c r="D255" t="s">
        <v>6</v>
      </c>
      <c r="E255" s="1">
        <v>93434</v>
      </c>
      <c r="F255" s="1">
        <v>93434</v>
      </c>
      <c r="G255" s="8">
        <v>42183.895138888889</v>
      </c>
      <c r="H255" s="1" t="s">
        <v>45</v>
      </c>
      <c r="I255" s="1">
        <v>1</v>
      </c>
      <c r="J255" s="1">
        <v>3</v>
      </c>
      <c r="K255" s="1">
        <v>0</v>
      </c>
      <c r="L255" s="1" t="s">
        <v>41</v>
      </c>
      <c r="M255" s="1">
        <v>1</v>
      </c>
      <c r="N255" s="1">
        <v>1</v>
      </c>
      <c r="O255" s="1">
        <v>0</v>
      </c>
      <c r="P255" s="11" t="str">
        <f t="shared" si="3"/>
        <v>平</v>
      </c>
      <c r="Q255" s="11" t="str">
        <f t="shared" si="3"/>
        <v>胜</v>
      </c>
    </row>
    <row r="256" spans="4:17" customFormat="1" hidden="1" x14ac:dyDescent="0.15">
      <c r="D256" t="s">
        <v>6</v>
      </c>
      <c r="E256" s="1">
        <v>93454</v>
      </c>
      <c r="F256" s="1">
        <v>93454</v>
      </c>
      <c r="G256" s="8">
        <v>42183.999305555553</v>
      </c>
      <c r="H256" s="1" t="s">
        <v>51</v>
      </c>
      <c r="I256" s="1">
        <v>0</v>
      </c>
      <c r="J256" s="1">
        <v>2</v>
      </c>
      <c r="K256" s="1">
        <v>0</v>
      </c>
      <c r="L256" s="1" t="s">
        <v>52</v>
      </c>
      <c r="M256" s="1">
        <v>2</v>
      </c>
      <c r="N256" s="1">
        <v>2</v>
      </c>
      <c r="O256" s="1">
        <v>0</v>
      </c>
      <c r="P256" s="11" t="str">
        <f t="shared" si="3"/>
        <v>负</v>
      </c>
      <c r="Q256" s="11" t="str">
        <f t="shared" si="3"/>
        <v>平</v>
      </c>
    </row>
    <row r="257" spans="4:17" customFormat="1" hidden="1" x14ac:dyDescent="0.15">
      <c r="D257" t="s">
        <v>6</v>
      </c>
      <c r="E257" s="1">
        <v>93455</v>
      </c>
      <c r="F257" s="1">
        <v>93455</v>
      </c>
      <c r="G257" s="8">
        <v>42183.999305555553</v>
      </c>
      <c r="H257" s="1" t="s">
        <v>53</v>
      </c>
      <c r="I257" s="1">
        <v>0</v>
      </c>
      <c r="J257" s="1">
        <v>2</v>
      </c>
      <c r="K257" s="1">
        <v>0</v>
      </c>
      <c r="L257" s="1" t="s">
        <v>48</v>
      </c>
      <c r="M257" s="1">
        <v>0</v>
      </c>
      <c r="N257" s="1">
        <v>0</v>
      </c>
      <c r="O257" s="1">
        <v>0</v>
      </c>
      <c r="P257" s="11" t="str">
        <f t="shared" si="3"/>
        <v>平</v>
      </c>
      <c r="Q257" s="11" t="str">
        <f t="shared" si="3"/>
        <v>胜</v>
      </c>
    </row>
    <row r="258" spans="4:17" customFormat="1" hidden="1" x14ac:dyDescent="0.15">
      <c r="D258" t="s">
        <v>6</v>
      </c>
      <c r="E258" s="1">
        <v>93460</v>
      </c>
      <c r="F258" s="1">
        <v>93460</v>
      </c>
      <c r="G258" s="8">
        <v>42184.083333333336</v>
      </c>
      <c r="H258" s="1" t="s">
        <v>49</v>
      </c>
      <c r="I258" s="1">
        <v>0</v>
      </c>
      <c r="J258" s="1">
        <v>1</v>
      </c>
      <c r="K258" s="1">
        <v>0</v>
      </c>
      <c r="L258" s="1" t="s">
        <v>32</v>
      </c>
      <c r="M258" s="1">
        <v>0</v>
      </c>
      <c r="N258" s="1">
        <v>2</v>
      </c>
      <c r="O258" s="1">
        <v>0</v>
      </c>
      <c r="P258" s="11" t="str">
        <f t="shared" si="3"/>
        <v>平</v>
      </c>
      <c r="Q258" s="11" t="str">
        <f t="shared" si="3"/>
        <v>负</v>
      </c>
    </row>
    <row r="259" spans="4:17" customFormat="1" hidden="1" x14ac:dyDescent="0.15">
      <c r="D259" t="s">
        <v>6</v>
      </c>
      <c r="E259" s="1">
        <v>93475</v>
      </c>
      <c r="F259" s="1">
        <v>93475</v>
      </c>
      <c r="G259" s="8">
        <v>42184</v>
      </c>
      <c r="H259" s="1" t="s">
        <v>44</v>
      </c>
      <c r="I259" s="1">
        <v>0</v>
      </c>
      <c r="J259" s="1">
        <v>1</v>
      </c>
      <c r="K259" s="1">
        <v>0</v>
      </c>
      <c r="L259" s="1" t="s">
        <v>54</v>
      </c>
      <c r="M259" s="1">
        <v>1</v>
      </c>
      <c r="N259" s="1">
        <v>1</v>
      </c>
      <c r="O259" s="1">
        <v>0</v>
      </c>
      <c r="P259" s="11" t="str">
        <f t="shared" si="3"/>
        <v>负</v>
      </c>
      <c r="Q259" s="11" t="str">
        <f t="shared" si="3"/>
        <v>平</v>
      </c>
    </row>
    <row r="260" spans="4:17" customFormat="1" hidden="1" x14ac:dyDescent="0.15">
      <c r="D260" t="s">
        <v>6</v>
      </c>
      <c r="E260" s="1">
        <v>94527</v>
      </c>
      <c r="F260" s="1">
        <v>94527</v>
      </c>
      <c r="G260" s="8">
        <v>42190.895833333336</v>
      </c>
      <c r="H260" s="1" t="s">
        <v>40</v>
      </c>
      <c r="I260" s="1">
        <v>2</v>
      </c>
      <c r="J260" s="1">
        <v>4</v>
      </c>
      <c r="K260" s="1">
        <v>0</v>
      </c>
      <c r="L260" s="1" t="s">
        <v>45</v>
      </c>
      <c r="M260" s="1">
        <v>1</v>
      </c>
      <c r="N260" s="1">
        <v>1</v>
      </c>
      <c r="O260" s="1">
        <v>0</v>
      </c>
      <c r="P260" s="11" t="str">
        <f t="shared" si="3"/>
        <v>胜</v>
      </c>
      <c r="Q260" s="11" t="str">
        <f t="shared" si="3"/>
        <v>胜</v>
      </c>
    </row>
    <row r="261" spans="4:17" customFormat="1" hidden="1" x14ac:dyDescent="0.15">
      <c r="D261" t="s">
        <v>6</v>
      </c>
      <c r="E261" s="1">
        <v>94534</v>
      </c>
      <c r="F261" s="1">
        <v>94534</v>
      </c>
      <c r="G261" s="8">
        <v>42190.999305555553</v>
      </c>
      <c r="H261" s="1" t="s">
        <v>52</v>
      </c>
      <c r="I261" s="1">
        <v>0</v>
      </c>
      <c r="J261" s="1">
        <v>1</v>
      </c>
      <c r="K261" s="1">
        <v>0</v>
      </c>
      <c r="L261" s="1" t="s">
        <v>53</v>
      </c>
      <c r="M261" s="1">
        <v>0</v>
      </c>
      <c r="N261" s="1">
        <v>1</v>
      </c>
      <c r="O261" s="1">
        <v>0</v>
      </c>
      <c r="P261" s="11" t="str">
        <f t="shared" si="3"/>
        <v>平</v>
      </c>
      <c r="Q261" s="11" t="str">
        <f t="shared" si="3"/>
        <v>平</v>
      </c>
    </row>
    <row r="262" spans="4:17" customFormat="1" hidden="1" x14ac:dyDescent="0.15">
      <c r="D262" t="s">
        <v>6</v>
      </c>
      <c r="E262" s="1">
        <v>94535</v>
      </c>
      <c r="F262" s="1">
        <v>94535</v>
      </c>
      <c r="G262" s="8">
        <v>42190.999305555553</v>
      </c>
      <c r="H262" s="1" t="s">
        <v>43</v>
      </c>
      <c r="I262" s="1">
        <v>0</v>
      </c>
      <c r="J262" s="1">
        <v>4</v>
      </c>
      <c r="K262" s="1">
        <v>0</v>
      </c>
      <c r="L262" s="1" t="s">
        <v>51</v>
      </c>
      <c r="M262" s="1">
        <v>2</v>
      </c>
      <c r="N262" s="1">
        <v>2</v>
      </c>
      <c r="O262" s="1">
        <v>0</v>
      </c>
      <c r="P262" s="11" t="str">
        <f t="shared" si="3"/>
        <v>负</v>
      </c>
      <c r="Q262" s="11" t="str">
        <f t="shared" si="3"/>
        <v>胜</v>
      </c>
    </row>
    <row r="263" spans="4:17" customFormat="1" hidden="1" x14ac:dyDescent="0.15">
      <c r="D263" t="s">
        <v>6</v>
      </c>
      <c r="E263" s="1">
        <v>94536</v>
      </c>
      <c r="F263" s="1">
        <v>94536</v>
      </c>
      <c r="G263" s="8">
        <v>42191</v>
      </c>
      <c r="H263" s="1" t="s">
        <v>54</v>
      </c>
      <c r="I263" s="1">
        <v>0</v>
      </c>
      <c r="J263" s="1">
        <v>1</v>
      </c>
      <c r="K263" s="1">
        <v>0</v>
      </c>
      <c r="L263" s="1" t="s">
        <v>49</v>
      </c>
      <c r="M263" s="1">
        <v>1</v>
      </c>
      <c r="N263" s="1">
        <v>2</v>
      </c>
      <c r="O263" s="1">
        <v>0</v>
      </c>
      <c r="P263" s="11" t="str">
        <f t="shared" si="3"/>
        <v>负</v>
      </c>
      <c r="Q263" s="11" t="str">
        <f t="shared" si="3"/>
        <v>负</v>
      </c>
    </row>
    <row r="264" spans="4:17" hidden="1" x14ac:dyDescent="0.15">
      <c r="D264" s="2" t="s">
        <v>6</v>
      </c>
      <c r="E264" s="6">
        <v>94537</v>
      </c>
      <c r="F264" s="6">
        <v>94537</v>
      </c>
      <c r="G264" s="24">
        <v>42191.083333333336</v>
      </c>
      <c r="H264" s="6" t="s">
        <v>32</v>
      </c>
      <c r="I264" s="6">
        <v>1</v>
      </c>
      <c r="J264" s="6">
        <v>1</v>
      </c>
      <c r="K264" s="6">
        <v>0</v>
      </c>
      <c r="L264" s="6" t="s">
        <v>37</v>
      </c>
      <c r="M264" s="6">
        <v>0</v>
      </c>
      <c r="N264" s="6">
        <v>0</v>
      </c>
      <c r="O264" s="6">
        <v>0</v>
      </c>
      <c r="P264" s="11" t="str">
        <f t="shared" si="3"/>
        <v>胜</v>
      </c>
      <c r="Q264" s="11" t="str">
        <f t="shared" si="3"/>
        <v>胜</v>
      </c>
    </row>
    <row r="265" spans="4:17" customFormat="1" hidden="1" x14ac:dyDescent="0.15">
      <c r="D265" t="s">
        <v>6</v>
      </c>
      <c r="E265" s="1">
        <v>94564</v>
      </c>
      <c r="F265" s="1">
        <v>94564</v>
      </c>
      <c r="G265" s="8">
        <v>42189.041666666664</v>
      </c>
      <c r="H265" s="1" t="s">
        <v>41</v>
      </c>
      <c r="I265" s="1">
        <v>0</v>
      </c>
      <c r="J265" s="1">
        <v>1</v>
      </c>
      <c r="K265" s="1">
        <v>0</v>
      </c>
      <c r="L265" s="1" t="s">
        <v>38</v>
      </c>
      <c r="M265" s="1">
        <v>2</v>
      </c>
      <c r="N265" s="1">
        <v>4</v>
      </c>
      <c r="O265" s="1">
        <v>0</v>
      </c>
      <c r="P265" s="11" t="str">
        <f t="shared" si="3"/>
        <v>负</v>
      </c>
      <c r="Q265" s="11" t="str">
        <f t="shared" si="3"/>
        <v>负</v>
      </c>
    </row>
    <row r="266" spans="4:17" customFormat="1" hidden="1" x14ac:dyDescent="0.15">
      <c r="D266" t="s">
        <v>6</v>
      </c>
      <c r="E266" s="1">
        <v>94566</v>
      </c>
      <c r="F266" s="1">
        <v>94566</v>
      </c>
      <c r="G266" s="8">
        <v>42189.999305555553</v>
      </c>
      <c r="H266" s="1" t="s">
        <v>48</v>
      </c>
      <c r="I266" s="1">
        <v>2</v>
      </c>
      <c r="J266" s="1">
        <v>3</v>
      </c>
      <c r="K266" s="1">
        <v>0</v>
      </c>
      <c r="L266" s="1" t="s">
        <v>44</v>
      </c>
      <c r="M266" s="1">
        <v>1</v>
      </c>
      <c r="N266" s="1">
        <v>3</v>
      </c>
      <c r="O266" s="1">
        <v>0</v>
      </c>
      <c r="P266" s="11" t="str">
        <f t="shared" si="3"/>
        <v>胜</v>
      </c>
      <c r="Q266" s="11" t="str">
        <f t="shared" si="3"/>
        <v>平</v>
      </c>
    </row>
    <row r="267" spans="4:17" customFormat="1" x14ac:dyDescent="0.15">
      <c r="D267" t="s">
        <v>6</v>
      </c>
      <c r="E267" s="1">
        <v>94569</v>
      </c>
      <c r="F267" s="1">
        <v>94569</v>
      </c>
      <c r="G267" s="8">
        <v>42189.895833333336</v>
      </c>
      <c r="H267" s="1" t="s">
        <v>36</v>
      </c>
      <c r="I267" s="1">
        <v>2</v>
      </c>
      <c r="J267" s="1">
        <v>4</v>
      </c>
      <c r="K267" s="1">
        <v>0</v>
      </c>
      <c r="L267" s="1" t="s">
        <v>42</v>
      </c>
      <c r="M267" s="1">
        <v>0</v>
      </c>
      <c r="N267" s="1">
        <v>1</v>
      </c>
      <c r="O267" s="1">
        <v>0</v>
      </c>
      <c r="P267" s="11" t="str">
        <f t="shared" si="3"/>
        <v>胜</v>
      </c>
      <c r="Q267" s="11" t="str">
        <f t="shared" si="3"/>
        <v>胜</v>
      </c>
    </row>
    <row r="268" spans="4:17" customFormat="1" hidden="1" x14ac:dyDescent="0.15">
      <c r="D268" t="s">
        <v>6</v>
      </c>
      <c r="E268" s="1">
        <v>95764</v>
      </c>
      <c r="F268" s="1">
        <v>95764</v>
      </c>
      <c r="G268" s="8">
        <v>42197.999305555553</v>
      </c>
      <c r="H268" s="1" t="s">
        <v>51</v>
      </c>
      <c r="I268" s="1">
        <v>0</v>
      </c>
      <c r="J268" s="1">
        <v>1</v>
      </c>
      <c r="K268" s="1">
        <v>0</v>
      </c>
      <c r="L268" s="1" t="s">
        <v>32</v>
      </c>
      <c r="M268" s="1">
        <v>1</v>
      </c>
      <c r="N268" s="1">
        <v>2</v>
      </c>
      <c r="O268" s="1">
        <v>0</v>
      </c>
      <c r="P268" s="11" t="str">
        <f t="shared" si="3"/>
        <v>负</v>
      </c>
      <c r="Q268" s="11" t="str">
        <f t="shared" si="3"/>
        <v>负</v>
      </c>
    </row>
    <row r="269" spans="4:17" customFormat="1" hidden="1" x14ac:dyDescent="0.15">
      <c r="D269" t="s">
        <v>6</v>
      </c>
      <c r="E269" s="1">
        <v>95765</v>
      </c>
      <c r="F269" s="1">
        <v>95765</v>
      </c>
      <c r="G269" s="8">
        <v>42198</v>
      </c>
      <c r="H269" s="1" t="s">
        <v>37</v>
      </c>
      <c r="I269" s="1">
        <v>1</v>
      </c>
      <c r="J269" s="1">
        <v>3</v>
      </c>
      <c r="K269" s="1">
        <v>0</v>
      </c>
      <c r="L269" s="1" t="s">
        <v>54</v>
      </c>
      <c r="M269" s="1">
        <v>0</v>
      </c>
      <c r="N269" s="1">
        <v>0</v>
      </c>
      <c r="O269" s="1">
        <v>0</v>
      </c>
      <c r="P269" s="11" t="str">
        <f t="shared" ref="P269:Q332" si="4">IF(I269=M269,"平",IF(I269&gt;M269,"胜","负"))</f>
        <v>胜</v>
      </c>
      <c r="Q269" s="11" t="str">
        <f t="shared" si="4"/>
        <v>胜</v>
      </c>
    </row>
    <row r="270" spans="4:17" customFormat="1" hidden="1" x14ac:dyDescent="0.15">
      <c r="D270" t="s">
        <v>6</v>
      </c>
      <c r="E270" s="1">
        <v>95766</v>
      </c>
      <c r="F270" s="1">
        <v>95766</v>
      </c>
      <c r="G270" s="8">
        <v>42198</v>
      </c>
      <c r="H270" s="1" t="s">
        <v>53</v>
      </c>
      <c r="I270" s="1">
        <v>1</v>
      </c>
      <c r="J270" s="1">
        <v>2</v>
      </c>
      <c r="K270" s="1">
        <v>0</v>
      </c>
      <c r="L270" s="1" t="s">
        <v>36</v>
      </c>
      <c r="M270" s="1">
        <v>1</v>
      </c>
      <c r="N270" s="1">
        <v>1</v>
      </c>
      <c r="O270" s="1">
        <v>0</v>
      </c>
      <c r="P270" s="11" t="str">
        <f t="shared" si="4"/>
        <v>平</v>
      </c>
      <c r="Q270" s="11" t="str">
        <f t="shared" si="4"/>
        <v>胜</v>
      </c>
    </row>
    <row r="271" spans="4:17" customFormat="1" hidden="1" x14ac:dyDescent="0.15">
      <c r="D271" t="s">
        <v>6</v>
      </c>
      <c r="E271" s="1">
        <v>95768</v>
      </c>
      <c r="F271" s="1">
        <v>95768</v>
      </c>
      <c r="G271" s="8">
        <v>42198.084027777775</v>
      </c>
      <c r="H271" s="1" t="s">
        <v>44</v>
      </c>
      <c r="I271" s="1">
        <v>0</v>
      </c>
      <c r="J271" s="1">
        <v>1</v>
      </c>
      <c r="K271" s="1">
        <v>0</v>
      </c>
      <c r="L271" s="1" t="s">
        <v>40</v>
      </c>
      <c r="M271" s="1">
        <v>0</v>
      </c>
      <c r="N271" s="1">
        <v>2</v>
      </c>
      <c r="O271" s="1">
        <v>0</v>
      </c>
      <c r="P271" s="11" t="str">
        <f t="shared" si="4"/>
        <v>平</v>
      </c>
      <c r="Q271" s="11" t="str">
        <f t="shared" si="4"/>
        <v>负</v>
      </c>
    </row>
    <row r="272" spans="4:17" customFormat="1" hidden="1" x14ac:dyDescent="0.15">
      <c r="D272" t="s">
        <v>6</v>
      </c>
      <c r="E272" s="1">
        <v>95841</v>
      </c>
      <c r="F272" s="1">
        <v>95841</v>
      </c>
      <c r="G272" s="8">
        <v>42196.041666666664</v>
      </c>
      <c r="H272" s="1" t="s">
        <v>38</v>
      </c>
      <c r="I272" s="1">
        <v>0</v>
      </c>
      <c r="J272" s="1">
        <v>0</v>
      </c>
      <c r="K272" s="1">
        <v>0</v>
      </c>
      <c r="L272" s="1" t="s">
        <v>48</v>
      </c>
      <c r="M272" s="1">
        <v>1</v>
      </c>
      <c r="N272" s="1">
        <v>1</v>
      </c>
      <c r="O272" s="1">
        <v>0</v>
      </c>
      <c r="P272" s="11" t="str">
        <f t="shared" si="4"/>
        <v>负</v>
      </c>
      <c r="Q272" s="11" t="str">
        <f t="shared" si="4"/>
        <v>负</v>
      </c>
    </row>
    <row r="273" spans="4:17" customFormat="1" hidden="1" x14ac:dyDescent="0.15">
      <c r="D273" t="s">
        <v>6</v>
      </c>
      <c r="E273" s="1">
        <v>96016</v>
      </c>
      <c r="F273" s="1">
        <v>96016</v>
      </c>
      <c r="G273" s="8">
        <v>42197.896527777775</v>
      </c>
      <c r="H273" s="1" t="s">
        <v>42</v>
      </c>
      <c r="I273" s="1">
        <v>0</v>
      </c>
      <c r="J273" s="1">
        <v>0</v>
      </c>
      <c r="K273" s="1">
        <v>0</v>
      </c>
      <c r="L273" s="1" t="s">
        <v>41</v>
      </c>
      <c r="M273" s="1">
        <v>0</v>
      </c>
      <c r="N273" s="1">
        <v>0</v>
      </c>
      <c r="O273" s="1">
        <v>0</v>
      </c>
      <c r="P273" s="11" t="str">
        <f t="shared" si="4"/>
        <v>平</v>
      </c>
      <c r="Q273" s="11" t="str">
        <f t="shared" si="4"/>
        <v>平</v>
      </c>
    </row>
    <row r="274" spans="4:17" customFormat="1" hidden="1" x14ac:dyDescent="0.15">
      <c r="D274" t="s">
        <v>6</v>
      </c>
      <c r="E274" s="1">
        <v>96287</v>
      </c>
      <c r="F274" s="1">
        <v>96287</v>
      </c>
      <c r="G274" s="8">
        <v>42197</v>
      </c>
      <c r="H274" s="1" t="s">
        <v>49</v>
      </c>
      <c r="I274" s="1">
        <v>2</v>
      </c>
      <c r="J274" s="1">
        <v>2</v>
      </c>
      <c r="K274" s="1">
        <v>0</v>
      </c>
      <c r="L274" s="1" t="s">
        <v>52</v>
      </c>
      <c r="M274" s="1">
        <v>0</v>
      </c>
      <c r="N274" s="1">
        <v>0</v>
      </c>
      <c r="O274" s="1">
        <v>0</v>
      </c>
      <c r="P274" s="11" t="str">
        <f t="shared" si="4"/>
        <v>胜</v>
      </c>
      <c r="Q274" s="11" t="str">
        <f t="shared" si="4"/>
        <v>胜</v>
      </c>
    </row>
    <row r="275" spans="4:17" customFormat="1" hidden="1" x14ac:dyDescent="0.15">
      <c r="D275" t="s">
        <v>6</v>
      </c>
      <c r="E275" s="1">
        <v>96396</v>
      </c>
      <c r="F275" s="1">
        <v>96396</v>
      </c>
      <c r="G275" s="8">
        <v>42196.895833333336</v>
      </c>
      <c r="H275" s="1" t="s">
        <v>45</v>
      </c>
      <c r="I275" s="1">
        <v>3</v>
      </c>
      <c r="J275" s="1">
        <v>4</v>
      </c>
      <c r="K275" s="1">
        <v>0</v>
      </c>
      <c r="L275" s="1" t="s">
        <v>43</v>
      </c>
      <c r="M275" s="1">
        <v>0</v>
      </c>
      <c r="N275" s="1">
        <v>1</v>
      </c>
      <c r="O275" s="1">
        <v>0</v>
      </c>
      <c r="P275" s="11" t="str">
        <f t="shared" si="4"/>
        <v>胜</v>
      </c>
      <c r="Q275" s="11" t="str">
        <f t="shared" si="4"/>
        <v>胜</v>
      </c>
    </row>
    <row r="276" spans="4:17" customFormat="1" hidden="1" x14ac:dyDescent="0.15">
      <c r="D276" t="s">
        <v>6</v>
      </c>
      <c r="E276" s="1">
        <v>97590</v>
      </c>
      <c r="F276" s="1">
        <v>97590</v>
      </c>
      <c r="G276" s="8">
        <v>42204</v>
      </c>
      <c r="H276" s="1" t="s">
        <v>38</v>
      </c>
      <c r="I276" s="1">
        <v>1</v>
      </c>
      <c r="J276" s="1">
        <v>1</v>
      </c>
      <c r="K276" s="1">
        <v>0</v>
      </c>
      <c r="L276" s="1" t="s">
        <v>32</v>
      </c>
      <c r="M276" s="1">
        <v>2</v>
      </c>
      <c r="N276" s="1">
        <v>2</v>
      </c>
      <c r="O276" s="1">
        <v>0</v>
      </c>
      <c r="P276" s="11" t="str">
        <f t="shared" si="4"/>
        <v>负</v>
      </c>
      <c r="Q276" s="11" t="str">
        <f t="shared" si="4"/>
        <v>负</v>
      </c>
    </row>
    <row r="277" spans="4:17" customFormat="1" x14ac:dyDescent="0.15">
      <c r="D277" t="s">
        <v>6</v>
      </c>
      <c r="E277" s="1">
        <v>98724</v>
      </c>
      <c r="F277" s="1">
        <v>98724</v>
      </c>
      <c r="G277" s="8">
        <v>42210.040972222225</v>
      </c>
      <c r="H277" s="1" t="s">
        <v>36</v>
      </c>
      <c r="I277" s="1">
        <v>0</v>
      </c>
      <c r="J277" s="1">
        <v>0</v>
      </c>
      <c r="K277" s="1">
        <v>0</v>
      </c>
      <c r="L277" s="1" t="s">
        <v>45</v>
      </c>
      <c r="M277" s="1">
        <v>3</v>
      </c>
      <c r="N277" s="1">
        <v>3</v>
      </c>
      <c r="O277" s="1">
        <v>0</v>
      </c>
      <c r="P277" s="11" t="str">
        <f t="shared" si="4"/>
        <v>负</v>
      </c>
      <c r="Q277" s="11" t="str">
        <f t="shared" si="4"/>
        <v>负</v>
      </c>
    </row>
    <row r="278" spans="4:17" hidden="1" x14ac:dyDescent="0.15">
      <c r="D278" s="2" t="s">
        <v>6</v>
      </c>
      <c r="E278" s="6">
        <v>99064</v>
      </c>
      <c r="F278" s="6">
        <v>99064</v>
      </c>
      <c r="G278" s="24">
        <v>42211.895833333336</v>
      </c>
      <c r="H278" s="6" t="s">
        <v>32</v>
      </c>
      <c r="I278" s="6">
        <v>0</v>
      </c>
      <c r="J278" s="6">
        <v>1</v>
      </c>
      <c r="K278" s="6">
        <v>0</v>
      </c>
      <c r="L278" s="6" t="s">
        <v>43</v>
      </c>
      <c r="M278" s="6">
        <v>0</v>
      </c>
      <c r="N278" s="6">
        <v>0</v>
      </c>
      <c r="O278" s="6">
        <v>0</v>
      </c>
      <c r="P278" s="11" t="str">
        <f t="shared" si="4"/>
        <v>平</v>
      </c>
      <c r="Q278" s="11" t="str">
        <f t="shared" si="4"/>
        <v>胜</v>
      </c>
    </row>
    <row r="279" spans="4:17" customFormat="1" hidden="1" x14ac:dyDescent="0.15">
      <c r="D279" t="s">
        <v>6</v>
      </c>
      <c r="E279" s="1">
        <v>99075</v>
      </c>
      <c r="F279" s="1">
        <v>99075</v>
      </c>
      <c r="G279" s="8">
        <v>42212</v>
      </c>
      <c r="H279" s="1" t="s">
        <v>41</v>
      </c>
      <c r="I279" s="1">
        <v>1</v>
      </c>
      <c r="J279" s="1">
        <v>2</v>
      </c>
      <c r="K279" s="1">
        <v>0</v>
      </c>
      <c r="L279" s="1" t="s">
        <v>51</v>
      </c>
      <c r="M279" s="1">
        <v>0</v>
      </c>
      <c r="N279" s="1">
        <v>2</v>
      </c>
      <c r="O279" s="1">
        <v>0</v>
      </c>
      <c r="P279" s="11" t="str">
        <f t="shared" si="4"/>
        <v>胜</v>
      </c>
      <c r="Q279" s="11" t="str">
        <f t="shared" si="4"/>
        <v>平</v>
      </c>
    </row>
    <row r="280" spans="4:17" customFormat="1" hidden="1" x14ac:dyDescent="0.15">
      <c r="D280" t="s">
        <v>6</v>
      </c>
      <c r="E280" s="1">
        <v>99076</v>
      </c>
      <c r="F280" s="1">
        <v>99076</v>
      </c>
      <c r="G280" s="8">
        <v>42211.999305555553</v>
      </c>
      <c r="H280" s="1" t="s">
        <v>54</v>
      </c>
      <c r="I280" s="1">
        <v>2</v>
      </c>
      <c r="J280" s="1">
        <v>3</v>
      </c>
      <c r="K280" s="1">
        <v>0</v>
      </c>
      <c r="L280" s="1" t="s">
        <v>53</v>
      </c>
      <c r="M280" s="1">
        <v>1</v>
      </c>
      <c r="N280" s="1">
        <v>2</v>
      </c>
      <c r="O280" s="1">
        <v>0</v>
      </c>
      <c r="P280" s="11" t="str">
        <f t="shared" si="4"/>
        <v>胜</v>
      </c>
      <c r="Q280" s="11" t="str">
        <f t="shared" si="4"/>
        <v>胜</v>
      </c>
    </row>
    <row r="281" spans="4:17" customFormat="1" hidden="1" x14ac:dyDescent="0.15">
      <c r="D281" t="s">
        <v>6</v>
      </c>
      <c r="E281" s="1">
        <v>99083</v>
      </c>
      <c r="F281" s="1">
        <v>99083</v>
      </c>
      <c r="G281" s="8">
        <v>42212.083333333336</v>
      </c>
      <c r="H281" s="1" t="s">
        <v>52</v>
      </c>
      <c r="I281" s="1">
        <v>0</v>
      </c>
      <c r="J281" s="1">
        <v>1</v>
      </c>
      <c r="K281" s="1">
        <v>0</v>
      </c>
      <c r="L281" s="1" t="s">
        <v>37</v>
      </c>
      <c r="M281" s="1">
        <v>2</v>
      </c>
      <c r="N281" s="1">
        <v>2</v>
      </c>
      <c r="O281" s="1">
        <v>0</v>
      </c>
      <c r="P281" s="11" t="str">
        <f t="shared" si="4"/>
        <v>负</v>
      </c>
      <c r="Q281" s="11" t="str">
        <f t="shared" si="4"/>
        <v>负</v>
      </c>
    </row>
    <row r="282" spans="4:17" customFormat="1" hidden="1" x14ac:dyDescent="0.15">
      <c r="D282" t="s">
        <v>6</v>
      </c>
      <c r="E282" s="1">
        <v>99109</v>
      </c>
      <c r="F282" s="1">
        <v>99109</v>
      </c>
      <c r="G282" s="8">
        <v>42213.043055555558</v>
      </c>
      <c r="H282" s="1" t="s">
        <v>49</v>
      </c>
      <c r="I282" s="1">
        <v>0</v>
      </c>
      <c r="J282" s="1">
        <v>2</v>
      </c>
      <c r="K282" s="1">
        <v>0</v>
      </c>
      <c r="L282" s="1" t="s">
        <v>44</v>
      </c>
      <c r="M282" s="1">
        <v>0</v>
      </c>
      <c r="N282" s="1">
        <v>0</v>
      </c>
      <c r="O282" s="1">
        <v>0</v>
      </c>
      <c r="P282" s="11" t="str">
        <f t="shared" si="4"/>
        <v>平</v>
      </c>
      <c r="Q282" s="11" t="str">
        <f t="shared" si="4"/>
        <v>胜</v>
      </c>
    </row>
    <row r="283" spans="4:17" customFormat="1" hidden="1" x14ac:dyDescent="0.15">
      <c r="D283" t="s">
        <v>6</v>
      </c>
      <c r="E283" s="1">
        <v>100617</v>
      </c>
      <c r="F283" s="1">
        <v>100617</v>
      </c>
      <c r="G283" s="8">
        <v>42217.041666666664</v>
      </c>
      <c r="H283" s="1" t="s">
        <v>45</v>
      </c>
      <c r="I283" s="1">
        <v>0</v>
      </c>
      <c r="J283" s="1">
        <v>0</v>
      </c>
      <c r="K283" s="1">
        <v>0</v>
      </c>
      <c r="L283" s="1" t="s">
        <v>48</v>
      </c>
      <c r="M283" s="1">
        <v>0</v>
      </c>
      <c r="N283" s="1">
        <v>1</v>
      </c>
      <c r="O283" s="1">
        <v>0</v>
      </c>
      <c r="P283" s="11" t="str">
        <f t="shared" si="4"/>
        <v>平</v>
      </c>
      <c r="Q283" s="11" t="str">
        <f t="shared" si="4"/>
        <v>负</v>
      </c>
    </row>
    <row r="284" spans="4:17" customFormat="1" hidden="1" x14ac:dyDescent="0.15">
      <c r="D284" t="s">
        <v>6</v>
      </c>
      <c r="E284" s="1">
        <v>100635</v>
      </c>
      <c r="F284" s="1">
        <v>100635</v>
      </c>
      <c r="G284" s="8">
        <v>42218</v>
      </c>
      <c r="H284" s="1" t="s">
        <v>42</v>
      </c>
      <c r="I284" s="1">
        <v>1</v>
      </c>
      <c r="J284" s="1">
        <v>2</v>
      </c>
      <c r="K284" s="1">
        <v>0</v>
      </c>
      <c r="L284" s="1" t="s">
        <v>49</v>
      </c>
      <c r="M284" s="1">
        <v>0</v>
      </c>
      <c r="N284" s="1">
        <v>0</v>
      </c>
      <c r="O284" s="1">
        <v>0</v>
      </c>
      <c r="P284" s="11" t="str">
        <f t="shared" si="4"/>
        <v>胜</v>
      </c>
      <c r="Q284" s="11" t="str">
        <f t="shared" si="4"/>
        <v>胜</v>
      </c>
    </row>
    <row r="285" spans="4:17" customFormat="1" hidden="1" x14ac:dyDescent="0.15">
      <c r="D285" t="s">
        <v>6</v>
      </c>
      <c r="E285" s="1">
        <v>100678</v>
      </c>
      <c r="F285" s="1">
        <v>100678</v>
      </c>
      <c r="G285" s="8">
        <v>42219</v>
      </c>
      <c r="H285" s="1" t="s">
        <v>53</v>
      </c>
      <c r="I285" s="1">
        <v>0</v>
      </c>
      <c r="J285" s="1">
        <v>0</v>
      </c>
      <c r="K285" s="1">
        <v>0</v>
      </c>
      <c r="L285" s="1" t="s">
        <v>40</v>
      </c>
      <c r="M285" s="1">
        <v>2</v>
      </c>
      <c r="N285" s="1">
        <v>6</v>
      </c>
      <c r="O285" s="1">
        <v>0</v>
      </c>
      <c r="P285" s="11" t="str">
        <f t="shared" si="4"/>
        <v>负</v>
      </c>
      <c r="Q285" s="11" t="str">
        <f t="shared" si="4"/>
        <v>负</v>
      </c>
    </row>
    <row r="286" spans="4:17" customFormat="1" hidden="1" x14ac:dyDescent="0.15">
      <c r="D286" t="s">
        <v>6</v>
      </c>
      <c r="E286" s="1">
        <v>100679</v>
      </c>
      <c r="F286" s="1">
        <v>100679</v>
      </c>
      <c r="G286" s="8">
        <v>42218.999305555553</v>
      </c>
      <c r="H286" s="1" t="s">
        <v>43</v>
      </c>
      <c r="I286" s="1">
        <v>0</v>
      </c>
      <c r="J286" s="1">
        <v>2</v>
      </c>
      <c r="K286" s="1">
        <v>0</v>
      </c>
      <c r="L286" s="1" t="s">
        <v>36</v>
      </c>
      <c r="M286" s="1">
        <v>0</v>
      </c>
      <c r="N286" s="1">
        <v>0</v>
      </c>
      <c r="O286" s="1">
        <v>0</v>
      </c>
      <c r="P286" s="11" t="str">
        <f t="shared" si="4"/>
        <v>平</v>
      </c>
      <c r="Q286" s="11" t="str">
        <f t="shared" si="4"/>
        <v>胜</v>
      </c>
    </row>
    <row r="287" spans="4:17" customFormat="1" hidden="1" x14ac:dyDescent="0.15">
      <c r="D287" t="s">
        <v>6</v>
      </c>
      <c r="E287" s="1">
        <v>100680</v>
      </c>
      <c r="F287" s="1">
        <v>100680</v>
      </c>
      <c r="G287" s="8">
        <v>42219</v>
      </c>
      <c r="H287" s="1" t="s">
        <v>44</v>
      </c>
      <c r="I287" s="1">
        <v>3</v>
      </c>
      <c r="J287" s="1">
        <v>3</v>
      </c>
      <c r="K287" s="1">
        <v>0</v>
      </c>
      <c r="L287" s="1" t="s">
        <v>52</v>
      </c>
      <c r="M287" s="1">
        <v>1</v>
      </c>
      <c r="N287" s="1">
        <v>2</v>
      </c>
      <c r="O287" s="1">
        <v>0</v>
      </c>
      <c r="P287" s="11" t="str">
        <f t="shared" si="4"/>
        <v>胜</v>
      </c>
      <c r="Q287" s="11" t="str">
        <f t="shared" si="4"/>
        <v>胜</v>
      </c>
    </row>
    <row r="288" spans="4:17" customFormat="1" hidden="1" x14ac:dyDescent="0.15">
      <c r="D288" t="s">
        <v>6</v>
      </c>
      <c r="E288" s="1">
        <v>100687</v>
      </c>
      <c r="F288" s="1">
        <v>100687</v>
      </c>
      <c r="G288" s="8">
        <v>42219.083333333336</v>
      </c>
      <c r="H288" s="1" t="s">
        <v>37</v>
      </c>
      <c r="I288" s="1">
        <v>0</v>
      </c>
      <c r="J288" s="1">
        <v>3</v>
      </c>
      <c r="K288" s="1">
        <v>0</v>
      </c>
      <c r="L288" s="1" t="s">
        <v>41</v>
      </c>
      <c r="M288" s="1">
        <v>1</v>
      </c>
      <c r="N288" s="1">
        <v>2</v>
      </c>
      <c r="O288" s="1">
        <v>0</v>
      </c>
      <c r="P288" s="11" t="str">
        <f t="shared" si="4"/>
        <v>负</v>
      </c>
      <c r="Q288" s="11" t="str">
        <f t="shared" si="4"/>
        <v>胜</v>
      </c>
    </row>
    <row r="289" spans="4:17" customFormat="1" hidden="1" x14ac:dyDescent="0.15">
      <c r="D289" t="s">
        <v>6</v>
      </c>
      <c r="E289" s="1">
        <v>100714</v>
      </c>
      <c r="F289" s="1">
        <v>100714</v>
      </c>
      <c r="G289" s="8">
        <v>42218.895833333336</v>
      </c>
      <c r="H289" s="1" t="s">
        <v>51</v>
      </c>
      <c r="I289" s="1">
        <v>1</v>
      </c>
      <c r="J289" s="1">
        <v>3</v>
      </c>
      <c r="K289" s="1">
        <v>0</v>
      </c>
      <c r="L289" s="1" t="s">
        <v>54</v>
      </c>
      <c r="M289" s="1">
        <v>3</v>
      </c>
      <c r="N289" s="1">
        <v>6</v>
      </c>
      <c r="O289" s="1">
        <v>0</v>
      </c>
      <c r="P289" s="11" t="str">
        <f t="shared" si="4"/>
        <v>负</v>
      </c>
      <c r="Q289" s="11" t="str">
        <f t="shared" si="4"/>
        <v>负</v>
      </c>
    </row>
    <row r="290" spans="4:17" customFormat="1" hidden="1" x14ac:dyDescent="0.15">
      <c r="D290" t="s">
        <v>6</v>
      </c>
      <c r="E290" s="1">
        <v>102737</v>
      </c>
      <c r="F290" s="1">
        <v>102737</v>
      </c>
      <c r="G290" s="8">
        <v>42225</v>
      </c>
      <c r="H290" s="1" t="s">
        <v>41</v>
      </c>
      <c r="I290" s="1">
        <v>0</v>
      </c>
      <c r="J290" s="1">
        <v>0</v>
      </c>
      <c r="K290" s="1">
        <v>0</v>
      </c>
      <c r="L290" s="1" t="s">
        <v>45</v>
      </c>
      <c r="M290" s="1">
        <v>1</v>
      </c>
      <c r="N290" s="1">
        <v>2</v>
      </c>
      <c r="O290" s="1">
        <v>0</v>
      </c>
      <c r="P290" s="11" t="str">
        <f t="shared" si="4"/>
        <v>负</v>
      </c>
      <c r="Q290" s="11" t="str">
        <f t="shared" si="4"/>
        <v>负</v>
      </c>
    </row>
    <row r="291" spans="4:17" hidden="1" x14ac:dyDescent="0.15">
      <c r="D291" s="2" t="s">
        <v>6</v>
      </c>
      <c r="E291" s="6">
        <v>102768</v>
      </c>
      <c r="F291" s="6">
        <v>102768</v>
      </c>
      <c r="G291" s="24">
        <v>42226</v>
      </c>
      <c r="H291" s="6" t="s">
        <v>32</v>
      </c>
      <c r="I291" s="6">
        <v>2</v>
      </c>
      <c r="J291" s="6">
        <v>5</v>
      </c>
      <c r="K291" s="6">
        <v>0</v>
      </c>
      <c r="L291" s="6" t="s">
        <v>36</v>
      </c>
      <c r="M291" s="6">
        <v>1</v>
      </c>
      <c r="N291" s="6">
        <v>1</v>
      </c>
      <c r="O291" s="6">
        <v>0</v>
      </c>
      <c r="P291" s="11" t="str">
        <f t="shared" si="4"/>
        <v>胜</v>
      </c>
      <c r="Q291" s="11" t="str">
        <f t="shared" si="4"/>
        <v>胜</v>
      </c>
    </row>
    <row r="292" spans="4:17" customFormat="1" hidden="1" x14ac:dyDescent="0.15">
      <c r="D292" t="s">
        <v>6</v>
      </c>
      <c r="E292" s="1">
        <v>102777</v>
      </c>
      <c r="F292" s="1">
        <v>102777</v>
      </c>
      <c r="G292" s="8">
        <v>42225.999305555553</v>
      </c>
      <c r="H292" s="1" t="s">
        <v>48</v>
      </c>
      <c r="I292" s="1">
        <v>2</v>
      </c>
      <c r="J292" s="1">
        <v>3</v>
      </c>
      <c r="K292" s="1">
        <v>0</v>
      </c>
      <c r="L292" s="1" t="s">
        <v>43</v>
      </c>
      <c r="M292" s="1">
        <v>0</v>
      </c>
      <c r="N292" s="1">
        <v>1</v>
      </c>
      <c r="O292" s="1">
        <v>0</v>
      </c>
      <c r="P292" s="11" t="str">
        <f t="shared" si="4"/>
        <v>胜</v>
      </c>
      <c r="Q292" s="11" t="str">
        <f t="shared" si="4"/>
        <v>胜</v>
      </c>
    </row>
    <row r="293" spans="4:17" customFormat="1" hidden="1" x14ac:dyDescent="0.15">
      <c r="D293" t="s">
        <v>6</v>
      </c>
      <c r="E293" s="1">
        <v>102791</v>
      </c>
      <c r="F293" s="1">
        <v>102791</v>
      </c>
      <c r="G293" s="8">
        <v>42226.000694444447</v>
      </c>
      <c r="H293" s="1" t="s">
        <v>40</v>
      </c>
      <c r="I293" s="1">
        <v>0</v>
      </c>
      <c r="J293" s="1">
        <v>0</v>
      </c>
      <c r="K293" s="1">
        <v>0</v>
      </c>
      <c r="L293" s="1" t="s">
        <v>42</v>
      </c>
      <c r="M293" s="1">
        <v>0</v>
      </c>
      <c r="N293" s="1">
        <v>2</v>
      </c>
      <c r="O293" s="1">
        <v>0</v>
      </c>
      <c r="P293" s="11" t="str">
        <f t="shared" si="4"/>
        <v>平</v>
      </c>
      <c r="Q293" s="11" t="str">
        <f t="shared" si="4"/>
        <v>负</v>
      </c>
    </row>
    <row r="294" spans="4:17" customFormat="1" hidden="1" x14ac:dyDescent="0.15">
      <c r="D294" t="s">
        <v>6</v>
      </c>
      <c r="E294" s="1">
        <v>102792</v>
      </c>
      <c r="F294" s="1">
        <v>102792</v>
      </c>
      <c r="G294" s="8">
        <v>42226.083333333336</v>
      </c>
      <c r="H294" s="1" t="s">
        <v>54</v>
      </c>
      <c r="I294" s="1">
        <v>0</v>
      </c>
      <c r="J294" s="1">
        <v>2</v>
      </c>
      <c r="K294" s="1">
        <v>0</v>
      </c>
      <c r="L294" s="1" t="s">
        <v>38</v>
      </c>
      <c r="M294" s="1">
        <v>2</v>
      </c>
      <c r="N294" s="1">
        <v>2</v>
      </c>
      <c r="O294" s="1">
        <v>0</v>
      </c>
      <c r="P294" s="11" t="str">
        <f t="shared" si="4"/>
        <v>负</v>
      </c>
      <c r="Q294" s="11" t="str">
        <f t="shared" si="4"/>
        <v>平</v>
      </c>
    </row>
    <row r="295" spans="4:17" customFormat="1" hidden="1" x14ac:dyDescent="0.15">
      <c r="D295" t="s">
        <v>6</v>
      </c>
      <c r="E295" s="1">
        <v>102793</v>
      </c>
      <c r="F295" s="1">
        <v>102793</v>
      </c>
      <c r="G295" s="8">
        <v>42226</v>
      </c>
      <c r="H295" s="1" t="s">
        <v>44</v>
      </c>
      <c r="I295" s="1">
        <v>0</v>
      </c>
      <c r="J295" s="1">
        <v>0</v>
      </c>
      <c r="K295" s="1">
        <v>0</v>
      </c>
      <c r="L295" s="1" t="s">
        <v>37</v>
      </c>
      <c r="M295" s="1">
        <v>2</v>
      </c>
      <c r="N295" s="1">
        <v>5</v>
      </c>
      <c r="O295" s="1">
        <v>0</v>
      </c>
      <c r="P295" s="11" t="str">
        <f t="shared" si="4"/>
        <v>负</v>
      </c>
      <c r="Q295" s="11" t="str">
        <f t="shared" si="4"/>
        <v>负</v>
      </c>
    </row>
    <row r="296" spans="4:17" customFormat="1" hidden="1" x14ac:dyDescent="0.15">
      <c r="D296" t="s">
        <v>6</v>
      </c>
      <c r="E296" s="1">
        <v>102886</v>
      </c>
      <c r="F296" s="1">
        <v>102886</v>
      </c>
      <c r="G296" s="8">
        <v>42224.040972222225</v>
      </c>
      <c r="H296" s="1" t="s">
        <v>52</v>
      </c>
      <c r="I296" s="1">
        <v>1</v>
      </c>
      <c r="J296" s="1">
        <v>2</v>
      </c>
      <c r="K296" s="1">
        <v>0</v>
      </c>
      <c r="L296" s="1" t="s">
        <v>51</v>
      </c>
      <c r="M296" s="1">
        <v>1</v>
      </c>
      <c r="N296" s="1">
        <v>1</v>
      </c>
      <c r="O296" s="1">
        <v>0</v>
      </c>
      <c r="P296" s="11" t="str">
        <f t="shared" si="4"/>
        <v>平</v>
      </c>
      <c r="Q296" s="11" t="str">
        <f t="shared" si="4"/>
        <v>胜</v>
      </c>
    </row>
    <row r="297" spans="4:17" customFormat="1" hidden="1" x14ac:dyDescent="0.15">
      <c r="D297" t="s">
        <v>6</v>
      </c>
      <c r="E297" s="1">
        <v>102907</v>
      </c>
      <c r="F297" s="1">
        <v>102907</v>
      </c>
      <c r="G297" s="8">
        <v>42224.041666666664</v>
      </c>
      <c r="H297" s="1" t="s">
        <v>49</v>
      </c>
      <c r="I297" s="1">
        <v>1</v>
      </c>
      <c r="J297" s="1">
        <v>1</v>
      </c>
      <c r="K297" s="1">
        <v>0</v>
      </c>
      <c r="L297" s="1" t="s">
        <v>53</v>
      </c>
      <c r="M297" s="1">
        <v>0</v>
      </c>
      <c r="N297" s="1">
        <v>0</v>
      </c>
      <c r="O297" s="1">
        <v>0</v>
      </c>
      <c r="P297" s="11" t="str">
        <f t="shared" si="4"/>
        <v>胜</v>
      </c>
      <c r="Q297" s="11" t="str">
        <f t="shared" si="4"/>
        <v>胜</v>
      </c>
    </row>
    <row r="298" spans="4:17" customFormat="1" hidden="1" x14ac:dyDescent="0.15">
      <c r="D298" t="s">
        <v>6</v>
      </c>
      <c r="E298" s="1">
        <v>122353</v>
      </c>
      <c r="F298" s="1">
        <v>122353</v>
      </c>
      <c r="G298" s="8">
        <v>42233</v>
      </c>
      <c r="H298" s="1" t="s">
        <v>53</v>
      </c>
      <c r="I298" s="1">
        <v>0</v>
      </c>
      <c r="J298" s="1">
        <v>1</v>
      </c>
      <c r="K298" s="1">
        <v>0</v>
      </c>
      <c r="L298" s="1" t="s">
        <v>52</v>
      </c>
      <c r="M298" s="1">
        <v>1</v>
      </c>
      <c r="N298" s="1">
        <v>1</v>
      </c>
      <c r="O298" s="1">
        <v>0</v>
      </c>
      <c r="P298" s="11" t="str">
        <f t="shared" si="4"/>
        <v>负</v>
      </c>
      <c r="Q298" s="11" t="str">
        <f t="shared" si="4"/>
        <v>平</v>
      </c>
    </row>
    <row r="299" spans="4:17" customFormat="1" hidden="1" x14ac:dyDescent="0.15">
      <c r="D299" t="s">
        <v>6</v>
      </c>
      <c r="E299" s="1">
        <v>122366</v>
      </c>
      <c r="F299" s="1">
        <v>122366</v>
      </c>
      <c r="G299" s="8">
        <v>42231.895833333336</v>
      </c>
      <c r="H299" s="1" t="s">
        <v>38</v>
      </c>
      <c r="I299" s="1">
        <v>0</v>
      </c>
      <c r="J299" s="1">
        <v>0</v>
      </c>
      <c r="K299" s="1">
        <v>0</v>
      </c>
      <c r="L299" s="1" t="s">
        <v>41</v>
      </c>
      <c r="M299" s="1">
        <v>0</v>
      </c>
      <c r="N299" s="1">
        <v>0</v>
      </c>
      <c r="O299" s="1">
        <v>0</v>
      </c>
      <c r="P299" s="11" t="str">
        <f t="shared" si="4"/>
        <v>平</v>
      </c>
      <c r="Q299" s="11" t="str">
        <f t="shared" si="4"/>
        <v>平</v>
      </c>
    </row>
    <row r="300" spans="4:17" customFormat="1" x14ac:dyDescent="0.15">
      <c r="D300" t="s">
        <v>6</v>
      </c>
      <c r="E300" s="1">
        <v>122375</v>
      </c>
      <c r="F300" s="1">
        <v>122375</v>
      </c>
      <c r="G300" s="8">
        <v>42232.895138888889</v>
      </c>
      <c r="H300" s="1" t="s">
        <v>36</v>
      </c>
      <c r="I300" s="1">
        <v>0</v>
      </c>
      <c r="J300" s="1">
        <v>0</v>
      </c>
      <c r="K300" s="1">
        <v>0</v>
      </c>
      <c r="L300" s="1" t="s">
        <v>54</v>
      </c>
      <c r="M300" s="1">
        <v>3</v>
      </c>
      <c r="N300" s="1">
        <v>4</v>
      </c>
      <c r="O300" s="1">
        <v>0</v>
      </c>
      <c r="P300" s="11" t="str">
        <f t="shared" si="4"/>
        <v>负</v>
      </c>
      <c r="Q300" s="11" t="str">
        <f t="shared" si="4"/>
        <v>负</v>
      </c>
    </row>
    <row r="301" spans="4:17" customFormat="1" hidden="1" x14ac:dyDescent="0.15">
      <c r="D301" t="s">
        <v>6</v>
      </c>
      <c r="E301" s="1">
        <v>122376</v>
      </c>
      <c r="F301" s="1">
        <v>122376</v>
      </c>
      <c r="G301" s="8">
        <v>42233</v>
      </c>
      <c r="H301" s="1" t="s">
        <v>51</v>
      </c>
      <c r="I301" s="1">
        <v>0</v>
      </c>
      <c r="J301" s="1">
        <v>2</v>
      </c>
      <c r="K301" s="1">
        <v>0</v>
      </c>
      <c r="L301" s="1" t="s">
        <v>48</v>
      </c>
      <c r="M301" s="1">
        <v>1</v>
      </c>
      <c r="N301" s="1">
        <v>1</v>
      </c>
      <c r="O301" s="1">
        <v>0</v>
      </c>
      <c r="P301" s="11" t="str">
        <f t="shared" si="4"/>
        <v>负</v>
      </c>
      <c r="Q301" s="11" t="str">
        <f t="shared" si="4"/>
        <v>胜</v>
      </c>
    </row>
    <row r="302" spans="4:17" customFormat="1" hidden="1" x14ac:dyDescent="0.15">
      <c r="D302" t="s">
        <v>6</v>
      </c>
      <c r="E302" s="1">
        <v>122388</v>
      </c>
      <c r="F302" s="1">
        <v>122388</v>
      </c>
      <c r="G302" s="8">
        <v>42232</v>
      </c>
      <c r="H302" s="1" t="s">
        <v>45</v>
      </c>
      <c r="I302" s="1">
        <v>0</v>
      </c>
      <c r="J302" s="1">
        <v>2</v>
      </c>
      <c r="K302" s="1">
        <v>0</v>
      </c>
      <c r="L302" s="1" t="s">
        <v>32</v>
      </c>
      <c r="M302" s="1">
        <v>0</v>
      </c>
      <c r="N302" s="1">
        <v>1</v>
      </c>
      <c r="O302" s="1">
        <v>0</v>
      </c>
      <c r="P302" s="11" t="str">
        <f t="shared" si="4"/>
        <v>平</v>
      </c>
      <c r="Q302" s="11" t="str">
        <f t="shared" si="4"/>
        <v>胜</v>
      </c>
    </row>
    <row r="303" spans="4:17" customFormat="1" hidden="1" x14ac:dyDescent="0.15">
      <c r="D303" t="s">
        <v>6</v>
      </c>
      <c r="E303" s="1">
        <v>122392</v>
      </c>
      <c r="F303" s="1">
        <v>122392</v>
      </c>
      <c r="G303" s="8">
        <v>42231.041666666664</v>
      </c>
      <c r="H303" s="1" t="s">
        <v>43</v>
      </c>
      <c r="I303" s="1">
        <v>1</v>
      </c>
      <c r="J303" s="1">
        <v>2</v>
      </c>
      <c r="K303" s="1">
        <v>0</v>
      </c>
      <c r="L303" s="1" t="s">
        <v>40</v>
      </c>
      <c r="M303" s="1">
        <v>0</v>
      </c>
      <c r="N303" s="1">
        <v>1</v>
      </c>
      <c r="O303" s="1">
        <v>0</v>
      </c>
      <c r="P303" s="11" t="str">
        <f t="shared" si="4"/>
        <v>胜</v>
      </c>
      <c r="Q303" s="11" t="str">
        <f t="shared" si="4"/>
        <v>胜</v>
      </c>
    </row>
    <row r="304" spans="4:17" customFormat="1" hidden="1" x14ac:dyDescent="0.15">
      <c r="D304" t="s">
        <v>6</v>
      </c>
      <c r="E304" s="1">
        <v>122426</v>
      </c>
      <c r="F304" s="1">
        <v>122426</v>
      </c>
      <c r="G304" s="8">
        <v>42233</v>
      </c>
      <c r="H304" s="1" t="s">
        <v>37</v>
      </c>
      <c r="I304" s="1">
        <v>0</v>
      </c>
      <c r="J304" s="1">
        <v>2</v>
      </c>
      <c r="K304" s="1">
        <v>0</v>
      </c>
      <c r="L304" s="1" t="s">
        <v>49</v>
      </c>
      <c r="M304" s="1">
        <v>0</v>
      </c>
      <c r="N304" s="1">
        <v>0</v>
      </c>
      <c r="O304" s="1">
        <v>0</v>
      </c>
      <c r="P304" s="11" t="str">
        <f t="shared" si="4"/>
        <v>平</v>
      </c>
      <c r="Q304" s="11" t="str">
        <f t="shared" si="4"/>
        <v>胜</v>
      </c>
    </row>
    <row r="305" spans="4:17" customFormat="1" hidden="1" x14ac:dyDescent="0.15">
      <c r="D305" t="s">
        <v>6</v>
      </c>
      <c r="E305" s="1">
        <v>122432</v>
      </c>
      <c r="F305" s="1">
        <v>122432</v>
      </c>
      <c r="G305" s="8">
        <v>42233.083333333336</v>
      </c>
      <c r="H305" s="1" t="s">
        <v>42</v>
      </c>
      <c r="I305" s="1">
        <v>0</v>
      </c>
      <c r="J305" s="1">
        <v>3</v>
      </c>
      <c r="K305" s="1">
        <v>0</v>
      </c>
      <c r="L305" s="1" t="s">
        <v>44</v>
      </c>
      <c r="M305" s="1">
        <v>2</v>
      </c>
      <c r="N305" s="1">
        <v>2</v>
      </c>
      <c r="O305" s="1">
        <v>0</v>
      </c>
      <c r="P305" s="11" t="str">
        <f t="shared" si="4"/>
        <v>负</v>
      </c>
      <c r="Q305" s="11" t="str">
        <f t="shared" si="4"/>
        <v>胜</v>
      </c>
    </row>
    <row r="306" spans="4:17" customFormat="1" hidden="1" x14ac:dyDescent="0.15">
      <c r="D306" t="s">
        <v>6</v>
      </c>
      <c r="E306" s="1">
        <v>124554</v>
      </c>
      <c r="F306" s="1">
        <v>124554</v>
      </c>
      <c r="G306" s="8">
        <v>42239.895138888889</v>
      </c>
      <c r="H306" s="1" t="s">
        <v>54</v>
      </c>
      <c r="I306" s="1">
        <v>1</v>
      </c>
      <c r="J306" s="1">
        <v>1</v>
      </c>
      <c r="K306" s="1">
        <v>0</v>
      </c>
      <c r="L306" s="1" t="s">
        <v>45</v>
      </c>
      <c r="M306" s="1">
        <v>0</v>
      </c>
      <c r="N306" s="1">
        <v>0</v>
      </c>
      <c r="O306" s="1">
        <v>0</v>
      </c>
      <c r="P306" s="11" t="str">
        <f t="shared" si="4"/>
        <v>胜</v>
      </c>
      <c r="Q306" s="11" t="str">
        <f t="shared" si="4"/>
        <v>胜</v>
      </c>
    </row>
    <row r="307" spans="4:17" customFormat="1" hidden="1" x14ac:dyDescent="0.15">
      <c r="D307" t="s">
        <v>6</v>
      </c>
      <c r="E307" s="1">
        <v>124599</v>
      </c>
      <c r="F307" s="1">
        <v>124599</v>
      </c>
      <c r="G307" s="8">
        <v>42240</v>
      </c>
      <c r="H307" s="1" t="s">
        <v>40</v>
      </c>
      <c r="I307" s="1">
        <v>1</v>
      </c>
      <c r="J307" s="1">
        <v>2</v>
      </c>
      <c r="K307" s="1">
        <v>0</v>
      </c>
      <c r="L307" s="1" t="s">
        <v>36</v>
      </c>
      <c r="M307" s="1">
        <v>1</v>
      </c>
      <c r="N307" s="1">
        <v>1</v>
      </c>
      <c r="O307" s="1">
        <v>0</v>
      </c>
      <c r="P307" s="11" t="str">
        <f t="shared" si="4"/>
        <v>平</v>
      </c>
      <c r="Q307" s="11" t="str">
        <f t="shared" si="4"/>
        <v>胜</v>
      </c>
    </row>
    <row r="308" spans="4:17" customFormat="1" hidden="1" x14ac:dyDescent="0.15">
      <c r="D308" t="s">
        <v>6</v>
      </c>
      <c r="E308" s="1">
        <v>124605</v>
      </c>
      <c r="F308" s="1">
        <v>124605</v>
      </c>
      <c r="G308" s="8">
        <v>42239.999305555553</v>
      </c>
      <c r="H308" s="1" t="s">
        <v>48</v>
      </c>
      <c r="I308" s="1">
        <v>1</v>
      </c>
      <c r="J308" s="1">
        <v>2</v>
      </c>
      <c r="K308" s="1">
        <v>0</v>
      </c>
      <c r="L308" s="1" t="s">
        <v>32</v>
      </c>
      <c r="M308" s="1">
        <v>2</v>
      </c>
      <c r="N308" s="1">
        <v>4</v>
      </c>
      <c r="O308" s="1">
        <v>0</v>
      </c>
      <c r="P308" s="11" t="str">
        <f t="shared" si="4"/>
        <v>负</v>
      </c>
      <c r="Q308" s="11" t="str">
        <f t="shared" si="4"/>
        <v>负</v>
      </c>
    </row>
    <row r="309" spans="4:17" customFormat="1" hidden="1" x14ac:dyDescent="0.15">
      <c r="D309" t="s">
        <v>6</v>
      </c>
      <c r="E309" s="1">
        <v>124606</v>
      </c>
      <c r="F309" s="1">
        <v>124606</v>
      </c>
      <c r="G309" s="8">
        <v>42240</v>
      </c>
      <c r="H309" s="1" t="s">
        <v>41</v>
      </c>
      <c r="I309" s="1">
        <v>2</v>
      </c>
      <c r="J309" s="1">
        <v>3</v>
      </c>
      <c r="K309" s="1">
        <v>0</v>
      </c>
      <c r="L309" s="1" t="s">
        <v>43</v>
      </c>
      <c r="M309" s="1">
        <v>0</v>
      </c>
      <c r="N309" s="1">
        <v>1</v>
      </c>
      <c r="O309" s="1">
        <v>0</v>
      </c>
      <c r="P309" s="11" t="str">
        <f t="shared" si="4"/>
        <v>胜</v>
      </c>
      <c r="Q309" s="11" t="str">
        <f t="shared" si="4"/>
        <v>胜</v>
      </c>
    </row>
    <row r="310" spans="4:17" customFormat="1" hidden="1" x14ac:dyDescent="0.15">
      <c r="D310" t="s">
        <v>6</v>
      </c>
      <c r="E310" s="1">
        <v>124617</v>
      </c>
      <c r="F310" s="1">
        <v>124617</v>
      </c>
      <c r="G310" s="8">
        <v>42240.083333333336</v>
      </c>
      <c r="H310" s="1" t="s">
        <v>37</v>
      </c>
      <c r="I310" s="1">
        <v>0</v>
      </c>
      <c r="J310" s="1">
        <v>1</v>
      </c>
      <c r="K310" s="1">
        <v>0</v>
      </c>
      <c r="L310" s="1" t="s">
        <v>51</v>
      </c>
      <c r="M310" s="1">
        <v>0</v>
      </c>
      <c r="N310" s="1">
        <v>0</v>
      </c>
      <c r="O310" s="1">
        <v>0</v>
      </c>
      <c r="P310" s="11" t="str">
        <f t="shared" si="4"/>
        <v>平</v>
      </c>
      <c r="Q310" s="11" t="str">
        <f t="shared" si="4"/>
        <v>胜</v>
      </c>
    </row>
    <row r="311" spans="4:17" customFormat="1" hidden="1" x14ac:dyDescent="0.15">
      <c r="D311" t="s">
        <v>6</v>
      </c>
      <c r="E311" s="1">
        <v>124635</v>
      </c>
      <c r="F311" s="1">
        <v>124635</v>
      </c>
      <c r="G311" s="8">
        <v>42238.041666666664</v>
      </c>
      <c r="H311" s="1" t="s">
        <v>44</v>
      </c>
      <c r="I311" s="1">
        <v>0</v>
      </c>
      <c r="J311" s="1">
        <v>1</v>
      </c>
      <c r="K311" s="1">
        <v>0</v>
      </c>
      <c r="L311" s="1" t="s">
        <v>53</v>
      </c>
      <c r="M311" s="1">
        <v>0</v>
      </c>
      <c r="N311" s="1">
        <v>0</v>
      </c>
      <c r="O311" s="1">
        <v>0</v>
      </c>
      <c r="P311" s="11" t="str">
        <f t="shared" si="4"/>
        <v>平</v>
      </c>
      <c r="Q311" s="11" t="str">
        <f t="shared" si="4"/>
        <v>胜</v>
      </c>
    </row>
    <row r="312" spans="4:17" customFormat="1" hidden="1" x14ac:dyDescent="0.15">
      <c r="D312" t="s">
        <v>6</v>
      </c>
      <c r="E312" s="1">
        <v>124801</v>
      </c>
      <c r="F312" s="1">
        <v>124801</v>
      </c>
      <c r="G312" s="8">
        <v>42239.000694444447</v>
      </c>
      <c r="H312" s="1" t="s">
        <v>52</v>
      </c>
      <c r="I312" s="1">
        <v>1</v>
      </c>
      <c r="J312" s="1">
        <v>2</v>
      </c>
      <c r="K312" s="1">
        <v>0</v>
      </c>
      <c r="L312" s="1" t="s">
        <v>42</v>
      </c>
      <c r="M312" s="1">
        <v>2</v>
      </c>
      <c r="N312" s="1">
        <v>4</v>
      </c>
      <c r="O312" s="1">
        <v>0</v>
      </c>
      <c r="P312" s="11" t="str">
        <f t="shared" si="4"/>
        <v>负</v>
      </c>
      <c r="Q312" s="11" t="str">
        <f t="shared" si="4"/>
        <v>负</v>
      </c>
    </row>
    <row r="313" spans="4:17" customFormat="1" hidden="1" x14ac:dyDescent="0.15">
      <c r="D313" t="s">
        <v>6</v>
      </c>
      <c r="E313" s="1">
        <v>125049</v>
      </c>
      <c r="F313" s="1">
        <v>125049</v>
      </c>
      <c r="G313" s="8">
        <v>42239.895138888889</v>
      </c>
      <c r="H313" s="1" t="s">
        <v>49</v>
      </c>
      <c r="I313" s="1">
        <v>0</v>
      </c>
      <c r="J313" s="1">
        <v>0</v>
      </c>
      <c r="K313" s="1">
        <v>0</v>
      </c>
      <c r="L313" s="1" t="s">
        <v>38</v>
      </c>
      <c r="M313" s="1">
        <v>1</v>
      </c>
      <c r="N313" s="1">
        <v>1</v>
      </c>
      <c r="O313" s="1">
        <v>0</v>
      </c>
      <c r="P313" s="11" t="str">
        <f t="shared" si="4"/>
        <v>负</v>
      </c>
      <c r="Q313" s="11" t="str">
        <f t="shared" si="4"/>
        <v>负</v>
      </c>
    </row>
    <row r="314" spans="4:17" customFormat="1" hidden="1" x14ac:dyDescent="0.15">
      <c r="D314" t="s">
        <v>6</v>
      </c>
      <c r="E314" s="1">
        <v>126607</v>
      </c>
      <c r="F314" s="1">
        <v>126607</v>
      </c>
      <c r="G314" s="8">
        <v>42245.998611111114</v>
      </c>
      <c r="H314" s="1" t="s">
        <v>45</v>
      </c>
      <c r="I314" s="1">
        <v>1</v>
      </c>
      <c r="J314" s="1">
        <v>2</v>
      </c>
      <c r="K314" s="1">
        <v>0</v>
      </c>
      <c r="L314" s="1" t="s">
        <v>52</v>
      </c>
      <c r="M314" s="1">
        <v>0</v>
      </c>
      <c r="N314" s="1">
        <v>0</v>
      </c>
      <c r="O314" s="1">
        <v>0</v>
      </c>
      <c r="P314" s="11" t="str">
        <f t="shared" si="4"/>
        <v>胜</v>
      </c>
      <c r="Q314" s="11" t="str">
        <f t="shared" si="4"/>
        <v>胜</v>
      </c>
    </row>
    <row r="315" spans="4:17" customFormat="1" hidden="1" x14ac:dyDescent="0.15">
      <c r="D315" t="s">
        <v>6</v>
      </c>
      <c r="E315" s="1">
        <v>126626</v>
      </c>
      <c r="F315" s="1">
        <v>126626</v>
      </c>
      <c r="G315" s="8">
        <v>42245.041666666664</v>
      </c>
      <c r="H315" s="1" t="s">
        <v>43</v>
      </c>
      <c r="I315" s="1">
        <v>2</v>
      </c>
      <c r="J315" s="1">
        <v>2</v>
      </c>
      <c r="K315" s="1">
        <v>0</v>
      </c>
      <c r="L315" s="1" t="s">
        <v>49</v>
      </c>
      <c r="M315" s="1">
        <v>0</v>
      </c>
      <c r="N315" s="1">
        <v>0</v>
      </c>
      <c r="O315" s="1">
        <v>0</v>
      </c>
      <c r="P315" s="11" t="str">
        <f t="shared" si="4"/>
        <v>胜</v>
      </c>
      <c r="Q315" s="11" t="str">
        <f t="shared" si="4"/>
        <v>胜</v>
      </c>
    </row>
    <row r="316" spans="4:17" customFormat="1" hidden="1" x14ac:dyDescent="0.15">
      <c r="D316" t="s">
        <v>6</v>
      </c>
      <c r="E316" s="1">
        <v>126634</v>
      </c>
      <c r="F316" s="1">
        <v>126634</v>
      </c>
      <c r="G316" s="8">
        <v>42246.895833333336</v>
      </c>
      <c r="H316" s="1" t="s">
        <v>42</v>
      </c>
      <c r="I316" s="1">
        <v>0</v>
      </c>
      <c r="J316" s="1">
        <v>1</v>
      </c>
      <c r="K316" s="1">
        <v>0</v>
      </c>
      <c r="L316" s="1" t="s">
        <v>54</v>
      </c>
      <c r="M316" s="1">
        <v>2</v>
      </c>
      <c r="N316" s="1">
        <v>2</v>
      </c>
      <c r="O316" s="1">
        <v>0</v>
      </c>
      <c r="P316" s="11" t="str">
        <f t="shared" si="4"/>
        <v>负</v>
      </c>
      <c r="Q316" s="11" t="str">
        <f t="shared" si="4"/>
        <v>负</v>
      </c>
    </row>
    <row r="317" spans="4:17" customFormat="1" hidden="1" x14ac:dyDescent="0.15">
      <c r="D317" t="s">
        <v>6</v>
      </c>
      <c r="E317" s="1">
        <v>126635</v>
      </c>
      <c r="F317" s="1">
        <v>126635</v>
      </c>
      <c r="G317" s="8">
        <v>42246.895833333336</v>
      </c>
      <c r="H317" s="1" t="s">
        <v>38</v>
      </c>
      <c r="I317" s="1">
        <v>0</v>
      </c>
      <c r="J317" s="1">
        <v>2</v>
      </c>
      <c r="K317" s="1">
        <v>0</v>
      </c>
      <c r="L317" s="1" t="s">
        <v>44</v>
      </c>
      <c r="M317" s="1">
        <v>1</v>
      </c>
      <c r="N317" s="1">
        <v>2</v>
      </c>
      <c r="O317" s="1">
        <v>0</v>
      </c>
      <c r="P317" s="11" t="str">
        <f t="shared" si="4"/>
        <v>负</v>
      </c>
      <c r="Q317" s="11" t="str">
        <f t="shared" si="4"/>
        <v>平</v>
      </c>
    </row>
    <row r="318" spans="4:17" customFormat="1" x14ac:dyDescent="0.15">
      <c r="D318" t="s">
        <v>6</v>
      </c>
      <c r="E318" s="1">
        <v>126678</v>
      </c>
      <c r="F318" s="1">
        <v>126678</v>
      </c>
      <c r="G318" s="8">
        <v>42246.999305555553</v>
      </c>
      <c r="H318" s="1" t="s">
        <v>36</v>
      </c>
      <c r="I318" s="1">
        <v>0</v>
      </c>
      <c r="J318" s="1">
        <v>1</v>
      </c>
      <c r="K318" s="1">
        <v>0</v>
      </c>
      <c r="L318" s="1" t="s">
        <v>48</v>
      </c>
      <c r="M318" s="1">
        <v>1</v>
      </c>
      <c r="N318" s="1">
        <v>3</v>
      </c>
      <c r="O318" s="1">
        <v>0</v>
      </c>
      <c r="P318" s="11" t="str">
        <f t="shared" si="4"/>
        <v>负</v>
      </c>
      <c r="Q318" s="11" t="str">
        <f t="shared" si="4"/>
        <v>负</v>
      </c>
    </row>
    <row r="319" spans="4:17" customFormat="1" hidden="1" x14ac:dyDescent="0.15">
      <c r="D319" t="s">
        <v>6</v>
      </c>
      <c r="E319" s="1">
        <v>126679</v>
      </c>
      <c r="F319" s="1">
        <v>126679</v>
      </c>
      <c r="G319" s="8">
        <v>42247</v>
      </c>
      <c r="H319" s="1" t="s">
        <v>51</v>
      </c>
      <c r="I319" s="1">
        <v>0</v>
      </c>
      <c r="J319" s="1">
        <v>2</v>
      </c>
      <c r="K319" s="1">
        <v>0</v>
      </c>
      <c r="L319" s="1" t="s">
        <v>40</v>
      </c>
      <c r="M319" s="1">
        <v>2</v>
      </c>
      <c r="N319" s="1">
        <v>4</v>
      </c>
      <c r="O319" s="1">
        <v>0</v>
      </c>
      <c r="P319" s="11" t="str">
        <f t="shared" si="4"/>
        <v>负</v>
      </c>
      <c r="Q319" s="11" t="str">
        <f t="shared" si="4"/>
        <v>负</v>
      </c>
    </row>
    <row r="320" spans="4:17" customFormat="1" hidden="1" x14ac:dyDescent="0.15">
      <c r="D320" t="s">
        <v>6</v>
      </c>
      <c r="E320" s="1">
        <v>126683</v>
      </c>
      <c r="F320" s="1">
        <v>126683</v>
      </c>
      <c r="G320" s="8">
        <v>42247.083333333336</v>
      </c>
      <c r="H320" s="1" t="s">
        <v>53</v>
      </c>
      <c r="I320" s="1">
        <v>1</v>
      </c>
      <c r="J320" s="1">
        <v>1</v>
      </c>
      <c r="K320" s="1">
        <v>0</v>
      </c>
      <c r="L320" s="1" t="s">
        <v>37</v>
      </c>
      <c r="M320" s="1">
        <v>1</v>
      </c>
      <c r="N320" s="1">
        <v>1</v>
      </c>
      <c r="O320" s="1">
        <v>0</v>
      </c>
      <c r="P320" s="11" t="str">
        <f t="shared" si="4"/>
        <v>平</v>
      </c>
      <c r="Q320" s="11" t="str">
        <f t="shared" si="4"/>
        <v>平</v>
      </c>
    </row>
    <row r="321" spans="4:17" hidden="1" x14ac:dyDescent="0.15">
      <c r="D321" s="2" t="s">
        <v>6</v>
      </c>
      <c r="E321" s="6">
        <v>126709</v>
      </c>
      <c r="F321" s="6">
        <v>126709</v>
      </c>
      <c r="G321" s="24">
        <v>42247</v>
      </c>
      <c r="H321" s="6" t="s">
        <v>32</v>
      </c>
      <c r="I321" s="6">
        <v>1</v>
      </c>
      <c r="J321" s="6">
        <v>3</v>
      </c>
      <c r="K321" s="6">
        <v>0</v>
      </c>
      <c r="L321" s="6" t="s">
        <v>41</v>
      </c>
      <c r="M321" s="6">
        <v>0</v>
      </c>
      <c r="N321" s="6">
        <v>1</v>
      </c>
      <c r="O321" s="6">
        <v>0</v>
      </c>
      <c r="P321" s="11" t="str">
        <f t="shared" si="4"/>
        <v>胜</v>
      </c>
      <c r="Q321" s="11" t="str">
        <f t="shared" si="4"/>
        <v>胜</v>
      </c>
    </row>
    <row r="322" spans="4:17" customFormat="1" hidden="1" x14ac:dyDescent="0.15">
      <c r="D322" t="s">
        <v>6</v>
      </c>
      <c r="E322" s="1">
        <v>130081</v>
      </c>
      <c r="F322" s="1">
        <v>130081</v>
      </c>
      <c r="G322" s="8">
        <v>42259.040972222225</v>
      </c>
      <c r="H322" s="1" t="s">
        <v>40</v>
      </c>
      <c r="I322" s="1">
        <v>4</v>
      </c>
      <c r="J322" s="1">
        <v>5</v>
      </c>
      <c r="K322" s="1">
        <v>0</v>
      </c>
      <c r="L322" s="1" t="s">
        <v>48</v>
      </c>
      <c r="M322" s="1">
        <v>0</v>
      </c>
      <c r="N322" s="1">
        <v>0</v>
      </c>
      <c r="O322" s="1">
        <v>0</v>
      </c>
      <c r="P322" s="11" t="str">
        <f t="shared" si="4"/>
        <v>胜</v>
      </c>
      <c r="Q322" s="11" t="str">
        <f t="shared" si="4"/>
        <v>胜</v>
      </c>
    </row>
    <row r="323" spans="4:17" customFormat="1" hidden="1" x14ac:dyDescent="0.15">
      <c r="D323" t="s">
        <v>6</v>
      </c>
      <c r="E323" s="1">
        <v>130875</v>
      </c>
      <c r="F323" s="1">
        <v>130875</v>
      </c>
      <c r="G323" s="8">
        <v>42261.001388888886</v>
      </c>
      <c r="H323" s="1" t="s">
        <v>44</v>
      </c>
      <c r="I323" s="1">
        <v>2</v>
      </c>
      <c r="J323" s="1">
        <v>3</v>
      </c>
      <c r="K323" s="1">
        <v>0</v>
      </c>
      <c r="L323" s="1" t="s">
        <v>43</v>
      </c>
      <c r="M323" s="1">
        <v>0</v>
      </c>
      <c r="N323" s="1">
        <v>1</v>
      </c>
      <c r="O323" s="1">
        <v>0</v>
      </c>
      <c r="P323" s="11" t="str">
        <f t="shared" si="4"/>
        <v>胜</v>
      </c>
      <c r="Q323" s="11" t="str">
        <f t="shared" si="4"/>
        <v>胜</v>
      </c>
    </row>
    <row r="324" spans="4:17" customFormat="1" hidden="1" x14ac:dyDescent="0.15">
      <c r="D324" t="s">
        <v>6</v>
      </c>
      <c r="E324" s="1">
        <v>130914</v>
      </c>
      <c r="F324" s="1">
        <v>130914</v>
      </c>
      <c r="G324" s="8">
        <v>42261</v>
      </c>
      <c r="H324" s="1" t="s">
        <v>54</v>
      </c>
      <c r="I324" s="1">
        <v>0</v>
      </c>
      <c r="J324" s="1">
        <v>2</v>
      </c>
      <c r="K324" s="1">
        <v>0</v>
      </c>
      <c r="L324" s="1" t="s">
        <v>32</v>
      </c>
      <c r="M324" s="1">
        <v>0</v>
      </c>
      <c r="N324" s="1">
        <v>1</v>
      </c>
      <c r="O324" s="1">
        <v>0</v>
      </c>
      <c r="P324" s="11" t="str">
        <f t="shared" si="4"/>
        <v>平</v>
      </c>
      <c r="Q324" s="11" t="str">
        <f t="shared" si="4"/>
        <v>胜</v>
      </c>
    </row>
    <row r="325" spans="4:17" customFormat="1" hidden="1" x14ac:dyDescent="0.15">
      <c r="D325" t="s">
        <v>6</v>
      </c>
      <c r="E325" s="1">
        <v>130933</v>
      </c>
      <c r="F325" s="1">
        <v>130933</v>
      </c>
      <c r="G325" s="8">
        <v>42260</v>
      </c>
      <c r="H325" s="1" t="s">
        <v>52</v>
      </c>
      <c r="I325" s="1">
        <v>1</v>
      </c>
      <c r="J325" s="1">
        <v>2</v>
      </c>
      <c r="K325" s="1">
        <v>0</v>
      </c>
      <c r="L325" s="1" t="s">
        <v>38</v>
      </c>
      <c r="M325" s="1">
        <v>2</v>
      </c>
      <c r="N325" s="1">
        <v>4</v>
      </c>
      <c r="O325" s="1">
        <v>0</v>
      </c>
      <c r="P325" s="11" t="str">
        <f t="shared" si="4"/>
        <v>负</v>
      </c>
      <c r="Q325" s="11" t="str">
        <f t="shared" si="4"/>
        <v>负</v>
      </c>
    </row>
    <row r="326" spans="4:17" customFormat="1" hidden="1" x14ac:dyDescent="0.15">
      <c r="D326" t="s">
        <v>6</v>
      </c>
      <c r="E326" s="1">
        <v>130956</v>
      </c>
      <c r="F326" s="1">
        <v>130956</v>
      </c>
      <c r="G326" s="8">
        <v>42261.083333333336</v>
      </c>
      <c r="H326" s="1" t="s">
        <v>49</v>
      </c>
      <c r="I326" s="1">
        <v>1</v>
      </c>
      <c r="J326" s="1">
        <v>2</v>
      </c>
      <c r="K326" s="1">
        <v>0</v>
      </c>
      <c r="L326" s="1" t="s">
        <v>45</v>
      </c>
      <c r="M326" s="1">
        <v>2</v>
      </c>
      <c r="N326" s="1">
        <v>4</v>
      </c>
      <c r="O326" s="1">
        <v>0</v>
      </c>
      <c r="P326" s="11" t="str">
        <f t="shared" si="4"/>
        <v>负</v>
      </c>
      <c r="Q326" s="11" t="str">
        <f t="shared" si="4"/>
        <v>负</v>
      </c>
    </row>
    <row r="327" spans="4:17" customFormat="1" hidden="1" x14ac:dyDescent="0.15">
      <c r="D327" t="s">
        <v>6</v>
      </c>
      <c r="E327" s="1">
        <v>130990</v>
      </c>
      <c r="F327" s="1">
        <v>130990</v>
      </c>
      <c r="G327" s="8">
        <v>42261</v>
      </c>
      <c r="H327" s="1" t="s">
        <v>37</v>
      </c>
      <c r="I327" s="1">
        <v>0</v>
      </c>
      <c r="J327" s="1">
        <v>1</v>
      </c>
      <c r="K327" s="1">
        <v>0</v>
      </c>
      <c r="L327" s="1" t="s">
        <v>42</v>
      </c>
      <c r="M327" s="1">
        <v>0</v>
      </c>
      <c r="N327" s="1">
        <v>0</v>
      </c>
      <c r="O327" s="1">
        <v>0</v>
      </c>
      <c r="P327" s="11" t="str">
        <f t="shared" si="4"/>
        <v>平</v>
      </c>
      <c r="Q327" s="11" t="str">
        <f t="shared" si="4"/>
        <v>胜</v>
      </c>
    </row>
    <row r="328" spans="4:17" customFormat="1" hidden="1" x14ac:dyDescent="0.15">
      <c r="D328" t="s">
        <v>6</v>
      </c>
      <c r="E328" s="1">
        <v>131002</v>
      </c>
      <c r="F328" s="1">
        <v>131002</v>
      </c>
      <c r="G328" s="8">
        <v>42261</v>
      </c>
      <c r="H328" s="1" t="s">
        <v>41</v>
      </c>
      <c r="I328" s="1">
        <v>2</v>
      </c>
      <c r="J328" s="1">
        <v>3</v>
      </c>
      <c r="K328" s="1">
        <v>0</v>
      </c>
      <c r="L328" s="1" t="s">
        <v>36</v>
      </c>
      <c r="M328" s="1">
        <v>0</v>
      </c>
      <c r="N328" s="1">
        <v>1</v>
      </c>
      <c r="O328" s="1">
        <v>0</v>
      </c>
      <c r="P328" s="11" t="str">
        <f t="shared" si="4"/>
        <v>胜</v>
      </c>
      <c r="Q328" s="11" t="str">
        <f t="shared" si="4"/>
        <v>胜</v>
      </c>
    </row>
    <row r="329" spans="4:17" customFormat="1" hidden="1" x14ac:dyDescent="0.15">
      <c r="D329" t="s">
        <v>6</v>
      </c>
      <c r="E329" s="1">
        <v>131037</v>
      </c>
      <c r="F329" s="1">
        <v>131037</v>
      </c>
      <c r="G329" s="8">
        <v>42260.9</v>
      </c>
      <c r="H329" s="1" t="s">
        <v>53</v>
      </c>
      <c r="I329" s="1">
        <v>0</v>
      </c>
      <c r="J329" s="1">
        <v>0</v>
      </c>
      <c r="K329" s="1">
        <v>0</v>
      </c>
      <c r="L329" s="1" t="s">
        <v>51</v>
      </c>
      <c r="M329" s="1">
        <v>0</v>
      </c>
      <c r="N329" s="1">
        <v>0</v>
      </c>
      <c r="O329" s="1">
        <v>0</v>
      </c>
      <c r="P329" s="11" t="str">
        <f t="shared" si="4"/>
        <v>平</v>
      </c>
      <c r="Q329" s="11" t="str">
        <f t="shared" si="4"/>
        <v>平</v>
      </c>
    </row>
    <row r="330" spans="4:17" customFormat="1" x14ac:dyDescent="0.15">
      <c r="D330" t="s">
        <v>6</v>
      </c>
      <c r="E330" s="1">
        <v>133355</v>
      </c>
      <c r="F330" s="1">
        <v>133355</v>
      </c>
      <c r="G330" s="8">
        <v>42266.895833333336</v>
      </c>
      <c r="H330" s="1" t="s">
        <v>36</v>
      </c>
      <c r="I330" s="1">
        <v>0</v>
      </c>
      <c r="J330" s="1">
        <v>0</v>
      </c>
      <c r="K330" s="1">
        <v>0</v>
      </c>
      <c r="L330" s="1" t="s">
        <v>44</v>
      </c>
      <c r="M330" s="1">
        <v>0</v>
      </c>
      <c r="N330" s="1">
        <v>0</v>
      </c>
      <c r="O330" s="1">
        <v>0</v>
      </c>
      <c r="P330" s="11" t="str">
        <f t="shared" si="4"/>
        <v>平</v>
      </c>
      <c r="Q330" s="11" t="str">
        <f t="shared" si="4"/>
        <v>平</v>
      </c>
    </row>
    <row r="331" spans="4:17" customFormat="1" hidden="1" x14ac:dyDescent="0.15">
      <c r="D331" t="s">
        <v>6</v>
      </c>
      <c r="E331" s="1">
        <v>133395</v>
      </c>
      <c r="F331" s="1">
        <v>133395</v>
      </c>
      <c r="G331" s="8">
        <v>42267</v>
      </c>
      <c r="H331" s="1" t="s">
        <v>42</v>
      </c>
      <c r="I331" s="1">
        <v>1</v>
      </c>
      <c r="J331" s="1">
        <v>2</v>
      </c>
      <c r="K331" s="1">
        <v>0</v>
      </c>
      <c r="L331" s="1" t="s">
        <v>53</v>
      </c>
      <c r="M331" s="1">
        <v>0</v>
      </c>
      <c r="N331" s="1">
        <v>1</v>
      </c>
      <c r="O331" s="1">
        <v>0</v>
      </c>
      <c r="P331" s="11" t="str">
        <f t="shared" si="4"/>
        <v>胜</v>
      </c>
      <c r="Q331" s="11" t="str">
        <f t="shared" si="4"/>
        <v>胜</v>
      </c>
    </row>
    <row r="332" spans="4:17" customFormat="1" hidden="1" x14ac:dyDescent="0.15">
      <c r="D332" t="s">
        <v>6</v>
      </c>
      <c r="E332" s="1">
        <v>133396</v>
      </c>
      <c r="F332" s="1">
        <v>133396</v>
      </c>
      <c r="G332" s="8">
        <v>42267.895833333336</v>
      </c>
      <c r="H332" s="1" t="s">
        <v>43</v>
      </c>
      <c r="I332" s="1">
        <v>1</v>
      </c>
      <c r="J332" s="1">
        <v>1</v>
      </c>
      <c r="K332" s="1">
        <v>0</v>
      </c>
      <c r="L332" s="1" t="s">
        <v>54</v>
      </c>
      <c r="M332" s="1">
        <v>1</v>
      </c>
      <c r="N332" s="1">
        <v>3</v>
      </c>
      <c r="O332" s="1">
        <v>0</v>
      </c>
      <c r="P332" s="11" t="str">
        <f t="shared" si="4"/>
        <v>平</v>
      </c>
      <c r="Q332" s="11" t="str">
        <f t="shared" si="4"/>
        <v>负</v>
      </c>
    </row>
    <row r="333" spans="4:17" customFormat="1" hidden="1" x14ac:dyDescent="0.15">
      <c r="D333" t="s">
        <v>6</v>
      </c>
      <c r="E333" s="1">
        <v>133403</v>
      </c>
      <c r="F333" s="1">
        <v>133403</v>
      </c>
      <c r="G333" s="8">
        <v>42268</v>
      </c>
      <c r="H333" s="1" t="s">
        <v>48</v>
      </c>
      <c r="I333" s="1">
        <v>1</v>
      </c>
      <c r="J333" s="1">
        <v>1</v>
      </c>
      <c r="K333" s="1">
        <v>0</v>
      </c>
      <c r="L333" s="1" t="s">
        <v>41</v>
      </c>
      <c r="M333" s="1">
        <v>0</v>
      </c>
      <c r="N333" s="1">
        <v>1</v>
      </c>
      <c r="O333" s="1">
        <v>0</v>
      </c>
      <c r="P333" s="11" t="str">
        <f t="shared" ref="P333:Q396" si="5">IF(I333=M333,"平",IF(I333&gt;M333,"胜","负"))</f>
        <v>胜</v>
      </c>
      <c r="Q333" s="11" t="str">
        <f t="shared" si="5"/>
        <v>平</v>
      </c>
    </row>
    <row r="334" spans="4:17" hidden="1" x14ac:dyDescent="0.15">
      <c r="D334" s="2" t="s">
        <v>6</v>
      </c>
      <c r="E334" s="6">
        <v>133412</v>
      </c>
      <c r="F334" s="6">
        <v>133412</v>
      </c>
      <c r="G334" s="24">
        <v>42267.999305555553</v>
      </c>
      <c r="H334" s="6" t="s">
        <v>32</v>
      </c>
      <c r="I334" s="6">
        <v>1</v>
      </c>
      <c r="J334" s="6">
        <v>2</v>
      </c>
      <c r="K334" s="6">
        <v>0</v>
      </c>
      <c r="L334" s="6" t="s">
        <v>52</v>
      </c>
      <c r="M334" s="6">
        <v>1</v>
      </c>
      <c r="N334" s="6">
        <v>1</v>
      </c>
      <c r="O334" s="6">
        <v>0</v>
      </c>
      <c r="P334" s="11" t="str">
        <f t="shared" si="5"/>
        <v>平</v>
      </c>
      <c r="Q334" s="11" t="str">
        <f t="shared" si="5"/>
        <v>胜</v>
      </c>
    </row>
    <row r="335" spans="4:17" customFormat="1" hidden="1" x14ac:dyDescent="0.15">
      <c r="D335" t="s">
        <v>6</v>
      </c>
      <c r="E335" s="1">
        <v>133413</v>
      </c>
      <c r="F335" s="1">
        <v>133413</v>
      </c>
      <c r="G335" s="8">
        <v>42268</v>
      </c>
      <c r="H335" s="1" t="s">
        <v>38</v>
      </c>
      <c r="I335" s="1">
        <v>0</v>
      </c>
      <c r="J335" s="1">
        <v>1</v>
      </c>
      <c r="K335" s="1">
        <v>0</v>
      </c>
      <c r="L335" s="1" t="s">
        <v>37</v>
      </c>
      <c r="M335" s="1">
        <v>0</v>
      </c>
      <c r="N335" s="1">
        <v>0</v>
      </c>
      <c r="O335" s="1">
        <v>0</v>
      </c>
      <c r="P335" s="11" t="str">
        <f t="shared" si="5"/>
        <v>平</v>
      </c>
      <c r="Q335" s="11" t="str">
        <f t="shared" si="5"/>
        <v>胜</v>
      </c>
    </row>
    <row r="336" spans="4:17" customFormat="1" hidden="1" x14ac:dyDescent="0.15">
      <c r="D336" t="s">
        <v>6</v>
      </c>
      <c r="E336" s="1">
        <v>133421</v>
      </c>
      <c r="F336" s="1">
        <v>133421</v>
      </c>
      <c r="G336" s="8">
        <v>42268.083333333336</v>
      </c>
      <c r="H336" s="1" t="s">
        <v>51</v>
      </c>
      <c r="I336" s="1">
        <v>0</v>
      </c>
      <c r="J336" s="1">
        <v>0</v>
      </c>
      <c r="K336" s="1">
        <v>0</v>
      </c>
      <c r="L336" s="1" t="s">
        <v>49</v>
      </c>
      <c r="M336" s="1">
        <v>1</v>
      </c>
      <c r="N336" s="1">
        <v>1</v>
      </c>
      <c r="O336" s="1">
        <v>0</v>
      </c>
      <c r="P336" s="11" t="str">
        <f t="shared" si="5"/>
        <v>负</v>
      </c>
      <c r="Q336" s="11" t="str">
        <f t="shared" si="5"/>
        <v>负</v>
      </c>
    </row>
    <row r="337" spans="4:17" customFormat="1" hidden="1" x14ac:dyDescent="0.15">
      <c r="D337" t="s">
        <v>6</v>
      </c>
      <c r="E337" s="1">
        <v>133649</v>
      </c>
      <c r="F337" s="1">
        <v>133649</v>
      </c>
      <c r="G337" s="8">
        <v>42266.040972222225</v>
      </c>
      <c r="H337" s="1" t="s">
        <v>45</v>
      </c>
      <c r="I337" s="1">
        <v>0</v>
      </c>
      <c r="J337" s="1">
        <v>1</v>
      </c>
      <c r="K337" s="1">
        <v>0</v>
      </c>
      <c r="L337" s="1" t="s">
        <v>40</v>
      </c>
      <c r="M337" s="1">
        <v>1</v>
      </c>
      <c r="N337" s="1">
        <v>1</v>
      </c>
      <c r="O337" s="1">
        <v>0</v>
      </c>
      <c r="P337" s="11" t="str">
        <f t="shared" si="5"/>
        <v>负</v>
      </c>
      <c r="Q337" s="11" t="str">
        <f t="shared" si="5"/>
        <v>平</v>
      </c>
    </row>
    <row r="338" spans="4:17" customFormat="1" hidden="1" x14ac:dyDescent="0.15">
      <c r="D338" t="s">
        <v>6</v>
      </c>
      <c r="E338" s="1">
        <v>135584</v>
      </c>
      <c r="F338" s="1">
        <v>135584</v>
      </c>
      <c r="G338" s="8">
        <v>42271</v>
      </c>
      <c r="H338" s="1" t="s">
        <v>40</v>
      </c>
      <c r="I338" s="1">
        <v>1</v>
      </c>
      <c r="J338" s="1">
        <v>1</v>
      </c>
      <c r="K338" s="1">
        <v>0</v>
      </c>
      <c r="L338" s="1" t="s">
        <v>38</v>
      </c>
      <c r="M338" s="1">
        <v>0</v>
      </c>
      <c r="N338" s="1">
        <v>0</v>
      </c>
      <c r="O338" s="1">
        <v>0</v>
      </c>
      <c r="P338" s="11" t="str">
        <f t="shared" si="5"/>
        <v>胜</v>
      </c>
      <c r="Q338" s="11" t="str">
        <f t="shared" si="5"/>
        <v>胜</v>
      </c>
    </row>
    <row r="339" spans="4:17" customFormat="1" hidden="1" x14ac:dyDescent="0.15">
      <c r="D339" t="s">
        <v>6</v>
      </c>
      <c r="E339" s="1">
        <v>135846</v>
      </c>
      <c r="F339" s="1">
        <v>135846</v>
      </c>
      <c r="G339" s="8">
        <v>42273.041666666664</v>
      </c>
      <c r="H339" s="1" t="s">
        <v>49</v>
      </c>
      <c r="I339" s="1">
        <v>1</v>
      </c>
      <c r="J339" s="1">
        <v>1</v>
      </c>
      <c r="K339" s="1">
        <v>0</v>
      </c>
      <c r="L339" s="1" t="s">
        <v>36</v>
      </c>
      <c r="M339" s="1">
        <v>0</v>
      </c>
      <c r="N339" s="1">
        <v>1</v>
      </c>
      <c r="O339" s="1">
        <v>0</v>
      </c>
      <c r="P339" s="11" t="str">
        <f t="shared" si="5"/>
        <v>胜</v>
      </c>
      <c r="Q339" s="11" t="str">
        <f t="shared" si="5"/>
        <v>平</v>
      </c>
    </row>
    <row r="340" spans="4:17" customFormat="1" hidden="1" x14ac:dyDescent="0.15">
      <c r="D340" t="s">
        <v>6</v>
      </c>
      <c r="E340" s="1">
        <v>135921</v>
      </c>
      <c r="F340" s="1">
        <v>135921</v>
      </c>
      <c r="G340" s="8">
        <v>42275.083333333336</v>
      </c>
      <c r="H340" s="1" t="s">
        <v>42</v>
      </c>
      <c r="I340" s="1">
        <v>1</v>
      </c>
      <c r="J340" s="1">
        <v>1</v>
      </c>
      <c r="K340" s="1">
        <v>0</v>
      </c>
      <c r="L340" s="1" t="s">
        <v>38</v>
      </c>
      <c r="M340" s="1">
        <v>0</v>
      </c>
      <c r="N340" s="1">
        <v>0</v>
      </c>
      <c r="O340" s="1">
        <v>0</v>
      </c>
      <c r="P340" s="11" t="str">
        <f t="shared" si="5"/>
        <v>胜</v>
      </c>
      <c r="Q340" s="11" t="str">
        <f t="shared" si="5"/>
        <v>胜</v>
      </c>
    </row>
    <row r="341" spans="4:17" customFormat="1" hidden="1" x14ac:dyDescent="0.15">
      <c r="D341" t="s">
        <v>6</v>
      </c>
      <c r="E341" s="1">
        <v>135933</v>
      </c>
      <c r="F341" s="1">
        <v>135933</v>
      </c>
      <c r="G341" s="8">
        <v>42273.897222222222</v>
      </c>
      <c r="H341" s="1" t="s">
        <v>44</v>
      </c>
      <c r="I341" s="1">
        <v>1</v>
      </c>
      <c r="J341" s="1">
        <v>3</v>
      </c>
      <c r="K341" s="1">
        <v>0</v>
      </c>
      <c r="L341" s="1" t="s">
        <v>51</v>
      </c>
      <c r="M341" s="1">
        <v>0</v>
      </c>
      <c r="N341" s="1">
        <v>0</v>
      </c>
      <c r="O341" s="1">
        <v>0</v>
      </c>
      <c r="P341" s="11" t="str">
        <f t="shared" si="5"/>
        <v>胜</v>
      </c>
      <c r="Q341" s="11" t="str">
        <f t="shared" si="5"/>
        <v>胜</v>
      </c>
    </row>
    <row r="342" spans="4:17" customFormat="1" hidden="1" x14ac:dyDescent="0.15">
      <c r="D342" t="s">
        <v>6</v>
      </c>
      <c r="E342" s="1">
        <v>135936</v>
      </c>
      <c r="F342" s="1">
        <v>135936</v>
      </c>
      <c r="G342" s="8">
        <v>42274.999305555553</v>
      </c>
      <c r="H342" s="1" t="s">
        <v>52</v>
      </c>
      <c r="I342" s="1">
        <v>0</v>
      </c>
      <c r="J342" s="1">
        <v>0</v>
      </c>
      <c r="K342" s="1">
        <v>0</v>
      </c>
      <c r="L342" s="1" t="s">
        <v>48</v>
      </c>
      <c r="M342" s="1">
        <v>0</v>
      </c>
      <c r="N342" s="1">
        <v>1</v>
      </c>
      <c r="O342" s="1">
        <v>0</v>
      </c>
      <c r="P342" s="11" t="str">
        <f t="shared" si="5"/>
        <v>平</v>
      </c>
      <c r="Q342" s="11" t="str">
        <f t="shared" si="5"/>
        <v>负</v>
      </c>
    </row>
    <row r="343" spans="4:17" customFormat="1" hidden="1" x14ac:dyDescent="0.15">
      <c r="D343" t="s">
        <v>6</v>
      </c>
      <c r="E343" s="1">
        <v>135943</v>
      </c>
      <c r="F343" s="1">
        <v>135943</v>
      </c>
      <c r="G343" s="8">
        <v>42275</v>
      </c>
      <c r="H343" s="1" t="s">
        <v>37</v>
      </c>
      <c r="I343" s="1">
        <v>1</v>
      </c>
      <c r="J343" s="1">
        <v>2</v>
      </c>
      <c r="K343" s="1">
        <v>0</v>
      </c>
      <c r="L343" s="1" t="s">
        <v>45</v>
      </c>
      <c r="M343" s="1">
        <v>0</v>
      </c>
      <c r="N343" s="1">
        <v>0</v>
      </c>
      <c r="O343" s="1">
        <v>0</v>
      </c>
      <c r="P343" s="11" t="str">
        <f t="shared" si="5"/>
        <v>胜</v>
      </c>
      <c r="Q343" s="11" t="str">
        <f t="shared" si="5"/>
        <v>胜</v>
      </c>
    </row>
    <row r="344" spans="4:17" customFormat="1" hidden="1" x14ac:dyDescent="0.15">
      <c r="D344" t="s">
        <v>6</v>
      </c>
      <c r="E344" s="1">
        <v>135955</v>
      </c>
      <c r="F344" s="1">
        <v>135955</v>
      </c>
      <c r="G344" s="8">
        <v>42274</v>
      </c>
      <c r="H344" s="1" t="s">
        <v>40</v>
      </c>
      <c r="I344" s="1">
        <v>0</v>
      </c>
      <c r="J344" s="1">
        <v>3</v>
      </c>
      <c r="K344" s="1">
        <v>0</v>
      </c>
      <c r="L344" s="1" t="s">
        <v>32</v>
      </c>
      <c r="M344" s="1">
        <v>0</v>
      </c>
      <c r="N344" s="1">
        <v>1</v>
      </c>
      <c r="O344" s="1">
        <v>0</v>
      </c>
      <c r="P344" s="11" t="str">
        <f t="shared" si="5"/>
        <v>平</v>
      </c>
      <c r="Q344" s="11" t="str">
        <f t="shared" si="5"/>
        <v>胜</v>
      </c>
    </row>
    <row r="345" spans="4:17" customFormat="1" hidden="1" x14ac:dyDescent="0.15">
      <c r="D345" t="s">
        <v>6</v>
      </c>
      <c r="E345" s="1">
        <v>135961</v>
      </c>
      <c r="F345" s="1">
        <v>135961</v>
      </c>
      <c r="G345" s="8">
        <v>42274.895833333336</v>
      </c>
      <c r="H345" s="1" t="s">
        <v>54</v>
      </c>
      <c r="I345" s="1">
        <v>1</v>
      </c>
      <c r="J345" s="1">
        <v>1</v>
      </c>
      <c r="K345" s="1">
        <v>0</v>
      </c>
      <c r="L345" s="1" t="s">
        <v>41</v>
      </c>
      <c r="M345" s="1">
        <v>0</v>
      </c>
      <c r="N345" s="1">
        <v>1</v>
      </c>
      <c r="O345" s="1">
        <v>0</v>
      </c>
      <c r="P345" s="11" t="str">
        <f t="shared" si="5"/>
        <v>胜</v>
      </c>
      <c r="Q345" s="11" t="str">
        <f t="shared" si="5"/>
        <v>平</v>
      </c>
    </row>
    <row r="346" spans="4:17" customFormat="1" hidden="1" x14ac:dyDescent="0.15">
      <c r="D346" t="s">
        <v>6</v>
      </c>
      <c r="E346" s="1">
        <v>137190</v>
      </c>
      <c r="F346" s="1">
        <v>137190</v>
      </c>
      <c r="G346" s="8">
        <v>42275</v>
      </c>
      <c r="H346" s="1" t="s">
        <v>53</v>
      </c>
      <c r="I346" s="1">
        <v>0</v>
      </c>
      <c r="J346" s="1">
        <v>1</v>
      </c>
      <c r="K346" s="1">
        <v>0</v>
      </c>
      <c r="L346" s="1" t="s">
        <v>43</v>
      </c>
      <c r="M346" s="1">
        <v>0</v>
      </c>
      <c r="N346" s="1">
        <v>1</v>
      </c>
      <c r="O346" s="1">
        <v>0</v>
      </c>
      <c r="P346" s="11" t="str">
        <f t="shared" si="5"/>
        <v>平</v>
      </c>
      <c r="Q346" s="11" t="str">
        <f t="shared" si="5"/>
        <v>平</v>
      </c>
    </row>
    <row r="347" spans="4:17" customFormat="1" hidden="1" x14ac:dyDescent="0.15">
      <c r="D347" t="s">
        <v>6</v>
      </c>
      <c r="E347" s="1">
        <v>137771</v>
      </c>
      <c r="F347" s="1">
        <v>137771</v>
      </c>
      <c r="G347" s="8">
        <v>42281.895138888889</v>
      </c>
      <c r="H347" s="1" t="s">
        <v>48</v>
      </c>
      <c r="I347" s="1">
        <v>0</v>
      </c>
      <c r="J347" s="1">
        <v>1</v>
      </c>
      <c r="K347" s="1">
        <v>0</v>
      </c>
      <c r="L347" s="1" t="s">
        <v>54</v>
      </c>
      <c r="M347" s="1">
        <v>1</v>
      </c>
      <c r="N347" s="1">
        <v>2</v>
      </c>
      <c r="O347" s="1">
        <v>0</v>
      </c>
      <c r="P347" s="11" t="str">
        <f t="shared" si="5"/>
        <v>负</v>
      </c>
      <c r="Q347" s="11" t="str">
        <f t="shared" si="5"/>
        <v>负</v>
      </c>
    </row>
    <row r="348" spans="4:17" hidden="1" x14ac:dyDescent="0.15">
      <c r="D348" s="2" t="s">
        <v>6</v>
      </c>
      <c r="E348" s="6">
        <v>137787</v>
      </c>
      <c r="F348" s="6">
        <v>137787</v>
      </c>
      <c r="G348" s="24">
        <v>42280.040972222225</v>
      </c>
      <c r="H348" s="6" t="s">
        <v>32</v>
      </c>
      <c r="I348" s="6">
        <v>0</v>
      </c>
      <c r="J348" s="6">
        <v>1</v>
      </c>
      <c r="K348" s="6">
        <v>0</v>
      </c>
      <c r="L348" s="6" t="s">
        <v>49</v>
      </c>
      <c r="M348" s="6">
        <v>0</v>
      </c>
      <c r="N348" s="6">
        <v>1</v>
      </c>
      <c r="O348" s="6">
        <v>0</v>
      </c>
      <c r="P348" s="11" t="str">
        <f t="shared" si="5"/>
        <v>平</v>
      </c>
      <c r="Q348" s="11" t="str">
        <f t="shared" si="5"/>
        <v>平</v>
      </c>
    </row>
    <row r="349" spans="4:17" customFormat="1" hidden="1" x14ac:dyDescent="0.15">
      <c r="D349" t="s">
        <v>6</v>
      </c>
      <c r="E349" s="1">
        <v>137801</v>
      </c>
      <c r="F349" s="1">
        <v>137801</v>
      </c>
      <c r="G349" s="8">
        <v>42282</v>
      </c>
      <c r="H349" s="1" t="s">
        <v>38</v>
      </c>
      <c r="I349" s="1">
        <v>2</v>
      </c>
      <c r="J349" s="1">
        <v>4</v>
      </c>
      <c r="K349" s="1">
        <v>0</v>
      </c>
      <c r="L349" s="1" t="s">
        <v>53</v>
      </c>
      <c r="M349" s="1">
        <v>0</v>
      </c>
      <c r="N349" s="1">
        <v>0</v>
      </c>
      <c r="O349" s="1">
        <v>0</v>
      </c>
      <c r="P349" s="11" t="str">
        <f t="shared" si="5"/>
        <v>胜</v>
      </c>
      <c r="Q349" s="11" t="str">
        <f t="shared" si="5"/>
        <v>胜</v>
      </c>
    </row>
    <row r="350" spans="4:17" customFormat="1" x14ac:dyDescent="0.15">
      <c r="D350" t="s">
        <v>6</v>
      </c>
      <c r="E350" s="1">
        <v>137807</v>
      </c>
      <c r="F350" s="1">
        <v>137807</v>
      </c>
      <c r="G350" s="8">
        <v>42282.083333333336</v>
      </c>
      <c r="H350" s="1" t="s">
        <v>36</v>
      </c>
      <c r="I350" s="1">
        <v>0</v>
      </c>
      <c r="J350" s="1">
        <v>0</v>
      </c>
      <c r="K350" s="1">
        <v>0</v>
      </c>
      <c r="L350" s="1" t="s">
        <v>37</v>
      </c>
      <c r="M350" s="1">
        <v>3</v>
      </c>
      <c r="N350" s="1">
        <v>4</v>
      </c>
      <c r="O350" s="1">
        <v>0</v>
      </c>
      <c r="P350" s="11" t="str">
        <f t="shared" si="5"/>
        <v>负</v>
      </c>
      <c r="Q350" s="11" t="str">
        <f t="shared" si="5"/>
        <v>负</v>
      </c>
    </row>
    <row r="351" spans="4:17" customFormat="1" hidden="1" x14ac:dyDescent="0.15">
      <c r="D351" t="s">
        <v>6</v>
      </c>
      <c r="E351" s="1">
        <v>137819</v>
      </c>
      <c r="F351" s="1">
        <v>137819</v>
      </c>
      <c r="G351" s="8">
        <v>42281</v>
      </c>
      <c r="H351" s="1" t="s">
        <v>51</v>
      </c>
      <c r="I351" s="1">
        <v>0</v>
      </c>
      <c r="J351" s="1">
        <v>1</v>
      </c>
      <c r="K351" s="1">
        <v>0</v>
      </c>
      <c r="L351" s="1" t="s">
        <v>42</v>
      </c>
      <c r="M351" s="1">
        <v>2</v>
      </c>
      <c r="N351" s="1">
        <v>4</v>
      </c>
      <c r="O351" s="1">
        <v>0</v>
      </c>
      <c r="P351" s="11" t="str">
        <f t="shared" si="5"/>
        <v>负</v>
      </c>
      <c r="Q351" s="11" t="str">
        <f t="shared" si="5"/>
        <v>负</v>
      </c>
    </row>
    <row r="352" spans="4:17" customFormat="1" hidden="1" x14ac:dyDescent="0.15">
      <c r="D352" t="s">
        <v>6</v>
      </c>
      <c r="E352" s="1">
        <v>137880</v>
      </c>
      <c r="F352" s="1">
        <v>137880</v>
      </c>
      <c r="G352" s="8">
        <v>42281.999305555553</v>
      </c>
      <c r="H352" s="1" t="s">
        <v>43</v>
      </c>
      <c r="I352" s="1">
        <v>0</v>
      </c>
      <c r="J352" s="1">
        <v>2</v>
      </c>
      <c r="K352" s="1">
        <v>0</v>
      </c>
      <c r="L352" s="1" t="s">
        <v>52</v>
      </c>
      <c r="M352" s="1">
        <v>1</v>
      </c>
      <c r="N352" s="1">
        <v>1</v>
      </c>
      <c r="O352" s="1">
        <v>0</v>
      </c>
      <c r="P352" s="11" t="str">
        <f t="shared" si="5"/>
        <v>负</v>
      </c>
      <c r="Q352" s="11" t="str">
        <f t="shared" si="5"/>
        <v>胜</v>
      </c>
    </row>
    <row r="353" spans="4:17" customFormat="1" hidden="1" x14ac:dyDescent="0.15">
      <c r="D353" t="s">
        <v>6</v>
      </c>
      <c r="E353" s="1">
        <v>137881</v>
      </c>
      <c r="F353" s="1">
        <v>137881</v>
      </c>
      <c r="G353" s="8">
        <v>42281.999305555553</v>
      </c>
      <c r="H353" s="1" t="s">
        <v>45</v>
      </c>
      <c r="I353" s="1">
        <v>1</v>
      </c>
      <c r="J353" s="1">
        <v>1</v>
      </c>
      <c r="K353" s="1">
        <v>0</v>
      </c>
      <c r="L353" s="1" t="s">
        <v>44</v>
      </c>
      <c r="M353" s="1">
        <v>0</v>
      </c>
      <c r="N353" s="1">
        <v>0</v>
      </c>
      <c r="O353" s="1">
        <v>0</v>
      </c>
      <c r="P353" s="11" t="str">
        <f t="shared" si="5"/>
        <v>胜</v>
      </c>
      <c r="Q353" s="11" t="str">
        <f t="shared" si="5"/>
        <v>胜</v>
      </c>
    </row>
    <row r="354" spans="4:17" customFormat="1" hidden="1" x14ac:dyDescent="0.15">
      <c r="D354" t="s">
        <v>6</v>
      </c>
      <c r="E354" s="1">
        <v>137893</v>
      </c>
      <c r="F354" s="1">
        <v>137893</v>
      </c>
      <c r="G354" s="8">
        <v>42280.897222222222</v>
      </c>
      <c r="H354" s="1" t="s">
        <v>41</v>
      </c>
      <c r="I354" s="1">
        <v>0</v>
      </c>
      <c r="J354" s="1">
        <v>1</v>
      </c>
      <c r="K354" s="1">
        <v>0</v>
      </c>
      <c r="L354" s="1" t="s">
        <v>40</v>
      </c>
      <c r="M354" s="1">
        <v>2</v>
      </c>
      <c r="N354" s="1">
        <v>6</v>
      </c>
      <c r="O354" s="1">
        <v>0</v>
      </c>
      <c r="P354" s="11" t="str">
        <f t="shared" si="5"/>
        <v>负</v>
      </c>
      <c r="Q354" s="11" t="str">
        <f t="shared" si="5"/>
        <v>负</v>
      </c>
    </row>
    <row r="355" spans="4:17" customFormat="1" hidden="1" x14ac:dyDescent="0.15">
      <c r="D355" t="s">
        <v>6</v>
      </c>
      <c r="E355" s="1">
        <v>159564</v>
      </c>
      <c r="F355" s="1">
        <v>159564</v>
      </c>
      <c r="G355" s="8">
        <v>42295.895833333336</v>
      </c>
      <c r="H355" s="1" t="s">
        <v>38</v>
      </c>
      <c r="I355" s="1">
        <v>0</v>
      </c>
      <c r="J355" s="1">
        <v>3</v>
      </c>
      <c r="K355" s="1">
        <v>0</v>
      </c>
      <c r="L355" s="1" t="s">
        <v>51</v>
      </c>
      <c r="M355" s="1">
        <v>0</v>
      </c>
      <c r="N355" s="1">
        <v>1</v>
      </c>
      <c r="O355" s="1">
        <v>0</v>
      </c>
      <c r="P355" s="11" t="str">
        <f t="shared" si="5"/>
        <v>平</v>
      </c>
      <c r="Q355" s="11" t="str">
        <f t="shared" si="5"/>
        <v>胜</v>
      </c>
    </row>
    <row r="356" spans="4:17" customFormat="1" hidden="1" x14ac:dyDescent="0.15">
      <c r="D356" t="s">
        <v>6</v>
      </c>
      <c r="E356" s="1">
        <v>159583</v>
      </c>
      <c r="F356" s="1">
        <v>159583</v>
      </c>
      <c r="G356" s="8">
        <v>42294.042361111111</v>
      </c>
      <c r="H356" s="1" t="s">
        <v>40</v>
      </c>
      <c r="I356" s="1">
        <v>2</v>
      </c>
      <c r="J356" s="1">
        <v>2</v>
      </c>
      <c r="K356" s="1">
        <v>0</v>
      </c>
      <c r="L356" s="1" t="s">
        <v>54</v>
      </c>
      <c r="M356" s="1">
        <v>0</v>
      </c>
      <c r="N356" s="1">
        <v>1</v>
      </c>
      <c r="O356" s="1">
        <v>0</v>
      </c>
      <c r="P356" s="11" t="str">
        <f t="shared" si="5"/>
        <v>胜</v>
      </c>
      <c r="Q356" s="11" t="str">
        <f t="shared" si="5"/>
        <v>胜</v>
      </c>
    </row>
    <row r="357" spans="4:17" customFormat="1" hidden="1" x14ac:dyDescent="0.15">
      <c r="D357" t="s">
        <v>6</v>
      </c>
      <c r="E357" s="1">
        <v>159589</v>
      </c>
      <c r="F357" s="1">
        <v>159589</v>
      </c>
      <c r="G357" s="8">
        <v>42294.895138888889</v>
      </c>
      <c r="H357" s="1" t="s">
        <v>52</v>
      </c>
      <c r="I357" s="1">
        <v>2</v>
      </c>
      <c r="J357" s="1">
        <v>4</v>
      </c>
      <c r="K357" s="1">
        <v>0</v>
      </c>
      <c r="L357" s="1" t="s">
        <v>36</v>
      </c>
      <c r="M357" s="1">
        <v>0</v>
      </c>
      <c r="N357" s="1">
        <v>1</v>
      </c>
      <c r="O357" s="1">
        <v>0</v>
      </c>
      <c r="P357" s="11" t="str">
        <f t="shared" si="5"/>
        <v>胜</v>
      </c>
      <c r="Q357" s="11" t="str">
        <f t="shared" si="5"/>
        <v>胜</v>
      </c>
    </row>
    <row r="358" spans="4:17" customFormat="1" hidden="1" x14ac:dyDescent="0.15">
      <c r="D358" t="s">
        <v>6</v>
      </c>
      <c r="E358" s="1">
        <v>159591</v>
      </c>
      <c r="F358" s="1">
        <v>159591</v>
      </c>
      <c r="G358" s="8">
        <v>42295.000694444447</v>
      </c>
      <c r="H358" s="1" t="s">
        <v>42</v>
      </c>
      <c r="I358" s="1">
        <v>0</v>
      </c>
      <c r="J358" s="1">
        <v>1</v>
      </c>
      <c r="K358" s="1">
        <v>0</v>
      </c>
      <c r="L358" s="1" t="s">
        <v>43</v>
      </c>
      <c r="M358" s="1">
        <v>1</v>
      </c>
      <c r="N358" s="1">
        <v>4</v>
      </c>
      <c r="O358" s="1">
        <v>0</v>
      </c>
      <c r="P358" s="11" t="str">
        <f t="shared" si="5"/>
        <v>负</v>
      </c>
      <c r="Q358" s="11" t="str">
        <f t="shared" si="5"/>
        <v>负</v>
      </c>
    </row>
    <row r="359" spans="4:17" customFormat="1" hidden="1" x14ac:dyDescent="0.15">
      <c r="D359" t="s">
        <v>6</v>
      </c>
      <c r="E359" s="1">
        <v>159708</v>
      </c>
      <c r="F359" s="1">
        <v>159708</v>
      </c>
      <c r="G359" s="8">
        <v>42296</v>
      </c>
      <c r="H359" s="1" t="s">
        <v>44</v>
      </c>
      <c r="I359" s="1">
        <v>2</v>
      </c>
      <c r="J359" s="1">
        <v>2</v>
      </c>
      <c r="K359" s="1">
        <v>0</v>
      </c>
      <c r="L359" s="1" t="s">
        <v>48</v>
      </c>
      <c r="M359" s="1">
        <v>0</v>
      </c>
      <c r="N359" s="1">
        <v>0</v>
      </c>
      <c r="O359" s="1">
        <v>0</v>
      </c>
      <c r="P359" s="11" t="str">
        <f t="shared" si="5"/>
        <v>胜</v>
      </c>
      <c r="Q359" s="11" t="str">
        <f t="shared" si="5"/>
        <v>胜</v>
      </c>
    </row>
    <row r="360" spans="4:17" customFormat="1" hidden="1" x14ac:dyDescent="0.15">
      <c r="D360" t="s">
        <v>6</v>
      </c>
      <c r="E360" s="1">
        <v>159709</v>
      </c>
      <c r="F360" s="1">
        <v>159709</v>
      </c>
      <c r="G360" s="8">
        <v>42296</v>
      </c>
      <c r="H360" s="1" t="s">
        <v>37</v>
      </c>
      <c r="I360" s="1">
        <v>0</v>
      </c>
      <c r="J360" s="1">
        <v>1</v>
      </c>
      <c r="K360" s="1">
        <v>0</v>
      </c>
      <c r="L360" s="1" t="s">
        <v>32</v>
      </c>
      <c r="M360" s="1">
        <v>0</v>
      </c>
      <c r="N360" s="1">
        <v>1</v>
      </c>
      <c r="O360" s="1">
        <v>0</v>
      </c>
      <c r="P360" s="11" t="str">
        <f t="shared" si="5"/>
        <v>平</v>
      </c>
      <c r="Q360" s="11" t="str">
        <f t="shared" si="5"/>
        <v>平</v>
      </c>
    </row>
    <row r="361" spans="4:17" customFormat="1" hidden="1" x14ac:dyDescent="0.15">
      <c r="D361" t="s">
        <v>6</v>
      </c>
      <c r="E361" s="1">
        <v>159710</v>
      </c>
      <c r="F361" s="1">
        <v>159710</v>
      </c>
      <c r="G361" s="8">
        <v>42296</v>
      </c>
      <c r="H361" s="1" t="s">
        <v>49</v>
      </c>
      <c r="I361" s="1">
        <v>2</v>
      </c>
      <c r="J361" s="1">
        <v>3</v>
      </c>
      <c r="K361" s="1">
        <v>0</v>
      </c>
      <c r="L361" s="1" t="s">
        <v>41</v>
      </c>
      <c r="M361" s="1">
        <v>0</v>
      </c>
      <c r="N361" s="1">
        <v>1</v>
      </c>
      <c r="O361" s="1">
        <v>0</v>
      </c>
      <c r="P361" s="11" t="str">
        <f t="shared" si="5"/>
        <v>胜</v>
      </c>
      <c r="Q361" s="11" t="str">
        <f t="shared" si="5"/>
        <v>胜</v>
      </c>
    </row>
    <row r="362" spans="4:17" customFormat="1" hidden="1" x14ac:dyDescent="0.15">
      <c r="D362" t="s">
        <v>6</v>
      </c>
      <c r="E362" s="1">
        <v>159716</v>
      </c>
      <c r="F362" s="1">
        <v>159716</v>
      </c>
      <c r="G362" s="8">
        <v>42296.083333333336</v>
      </c>
      <c r="H362" s="1" t="s">
        <v>53</v>
      </c>
      <c r="I362" s="1">
        <v>1</v>
      </c>
      <c r="J362" s="1">
        <v>3</v>
      </c>
      <c r="K362" s="1">
        <v>0</v>
      </c>
      <c r="L362" s="1" t="s">
        <v>45</v>
      </c>
      <c r="M362" s="1">
        <v>1</v>
      </c>
      <c r="N362" s="1">
        <v>1</v>
      </c>
      <c r="O362" s="1">
        <v>0</v>
      </c>
      <c r="P362" s="11" t="str">
        <f t="shared" si="5"/>
        <v>平</v>
      </c>
      <c r="Q362" s="11" t="str">
        <f t="shared" si="5"/>
        <v>胜</v>
      </c>
    </row>
    <row r="363" spans="4:17" customFormat="1" hidden="1" x14ac:dyDescent="0.15">
      <c r="D363" t="s">
        <v>6</v>
      </c>
      <c r="E363" s="1">
        <v>161838</v>
      </c>
      <c r="F363" s="1">
        <v>161838</v>
      </c>
      <c r="G363" s="8">
        <v>42302</v>
      </c>
      <c r="H363" s="1" t="s">
        <v>48</v>
      </c>
      <c r="I363" s="1">
        <v>0</v>
      </c>
      <c r="J363" s="1">
        <v>0</v>
      </c>
      <c r="K363" s="1">
        <v>0</v>
      </c>
      <c r="L363" s="1" t="s">
        <v>49</v>
      </c>
      <c r="M363" s="1">
        <v>1</v>
      </c>
      <c r="N363" s="1">
        <v>1</v>
      </c>
      <c r="O363" s="1">
        <v>0</v>
      </c>
      <c r="P363" s="11" t="str">
        <f t="shared" si="5"/>
        <v>负</v>
      </c>
      <c r="Q363" s="11" t="str">
        <f t="shared" si="5"/>
        <v>负</v>
      </c>
    </row>
    <row r="364" spans="4:17" customFormat="1" hidden="1" x14ac:dyDescent="0.15">
      <c r="D364" t="s">
        <v>6</v>
      </c>
      <c r="E364" s="1">
        <v>161839</v>
      </c>
      <c r="F364" s="1">
        <v>161839</v>
      </c>
      <c r="G364" s="8">
        <v>42301.895138888889</v>
      </c>
      <c r="H364" s="1" t="s">
        <v>41</v>
      </c>
      <c r="I364" s="1">
        <v>0</v>
      </c>
      <c r="J364" s="1">
        <v>1</v>
      </c>
      <c r="K364" s="1">
        <v>0</v>
      </c>
      <c r="L364" s="1" t="s">
        <v>53</v>
      </c>
      <c r="M364" s="1">
        <v>0</v>
      </c>
      <c r="N364" s="1">
        <v>0</v>
      </c>
      <c r="O364" s="1">
        <v>0</v>
      </c>
      <c r="P364" s="11" t="str">
        <f t="shared" si="5"/>
        <v>平</v>
      </c>
      <c r="Q364" s="11" t="str">
        <f t="shared" si="5"/>
        <v>胜</v>
      </c>
    </row>
    <row r="365" spans="4:17" customFormat="1" x14ac:dyDescent="0.15">
      <c r="D365" t="s">
        <v>6</v>
      </c>
      <c r="E365" s="1">
        <v>161955</v>
      </c>
      <c r="F365" s="1">
        <v>161955</v>
      </c>
      <c r="G365" s="8">
        <v>42301.041666666664</v>
      </c>
      <c r="H365" s="1" t="s">
        <v>36</v>
      </c>
      <c r="I365" s="1">
        <v>0</v>
      </c>
      <c r="J365" s="1">
        <v>1</v>
      </c>
      <c r="K365" s="1">
        <v>0</v>
      </c>
      <c r="L365" s="1" t="s">
        <v>51</v>
      </c>
      <c r="M365" s="1">
        <v>1</v>
      </c>
      <c r="N365" s="1">
        <v>1</v>
      </c>
      <c r="O365" s="1">
        <v>0</v>
      </c>
      <c r="P365" s="11" t="str">
        <f t="shared" si="5"/>
        <v>负</v>
      </c>
      <c r="Q365" s="11" t="str">
        <f t="shared" si="5"/>
        <v>平</v>
      </c>
    </row>
    <row r="366" spans="4:17" customFormat="1" hidden="1" x14ac:dyDescent="0.15">
      <c r="D366" t="s">
        <v>6</v>
      </c>
      <c r="E366" s="1">
        <v>161992</v>
      </c>
      <c r="F366" s="1">
        <v>161992</v>
      </c>
      <c r="G366" s="8">
        <v>42302.9375</v>
      </c>
      <c r="H366" s="1" t="s">
        <v>43</v>
      </c>
      <c r="I366" s="1">
        <v>1</v>
      </c>
      <c r="J366" s="1">
        <v>1</v>
      </c>
      <c r="K366" s="1">
        <v>0</v>
      </c>
      <c r="L366" s="1" t="s">
        <v>38</v>
      </c>
      <c r="M366" s="1">
        <v>1</v>
      </c>
      <c r="N366" s="1">
        <v>2</v>
      </c>
      <c r="O366" s="1">
        <v>0</v>
      </c>
      <c r="P366" s="11" t="str">
        <f t="shared" si="5"/>
        <v>平</v>
      </c>
      <c r="Q366" s="11" t="str">
        <f t="shared" si="5"/>
        <v>负</v>
      </c>
    </row>
    <row r="367" spans="4:17" hidden="1" x14ac:dyDescent="0.15">
      <c r="D367" s="2" t="s">
        <v>6</v>
      </c>
      <c r="E367" s="6">
        <v>162001</v>
      </c>
      <c r="F367" s="6">
        <v>162001</v>
      </c>
      <c r="G367" s="24">
        <v>42303.042361111111</v>
      </c>
      <c r="H367" s="6" t="s">
        <v>32</v>
      </c>
      <c r="I367" s="6">
        <v>0</v>
      </c>
      <c r="J367" s="6">
        <v>0</v>
      </c>
      <c r="K367" s="6">
        <v>0</v>
      </c>
      <c r="L367" s="6" t="s">
        <v>44</v>
      </c>
      <c r="M367" s="6">
        <v>1</v>
      </c>
      <c r="N367" s="6">
        <v>3</v>
      </c>
      <c r="O367" s="6">
        <v>0</v>
      </c>
      <c r="P367" s="11" t="str">
        <f t="shared" si="5"/>
        <v>负</v>
      </c>
      <c r="Q367" s="11" t="str">
        <f t="shared" si="5"/>
        <v>负</v>
      </c>
    </row>
    <row r="368" spans="4:17" customFormat="1" hidden="1" x14ac:dyDescent="0.15">
      <c r="D368" t="s">
        <v>6</v>
      </c>
      <c r="E368" s="1">
        <v>162002</v>
      </c>
      <c r="F368" s="1">
        <v>162002</v>
      </c>
      <c r="G368" s="8">
        <v>42303.040972222225</v>
      </c>
      <c r="H368" s="1" t="s">
        <v>54</v>
      </c>
      <c r="I368" s="1">
        <v>1</v>
      </c>
      <c r="J368" s="1">
        <v>3</v>
      </c>
      <c r="K368" s="1">
        <v>0</v>
      </c>
      <c r="L368" s="1" t="s">
        <v>52</v>
      </c>
      <c r="M368" s="1">
        <v>1</v>
      </c>
      <c r="N368" s="1">
        <v>3</v>
      </c>
      <c r="O368" s="1">
        <v>0</v>
      </c>
      <c r="P368" s="11" t="str">
        <f t="shared" si="5"/>
        <v>平</v>
      </c>
      <c r="Q368" s="11" t="str">
        <f t="shared" si="5"/>
        <v>平</v>
      </c>
    </row>
    <row r="369" spans="4:17" customFormat="1" hidden="1" x14ac:dyDescent="0.15">
      <c r="D369" t="s">
        <v>6</v>
      </c>
      <c r="E369" s="1">
        <v>162003</v>
      </c>
      <c r="F369" s="1">
        <v>162003</v>
      </c>
      <c r="G369" s="8">
        <v>42303.041666666664</v>
      </c>
      <c r="H369" s="1" t="s">
        <v>40</v>
      </c>
      <c r="I369" s="1">
        <v>3</v>
      </c>
      <c r="J369" s="1">
        <v>3</v>
      </c>
      <c r="K369" s="1">
        <v>0</v>
      </c>
      <c r="L369" s="1" t="s">
        <v>37</v>
      </c>
      <c r="M369" s="1">
        <v>1</v>
      </c>
      <c r="N369" s="1">
        <v>3</v>
      </c>
      <c r="O369" s="1">
        <v>0</v>
      </c>
      <c r="P369" s="11" t="str">
        <f t="shared" si="5"/>
        <v>胜</v>
      </c>
      <c r="Q369" s="11" t="str">
        <f t="shared" si="5"/>
        <v>平</v>
      </c>
    </row>
    <row r="370" spans="4:17" customFormat="1" hidden="1" x14ac:dyDescent="0.15">
      <c r="D370" t="s">
        <v>6</v>
      </c>
      <c r="E370" s="1">
        <v>162007</v>
      </c>
      <c r="F370" s="1">
        <v>162007</v>
      </c>
      <c r="G370" s="8">
        <v>42303.125</v>
      </c>
      <c r="H370" s="1" t="s">
        <v>45</v>
      </c>
      <c r="I370" s="1">
        <v>1</v>
      </c>
      <c r="J370" s="1">
        <v>2</v>
      </c>
      <c r="K370" s="1">
        <v>0</v>
      </c>
      <c r="L370" s="1" t="s">
        <v>42</v>
      </c>
      <c r="M370" s="1">
        <v>1</v>
      </c>
      <c r="N370" s="1">
        <v>1</v>
      </c>
      <c r="O370" s="1">
        <v>0</v>
      </c>
      <c r="P370" s="11" t="str">
        <f t="shared" si="5"/>
        <v>平</v>
      </c>
      <c r="Q370" s="11" t="str">
        <f t="shared" si="5"/>
        <v>胜</v>
      </c>
    </row>
    <row r="371" spans="4:17" customFormat="1" hidden="1" x14ac:dyDescent="0.15">
      <c r="D371" t="s">
        <v>6</v>
      </c>
      <c r="E371" s="1">
        <v>163886</v>
      </c>
      <c r="F371" s="1">
        <v>163886</v>
      </c>
      <c r="G371" s="8">
        <v>42310.042361111111</v>
      </c>
      <c r="H371" s="1" t="s">
        <v>44</v>
      </c>
      <c r="I371" s="1">
        <v>0</v>
      </c>
      <c r="J371" s="1">
        <v>3</v>
      </c>
      <c r="K371" s="1">
        <v>0</v>
      </c>
      <c r="L371" s="1" t="s">
        <v>41</v>
      </c>
      <c r="M371" s="1">
        <v>0</v>
      </c>
      <c r="N371" s="1">
        <v>1</v>
      </c>
      <c r="O371" s="1">
        <v>0</v>
      </c>
      <c r="P371" s="11" t="str">
        <f t="shared" si="5"/>
        <v>平</v>
      </c>
      <c r="Q371" s="11" t="str">
        <f t="shared" si="5"/>
        <v>胜</v>
      </c>
    </row>
    <row r="372" spans="4:17" customFormat="1" hidden="1" x14ac:dyDescent="0.15">
      <c r="D372" t="s">
        <v>6</v>
      </c>
      <c r="E372" s="1">
        <v>163887</v>
      </c>
      <c r="F372" s="1">
        <v>163887</v>
      </c>
      <c r="G372" s="8">
        <v>42310.041666666664</v>
      </c>
      <c r="H372" s="1" t="s">
        <v>42</v>
      </c>
      <c r="I372" s="1">
        <v>1</v>
      </c>
      <c r="J372" s="1">
        <v>3</v>
      </c>
      <c r="K372" s="1">
        <v>0</v>
      </c>
      <c r="L372" s="1" t="s">
        <v>36</v>
      </c>
      <c r="M372" s="1">
        <v>1</v>
      </c>
      <c r="N372" s="1">
        <v>2</v>
      </c>
      <c r="O372" s="1">
        <v>0</v>
      </c>
      <c r="P372" s="11" t="str">
        <f t="shared" si="5"/>
        <v>平</v>
      </c>
      <c r="Q372" s="11" t="str">
        <f t="shared" si="5"/>
        <v>胜</v>
      </c>
    </row>
    <row r="373" spans="4:17" customFormat="1" hidden="1" x14ac:dyDescent="0.15">
      <c r="D373" t="s">
        <v>6</v>
      </c>
      <c r="E373" s="1">
        <v>163888</v>
      </c>
      <c r="F373" s="1">
        <v>163888</v>
      </c>
      <c r="G373" s="8">
        <v>42310.041666666664</v>
      </c>
      <c r="H373" s="1" t="s">
        <v>52</v>
      </c>
      <c r="I373" s="1">
        <v>0</v>
      </c>
      <c r="J373" s="1">
        <v>1</v>
      </c>
      <c r="K373" s="1">
        <v>0</v>
      </c>
      <c r="L373" s="1" t="s">
        <v>40</v>
      </c>
      <c r="M373" s="1">
        <v>2</v>
      </c>
      <c r="N373" s="1">
        <v>2</v>
      </c>
      <c r="O373" s="1">
        <v>0</v>
      </c>
      <c r="P373" s="11" t="str">
        <f t="shared" si="5"/>
        <v>负</v>
      </c>
      <c r="Q373" s="11" t="str">
        <f t="shared" si="5"/>
        <v>负</v>
      </c>
    </row>
    <row r="374" spans="4:17" customFormat="1" hidden="1" x14ac:dyDescent="0.15">
      <c r="D374" t="s">
        <v>6</v>
      </c>
      <c r="E374" s="1">
        <v>163889</v>
      </c>
      <c r="F374" s="1">
        <v>163889</v>
      </c>
      <c r="G374" s="8">
        <v>42310.041666666664</v>
      </c>
      <c r="H374" s="1" t="s">
        <v>53</v>
      </c>
      <c r="I374" s="1">
        <v>1</v>
      </c>
      <c r="J374" s="1">
        <v>3</v>
      </c>
      <c r="K374" s="1">
        <v>0</v>
      </c>
      <c r="L374" s="1" t="s">
        <v>32</v>
      </c>
      <c r="M374" s="1">
        <v>1</v>
      </c>
      <c r="N374" s="1">
        <v>1</v>
      </c>
      <c r="O374" s="1">
        <v>0</v>
      </c>
      <c r="P374" s="11" t="str">
        <f t="shared" si="5"/>
        <v>平</v>
      </c>
      <c r="Q374" s="11" t="str">
        <f t="shared" si="5"/>
        <v>胜</v>
      </c>
    </row>
    <row r="375" spans="4:17" customFormat="1" hidden="1" x14ac:dyDescent="0.15">
      <c r="D375" t="s">
        <v>6</v>
      </c>
      <c r="E375" s="1">
        <v>163890</v>
      </c>
      <c r="F375" s="1">
        <v>163890</v>
      </c>
      <c r="G375" s="8">
        <v>42310.040972222225</v>
      </c>
      <c r="H375" s="1" t="s">
        <v>49</v>
      </c>
      <c r="I375" s="1">
        <v>2</v>
      </c>
      <c r="J375" s="1">
        <v>2</v>
      </c>
      <c r="K375" s="1">
        <v>0</v>
      </c>
      <c r="L375" s="1" t="s">
        <v>54</v>
      </c>
      <c r="M375" s="1">
        <v>0</v>
      </c>
      <c r="N375" s="1">
        <v>2</v>
      </c>
      <c r="O375" s="1">
        <v>0</v>
      </c>
      <c r="P375" s="11" t="str">
        <f t="shared" si="5"/>
        <v>胜</v>
      </c>
      <c r="Q375" s="11" t="str">
        <f t="shared" si="5"/>
        <v>平</v>
      </c>
    </row>
    <row r="376" spans="4:17" customFormat="1" hidden="1" x14ac:dyDescent="0.15">
      <c r="D376" t="s">
        <v>6</v>
      </c>
      <c r="E376" s="1">
        <v>163891</v>
      </c>
      <c r="F376" s="1">
        <v>163891</v>
      </c>
      <c r="G376" s="8">
        <v>42310.041666666664</v>
      </c>
      <c r="H376" s="1" t="s">
        <v>51</v>
      </c>
      <c r="I376" s="1">
        <v>0</v>
      </c>
      <c r="J376" s="1">
        <v>1</v>
      </c>
      <c r="K376" s="1">
        <v>0</v>
      </c>
      <c r="L376" s="1" t="s">
        <v>43</v>
      </c>
      <c r="M376" s="1">
        <v>1</v>
      </c>
      <c r="N376" s="1">
        <v>2</v>
      </c>
      <c r="O376" s="1">
        <v>0</v>
      </c>
      <c r="P376" s="11" t="str">
        <f t="shared" si="5"/>
        <v>负</v>
      </c>
      <c r="Q376" s="11" t="str">
        <f t="shared" si="5"/>
        <v>负</v>
      </c>
    </row>
    <row r="377" spans="4:17" customFormat="1" hidden="1" x14ac:dyDescent="0.15">
      <c r="D377" t="s">
        <v>6</v>
      </c>
      <c r="E377" s="1">
        <v>163892</v>
      </c>
      <c r="F377" s="1">
        <v>163892</v>
      </c>
      <c r="G377" s="8">
        <v>42310.041666666664</v>
      </c>
      <c r="H377" s="1" t="s">
        <v>38</v>
      </c>
      <c r="I377" s="1">
        <v>1</v>
      </c>
      <c r="J377" s="1">
        <v>4</v>
      </c>
      <c r="K377" s="1">
        <v>0</v>
      </c>
      <c r="L377" s="1" t="s">
        <v>45</v>
      </c>
      <c r="M377" s="1">
        <v>0</v>
      </c>
      <c r="N377" s="1">
        <v>1</v>
      </c>
      <c r="O377" s="1">
        <v>0</v>
      </c>
      <c r="P377" s="11" t="str">
        <f t="shared" si="5"/>
        <v>胜</v>
      </c>
      <c r="Q377" s="11" t="str">
        <f t="shared" si="5"/>
        <v>胜</v>
      </c>
    </row>
    <row r="378" spans="4:17" customFormat="1" hidden="1" x14ac:dyDescent="0.15">
      <c r="D378" t="s">
        <v>6</v>
      </c>
      <c r="E378" s="1">
        <v>163893</v>
      </c>
      <c r="F378" s="1">
        <v>163893</v>
      </c>
      <c r="G378" s="8">
        <v>42310.041666666664</v>
      </c>
      <c r="H378" s="1" t="s">
        <v>37</v>
      </c>
      <c r="I378" s="1">
        <v>1</v>
      </c>
      <c r="J378" s="1">
        <v>4</v>
      </c>
      <c r="K378" s="1">
        <v>0</v>
      </c>
      <c r="L378" s="1" t="s">
        <v>48</v>
      </c>
      <c r="M378" s="1">
        <v>1</v>
      </c>
      <c r="N378" s="1">
        <v>3</v>
      </c>
      <c r="O378" s="1">
        <v>0</v>
      </c>
      <c r="P378" s="11" t="str">
        <f t="shared" si="5"/>
        <v>平</v>
      </c>
      <c r="Q378" s="11" t="str">
        <f t="shared" si="5"/>
        <v>胜</v>
      </c>
    </row>
    <row r="379" spans="4:17" customFormat="1" hidden="1" x14ac:dyDescent="0.15">
      <c r="D379" t="s">
        <v>6</v>
      </c>
      <c r="E379" s="1">
        <v>166590</v>
      </c>
      <c r="F379" s="1">
        <v>166590</v>
      </c>
      <c r="G379" s="8">
        <v>42317.040972222225</v>
      </c>
      <c r="H379" s="1" t="s">
        <v>43</v>
      </c>
      <c r="I379" s="1">
        <v>0</v>
      </c>
      <c r="J379" s="1">
        <v>0</v>
      </c>
      <c r="K379" s="1">
        <v>0</v>
      </c>
      <c r="L379" s="1" t="s">
        <v>37</v>
      </c>
      <c r="M379" s="1">
        <v>0</v>
      </c>
      <c r="N379" s="1">
        <v>1</v>
      </c>
      <c r="O379" s="1">
        <v>0</v>
      </c>
      <c r="P379" s="11" t="str">
        <f t="shared" si="5"/>
        <v>平</v>
      </c>
      <c r="Q379" s="11" t="str">
        <f t="shared" si="5"/>
        <v>负</v>
      </c>
    </row>
    <row r="380" spans="4:17" hidden="1" x14ac:dyDescent="0.15">
      <c r="D380" s="2" t="s">
        <v>6</v>
      </c>
      <c r="E380" s="6">
        <v>166595</v>
      </c>
      <c r="F380" s="6">
        <v>166595</v>
      </c>
      <c r="G380" s="24">
        <v>42317.041666666664</v>
      </c>
      <c r="H380" s="6" t="s">
        <v>32</v>
      </c>
      <c r="I380" s="6">
        <v>0</v>
      </c>
      <c r="J380" s="6">
        <v>6</v>
      </c>
      <c r="K380" s="6">
        <v>0</v>
      </c>
      <c r="L380" s="6" t="s">
        <v>42</v>
      </c>
      <c r="M380" s="6">
        <v>1</v>
      </c>
      <c r="N380" s="6">
        <v>1</v>
      </c>
      <c r="O380" s="6">
        <v>0</v>
      </c>
      <c r="P380" s="11" t="str">
        <f t="shared" si="5"/>
        <v>负</v>
      </c>
      <c r="Q380" s="11" t="str">
        <f t="shared" si="5"/>
        <v>胜</v>
      </c>
    </row>
    <row r="381" spans="4:17" customFormat="1" x14ac:dyDescent="0.15">
      <c r="D381" t="s">
        <v>6</v>
      </c>
      <c r="E381" s="1">
        <v>166598</v>
      </c>
      <c r="F381" s="1">
        <v>166598</v>
      </c>
      <c r="G381" s="8">
        <v>42317.041666666664</v>
      </c>
      <c r="H381" s="1" t="s">
        <v>36</v>
      </c>
      <c r="I381" s="1">
        <v>0</v>
      </c>
      <c r="J381" s="1">
        <v>0</v>
      </c>
      <c r="K381" s="1">
        <v>0</v>
      </c>
      <c r="L381" s="1" t="s">
        <v>38</v>
      </c>
      <c r="M381" s="1">
        <v>2</v>
      </c>
      <c r="N381" s="1">
        <v>3</v>
      </c>
      <c r="O381" s="1">
        <v>0</v>
      </c>
      <c r="P381" s="11" t="str">
        <f t="shared" si="5"/>
        <v>负</v>
      </c>
      <c r="Q381" s="11" t="str">
        <f t="shared" si="5"/>
        <v>负</v>
      </c>
    </row>
    <row r="382" spans="4:17" customFormat="1" hidden="1" x14ac:dyDescent="0.15">
      <c r="D382" t="s">
        <v>6</v>
      </c>
      <c r="E382" s="1">
        <v>166599</v>
      </c>
      <c r="F382" s="1">
        <v>166599</v>
      </c>
      <c r="G382" s="8">
        <v>42317.043055555558</v>
      </c>
      <c r="H382" s="1" t="s">
        <v>41</v>
      </c>
      <c r="I382" s="1">
        <v>0</v>
      </c>
      <c r="J382" s="1">
        <v>2</v>
      </c>
      <c r="K382" s="1">
        <v>0</v>
      </c>
      <c r="L382" s="1" t="s">
        <v>52</v>
      </c>
      <c r="M382" s="1">
        <v>0</v>
      </c>
      <c r="N382" s="1">
        <v>1</v>
      </c>
      <c r="O382" s="1">
        <v>0</v>
      </c>
      <c r="P382" s="11" t="str">
        <f t="shared" si="5"/>
        <v>平</v>
      </c>
      <c r="Q382" s="11" t="str">
        <f t="shared" si="5"/>
        <v>胜</v>
      </c>
    </row>
    <row r="383" spans="4:17" customFormat="1" hidden="1" x14ac:dyDescent="0.15">
      <c r="D383" t="s">
        <v>6</v>
      </c>
      <c r="E383" s="1">
        <v>166601</v>
      </c>
      <c r="F383" s="1">
        <v>166601</v>
      </c>
      <c r="G383" s="8">
        <v>42317.041666666664</v>
      </c>
      <c r="H383" s="1" t="s">
        <v>45</v>
      </c>
      <c r="I383" s="1">
        <v>0</v>
      </c>
      <c r="J383" s="1">
        <v>3</v>
      </c>
      <c r="K383" s="1">
        <v>0</v>
      </c>
      <c r="L383" s="1" t="s">
        <v>51</v>
      </c>
      <c r="M383" s="1">
        <v>1</v>
      </c>
      <c r="N383" s="1">
        <v>1</v>
      </c>
      <c r="O383" s="1">
        <v>0</v>
      </c>
      <c r="P383" s="11" t="str">
        <f t="shared" si="5"/>
        <v>负</v>
      </c>
      <c r="Q383" s="11" t="str">
        <f t="shared" si="5"/>
        <v>胜</v>
      </c>
    </row>
    <row r="384" spans="4:17" customFormat="1" hidden="1" x14ac:dyDescent="0.15">
      <c r="D384" t="s">
        <v>6</v>
      </c>
      <c r="E384" s="1">
        <v>166602</v>
      </c>
      <c r="F384" s="1">
        <v>166602</v>
      </c>
      <c r="G384" s="8">
        <v>42317.041666666664</v>
      </c>
      <c r="H384" s="1" t="s">
        <v>40</v>
      </c>
      <c r="I384" s="1">
        <v>2</v>
      </c>
      <c r="J384" s="1">
        <v>2</v>
      </c>
      <c r="K384" s="1">
        <v>0</v>
      </c>
      <c r="L384" s="1" t="s">
        <v>49</v>
      </c>
      <c r="M384" s="1">
        <v>0</v>
      </c>
      <c r="N384" s="1">
        <v>2</v>
      </c>
      <c r="O384" s="1">
        <v>0</v>
      </c>
      <c r="P384" s="11" t="str">
        <f t="shared" si="5"/>
        <v>胜</v>
      </c>
      <c r="Q384" s="11" t="str">
        <f t="shared" si="5"/>
        <v>平</v>
      </c>
    </row>
    <row r="385" spans="4:17" customFormat="1" hidden="1" x14ac:dyDescent="0.15">
      <c r="D385" t="s">
        <v>6</v>
      </c>
      <c r="E385" s="1">
        <v>166738</v>
      </c>
      <c r="F385" s="1">
        <v>166738</v>
      </c>
      <c r="G385" s="8">
        <v>42317.041666666664</v>
      </c>
      <c r="H385" s="1" t="s">
        <v>48</v>
      </c>
      <c r="I385" s="1">
        <v>0</v>
      </c>
      <c r="J385" s="1">
        <v>0</v>
      </c>
      <c r="K385" s="1">
        <v>0</v>
      </c>
      <c r="L385" s="1" t="s">
        <v>53</v>
      </c>
      <c r="M385" s="1">
        <v>1</v>
      </c>
      <c r="N385" s="1">
        <v>1</v>
      </c>
      <c r="O385" s="1">
        <v>0</v>
      </c>
      <c r="P385" s="11" t="str">
        <f t="shared" si="5"/>
        <v>负</v>
      </c>
      <c r="Q385" s="11" t="str">
        <f t="shared" si="5"/>
        <v>负</v>
      </c>
    </row>
    <row r="386" spans="4:17" customFormat="1" hidden="1" x14ac:dyDescent="0.15">
      <c r="D386" t="s">
        <v>6</v>
      </c>
      <c r="E386" s="1">
        <v>166741</v>
      </c>
      <c r="F386" s="1">
        <v>166741</v>
      </c>
      <c r="G386" s="8">
        <v>42317.043749999997</v>
      </c>
      <c r="H386" s="1" t="s">
        <v>54</v>
      </c>
      <c r="I386" s="1">
        <v>1</v>
      </c>
      <c r="J386" s="1">
        <v>5</v>
      </c>
      <c r="K386" s="1">
        <v>0</v>
      </c>
      <c r="L386" s="1" t="s">
        <v>44</v>
      </c>
      <c r="M386" s="1">
        <v>0</v>
      </c>
      <c r="N386" s="1">
        <v>0</v>
      </c>
      <c r="O386" s="1">
        <v>0</v>
      </c>
      <c r="P386" s="11" t="str">
        <f t="shared" si="5"/>
        <v>胜</v>
      </c>
      <c r="Q386" s="11" t="str">
        <f t="shared" si="5"/>
        <v>胜</v>
      </c>
    </row>
    <row r="387" spans="4:17" customFormat="1" hidden="1" x14ac:dyDescent="0.15">
      <c r="D387" t="s">
        <v>6</v>
      </c>
      <c r="E387" s="1">
        <v>195425</v>
      </c>
      <c r="F387" s="1">
        <v>195425</v>
      </c>
      <c r="G387" s="8">
        <v>42441.084027777775</v>
      </c>
      <c r="H387" s="1" t="s">
        <v>43</v>
      </c>
      <c r="I387" s="1">
        <v>0</v>
      </c>
      <c r="J387" s="1">
        <v>1</v>
      </c>
      <c r="K387" s="1">
        <v>0</v>
      </c>
      <c r="L387" s="1" t="s">
        <v>42</v>
      </c>
      <c r="M387" s="1">
        <v>0</v>
      </c>
      <c r="N387" s="1">
        <v>0</v>
      </c>
      <c r="O387" s="1">
        <v>0</v>
      </c>
      <c r="P387" s="11" t="str">
        <f t="shared" si="5"/>
        <v>平</v>
      </c>
      <c r="Q387" s="11" t="str">
        <f t="shared" si="5"/>
        <v>胜</v>
      </c>
    </row>
    <row r="388" spans="4:17" customFormat="1" hidden="1" x14ac:dyDescent="0.15">
      <c r="D388" t="s">
        <v>6</v>
      </c>
      <c r="E388" s="1">
        <v>195889</v>
      </c>
      <c r="F388" s="1">
        <v>195889</v>
      </c>
      <c r="G388" s="8">
        <v>42443.041666666664</v>
      </c>
      <c r="H388" s="1" t="s">
        <v>40</v>
      </c>
      <c r="I388" s="1">
        <v>2</v>
      </c>
      <c r="J388" s="1">
        <v>2</v>
      </c>
      <c r="K388" s="1">
        <v>0</v>
      </c>
      <c r="L388" s="1" t="s">
        <v>46</v>
      </c>
      <c r="M388" s="1">
        <v>1</v>
      </c>
      <c r="N388" s="1">
        <v>2</v>
      </c>
      <c r="O388" s="1">
        <v>0</v>
      </c>
      <c r="P388" s="11" t="str">
        <f t="shared" si="5"/>
        <v>胜</v>
      </c>
      <c r="Q388" s="11" t="str">
        <f t="shared" si="5"/>
        <v>平</v>
      </c>
    </row>
    <row r="389" spans="4:17" hidden="1" x14ac:dyDescent="0.15">
      <c r="D389" s="2" t="s">
        <v>6</v>
      </c>
      <c r="E389" s="6">
        <v>195890</v>
      </c>
      <c r="F389" s="6">
        <v>195890</v>
      </c>
      <c r="G389" s="24">
        <v>42443.041666666664</v>
      </c>
      <c r="H389" s="6" t="s">
        <v>32</v>
      </c>
      <c r="I389" s="6">
        <v>1</v>
      </c>
      <c r="J389" s="6">
        <v>2</v>
      </c>
      <c r="K389" s="6">
        <v>0</v>
      </c>
      <c r="L389" s="6" t="s">
        <v>35</v>
      </c>
      <c r="M389" s="6">
        <v>0</v>
      </c>
      <c r="N389" s="6">
        <v>0</v>
      </c>
      <c r="O389" s="6">
        <v>0</v>
      </c>
      <c r="P389" s="11" t="str">
        <f t="shared" si="5"/>
        <v>胜</v>
      </c>
      <c r="Q389" s="11" t="str">
        <f t="shared" si="5"/>
        <v>胜</v>
      </c>
    </row>
    <row r="390" spans="4:17" customFormat="1" hidden="1" x14ac:dyDescent="0.15">
      <c r="D390" t="s">
        <v>6</v>
      </c>
      <c r="E390" s="1">
        <v>195891</v>
      </c>
      <c r="F390" s="1">
        <v>195891</v>
      </c>
      <c r="G390" s="8">
        <v>42443.052083333336</v>
      </c>
      <c r="H390" s="1" t="s">
        <v>41</v>
      </c>
      <c r="I390" s="1">
        <v>0</v>
      </c>
      <c r="J390" s="1">
        <v>0</v>
      </c>
      <c r="K390" s="1">
        <v>0</v>
      </c>
      <c r="L390" s="1" t="s">
        <v>48</v>
      </c>
      <c r="M390" s="1">
        <v>0</v>
      </c>
      <c r="N390" s="1">
        <v>1</v>
      </c>
      <c r="O390" s="1">
        <v>0</v>
      </c>
      <c r="P390" s="11" t="str">
        <f t="shared" si="5"/>
        <v>平</v>
      </c>
      <c r="Q390" s="11" t="str">
        <f t="shared" si="5"/>
        <v>负</v>
      </c>
    </row>
    <row r="391" spans="4:17" customFormat="1" x14ac:dyDescent="0.15">
      <c r="D391" t="s">
        <v>6</v>
      </c>
      <c r="E391" s="1">
        <v>195892</v>
      </c>
      <c r="F391" s="1">
        <v>195892</v>
      </c>
      <c r="G391" s="8">
        <v>42443.128472222219</v>
      </c>
      <c r="H391" s="1" t="s">
        <v>36</v>
      </c>
      <c r="I391" s="1">
        <v>1</v>
      </c>
      <c r="J391" s="1">
        <v>1</v>
      </c>
      <c r="K391" s="1">
        <v>0</v>
      </c>
      <c r="L391" s="1" t="s">
        <v>44</v>
      </c>
      <c r="M391" s="1">
        <v>1</v>
      </c>
      <c r="N391" s="1">
        <v>1</v>
      </c>
      <c r="O391" s="1">
        <v>0</v>
      </c>
      <c r="P391" s="11" t="str">
        <f t="shared" si="5"/>
        <v>平</v>
      </c>
      <c r="Q391" s="11" t="str">
        <f t="shared" si="5"/>
        <v>平</v>
      </c>
    </row>
    <row r="392" spans="4:17" customFormat="1" hidden="1" x14ac:dyDescent="0.15">
      <c r="D392" t="s">
        <v>6</v>
      </c>
      <c r="E392" s="1">
        <v>195893</v>
      </c>
      <c r="F392" s="1">
        <v>195893</v>
      </c>
      <c r="G392" s="8">
        <v>42442.9375</v>
      </c>
      <c r="H392" s="1" t="s">
        <v>38</v>
      </c>
      <c r="I392" s="1">
        <v>1</v>
      </c>
      <c r="J392" s="1">
        <v>1</v>
      </c>
      <c r="K392" s="1">
        <v>0</v>
      </c>
      <c r="L392" s="1" t="s">
        <v>53</v>
      </c>
      <c r="M392" s="1">
        <v>0</v>
      </c>
      <c r="N392" s="1">
        <v>1</v>
      </c>
      <c r="O392" s="1">
        <v>0</v>
      </c>
      <c r="P392" s="11" t="str">
        <f t="shared" si="5"/>
        <v>胜</v>
      </c>
      <c r="Q392" s="11" t="str">
        <f t="shared" si="5"/>
        <v>平</v>
      </c>
    </row>
    <row r="393" spans="4:17" customFormat="1" hidden="1" x14ac:dyDescent="0.15">
      <c r="D393" t="s">
        <v>6</v>
      </c>
      <c r="E393" s="1">
        <v>196205</v>
      </c>
      <c r="F393" s="1">
        <v>196205</v>
      </c>
      <c r="G393" s="8">
        <v>42444.083333333336</v>
      </c>
      <c r="H393" s="1" t="s">
        <v>49</v>
      </c>
      <c r="I393" s="1">
        <v>0</v>
      </c>
      <c r="J393" s="1">
        <v>0</v>
      </c>
      <c r="K393" s="1">
        <v>0</v>
      </c>
      <c r="L393" s="1" t="s">
        <v>45</v>
      </c>
      <c r="M393" s="1">
        <v>1</v>
      </c>
      <c r="N393" s="1">
        <v>2</v>
      </c>
      <c r="O393" s="1">
        <v>0</v>
      </c>
      <c r="P393" s="11" t="str">
        <f t="shared" si="5"/>
        <v>负</v>
      </c>
      <c r="Q393" s="11" t="str">
        <f t="shared" si="5"/>
        <v>负</v>
      </c>
    </row>
    <row r="394" spans="4:17" customFormat="1" hidden="1" x14ac:dyDescent="0.15">
      <c r="D394" t="s">
        <v>6</v>
      </c>
      <c r="E394" s="1">
        <v>196395</v>
      </c>
      <c r="F394" s="1">
        <v>196395</v>
      </c>
      <c r="G394" s="8">
        <v>42442.041666666664</v>
      </c>
      <c r="H394" s="1" t="s">
        <v>54</v>
      </c>
      <c r="I394" s="1">
        <v>1</v>
      </c>
      <c r="J394" s="1">
        <v>1</v>
      </c>
      <c r="K394" s="1">
        <v>0</v>
      </c>
      <c r="L394" s="1" t="s">
        <v>37</v>
      </c>
      <c r="M394" s="1">
        <v>0</v>
      </c>
      <c r="N394" s="1">
        <v>0</v>
      </c>
      <c r="O394" s="1">
        <v>0</v>
      </c>
      <c r="P394" s="11" t="str">
        <f t="shared" si="5"/>
        <v>胜</v>
      </c>
      <c r="Q394" s="11" t="str">
        <f t="shared" si="5"/>
        <v>胜</v>
      </c>
    </row>
    <row r="395" spans="4:17" customFormat="1" hidden="1" x14ac:dyDescent="0.15">
      <c r="D395" t="s">
        <v>6</v>
      </c>
      <c r="E395" s="1">
        <v>198146</v>
      </c>
      <c r="F395" s="1">
        <v>198146</v>
      </c>
      <c r="G395" s="8">
        <v>42448.082638888889</v>
      </c>
      <c r="H395" s="1" t="s">
        <v>53</v>
      </c>
      <c r="I395" s="1">
        <v>0</v>
      </c>
      <c r="J395" s="1">
        <v>0</v>
      </c>
      <c r="K395" s="1">
        <v>0</v>
      </c>
      <c r="L395" s="1" t="s">
        <v>36</v>
      </c>
      <c r="M395" s="1">
        <v>0</v>
      </c>
      <c r="N395" s="1">
        <v>0</v>
      </c>
      <c r="O395" s="1">
        <v>0</v>
      </c>
      <c r="P395" s="11" t="str">
        <f t="shared" si="5"/>
        <v>平</v>
      </c>
      <c r="Q395" s="11" t="str">
        <f t="shared" si="5"/>
        <v>平</v>
      </c>
    </row>
    <row r="396" spans="4:17" customFormat="1" hidden="1" x14ac:dyDescent="0.15">
      <c r="D396" t="s">
        <v>6</v>
      </c>
      <c r="E396" s="1">
        <v>198227</v>
      </c>
      <c r="F396" s="1">
        <v>198227</v>
      </c>
      <c r="G396" s="8">
        <v>42449.041666666664</v>
      </c>
      <c r="H396" s="1" t="s">
        <v>37</v>
      </c>
      <c r="I396" s="1">
        <v>1</v>
      </c>
      <c r="J396" s="1">
        <v>1</v>
      </c>
      <c r="K396" s="1">
        <v>0</v>
      </c>
      <c r="L396" s="1" t="s">
        <v>40</v>
      </c>
      <c r="M396" s="1">
        <v>0</v>
      </c>
      <c r="N396" s="1">
        <v>0</v>
      </c>
      <c r="O396" s="1">
        <v>0</v>
      </c>
      <c r="P396" s="11" t="str">
        <f t="shared" si="5"/>
        <v>胜</v>
      </c>
      <c r="Q396" s="11" t="str">
        <f t="shared" si="5"/>
        <v>胜</v>
      </c>
    </row>
    <row r="397" spans="4:17" customFormat="1" hidden="1" x14ac:dyDescent="0.15">
      <c r="D397" t="s">
        <v>6</v>
      </c>
      <c r="E397" s="1">
        <v>198258</v>
      </c>
      <c r="F397" s="1">
        <v>198258</v>
      </c>
      <c r="G397" s="8">
        <v>42448.9375</v>
      </c>
      <c r="H397" s="1" t="s">
        <v>48</v>
      </c>
      <c r="I397" s="1">
        <v>2</v>
      </c>
      <c r="J397" s="1">
        <v>3</v>
      </c>
      <c r="K397" s="1">
        <v>0</v>
      </c>
      <c r="L397" s="1" t="s">
        <v>43</v>
      </c>
      <c r="M397" s="1">
        <v>0</v>
      </c>
      <c r="N397" s="1">
        <v>0</v>
      </c>
      <c r="O397" s="1">
        <v>0</v>
      </c>
      <c r="P397" s="11" t="str">
        <f t="shared" ref="P397:Q460" si="6">IF(I397=M397,"平",IF(I397&gt;M397,"胜","负"))</f>
        <v>胜</v>
      </c>
      <c r="Q397" s="11" t="str">
        <f t="shared" si="6"/>
        <v>胜</v>
      </c>
    </row>
    <row r="398" spans="4:17" customFormat="1" hidden="1" x14ac:dyDescent="0.15">
      <c r="D398" t="s">
        <v>6</v>
      </c>
      <c r="E398" s="1">
        <v>198450</v>
      </c>
      <c r="F398" s="1">
        <v>198450</v>
      </c>
      <c r="G398" s="8">
        <v>42449.9375</v>
      </c>
      <c r="H398" s="1" t="s">
        <v>35</v>
      </c>
      <c r="I398" s="1">
        <v>1</v>
      </c>
      <c r="J398" s="1">
        <v>1</v>
      </c>
      <c r="K398" s="1">
        <v>0</v>
      </c>
      <c r="L398" s="1" t="s">
        <v>49</v>
      </c>
      <c r="M398" s="1">
        <v>0</v>
      </c>
      <c r="N398" s="1">
        <v>0</v>
      </c>
      <c r="O398" s="1">
        <v>0</v>
      </c>
      <c r="P398" s="11" t="str">
        <f t="shared" si="6"/>
        <v>胜</v>
      </c>
      <c r="Q398" s="11" t="str">
        <f t="shared" si="6"/>
        <v>胜</v>
      </c>
    </row>
    <row r="399" spans="4:17" customFormat="1" hidden="1" x14ac:dyDescent="0.15">
      <c r="D399" t="s">
        <v>6</v>
      </c>
      <c r="E399" s="1">
        <v>198460</v>
      </c>
      <c r="F399" s="1">
        <v>198460</v>
      </c>
      <c r="G399" s="8">
        <v>42450.041666666664</v>
      </c>
      <c r="H399" s="1" t="s">
        <v>44</v>
      </c>
      <c r="I399" s="1">
        <v>0</v>
      </c>
      <c r="J399" s="1">
        <v>1</v>
      </c>
      <c r="K399" s="1">
        <v>0</v>
      </c>
      <c r="L399" s="1" t="s">
        <v>32</v>
      </c>
      <c r="M399" s="1">
        <v>1</v>
      </c>
      <c r="N399" s="1">
        <v>1</v>
      </c>
      <c r="O399" s="1">
        <v>0</v>
      </c>
      <c r="P399" s="11" t="str">
        <f t="shared" si="6"/>
        <v>负</v>
      </c>
      <c r="Q399" s="11" t="str">
        <f t="shared" si="6"/>
        <v>平</v>
      </c>
    </row>
    <row r="400" spans="4:17" customFormat="1" hidden="1" x14ac:dyDescent="0.15">
      <c r="D400" t="s">
        <v>6</v>
      </c>
      <c r="E400" s="1">
        <v>198461</v>
      </c>
      <c r="F400" s="1">
        <v>198461</v>
      </c>
      <c r="G400" s="8">
        <v>42450.042361111111</v>
      </c>
      <c r="H400" s="1" t="s">
        <v>46</v>
      </c>
      <c r="I400" s="1">
        <v>0</v>
      </c>
      <c r="J400" s="1">
        <v>0</v>
      </c>
      <c r="K400" s="1">
        <v>0</v>
      </c>
      <c r="L400" s="1" t="s">
        <v>54</v>
      </c>
      <c r="M400" s="1">
        <v>0</v>
      </c>
      <c r="N400" s="1">
        <v>0</v>
      </c>
      <c r="O400" s="1">
        <v>0</v>
      </c>
      <c r="P400" s="11" t="str">
        <f t="shared" si="6"/>
        <v>平</v>
      </c>
      <c r="Q400" s="11" t="str">
        <f t="shared" si="6"/>
        <v>平</v>
      </c>
    </row>
    <row r="401" spans="4:17" customFormat="1" hidden="1" x14ac:dyDescent="0.15">
      <c r="D401" t="s">
        <v>6</v>
      </c>
      <c r="E401" s="1">
        <v>198462</v>
      </c>
      <c r="F401" s="1">
        <v>198462</v>
      </c>
      <c r="G401" s="8">
        <v>42450.040972222225</v>
      </c>
      <c r="H401" s="1" t="s">
        <v>45</v>
      </c>
      <c r="I401" s="1">
        <v>0</v>
      </c>
      <c r="J401" s="1">
        <v>0</v>
      </c>
      <c r="K401" s="1">
        <v>0</v>
      </c>
      <c r="L401" s="1" t="s">
        <v>41</v>
      </c>
      <c r="M401" s="1">
        <v>0</v>
      </c>
      <c r="N401" s="1">
        <v>0</v>
      </c>
      <c r="O401" s="1">
        <v>0</v>
      </c>
      <c r="P401" s="11" t="str">
        <f t="shared" si="6"/>
        <v>平</v>
      </c>
      <c r="Q401" s="11" t="str">
        <f t="shared" si="6"/>
        <v>平</v>
      </c>
    </row>
    <row r="402" spans="4:17" customFormat="1" hidden="1" x14ac:dyDescent="0.15">
      <c r="D402" t="s">
        <v>6</v>
      </c>
      <c r="E402" s="1">
        <v>198469</v>
      </c>
      <c r="F402" s="1">
        <v>198469</v>
      </c>
      <c r="G402" s="8">
        <v>42450.125</v>
      </c>
      <c r="H402" s="1" t="s">
        <v>42</v>
      </c>
      <c r="I402" s="1">
        <v>1</v>
      </c>
      <c r="J402" s="1">
        <v>1</v>
      </c>
      <c r="K402" s="1">
        <v>0</v>
      </c>
      <c r="L402" s="1" t="s">
        <v>38</v>
      </c>
      <c r="M402" s="1">
        <v>0</v>
      </c>
      <c r="N402" s="1">
        <v>2</v>
      </c>
      <c r="O402" s="1">
        <v>0</v>
      </c>
      <c r="P402" s="11" t="str">
        <f t="shared" si="6"/>
        <v>胜</v>
      </c>
      <c r="Q402" s="11" t="str">
        <f t="shared" si="6"/>
        <v>负</v>
      </c>
    </row>
    <row r="403" spans="4:17" customFormat="1" x14ac:dyDescent="0.15">
      <c r="D403" t="s">
        <v>6</v>
      </c>
      <c r="E403" s="1">
        <v>201706</v>
      </c>
      <c r="F403" s="1">
        <v>201706</v>
      </c>
      <c r="G403" s="8">
        <v>42462.897916666669</v>
      </c>
      <c r="H403" s="1" t="s">
        <v>36</v>
      </c>
      <c r="I403" s="1">
        <v>0</v>
      </c>
      <c r="J403" s="1">
        <v>0</v>
      </c>
      <c r="K403" s="1">
        <v>0</v>
      </c>
      <c r="L403" s="1" t="s">
        <v>45</v>
      </c>
      <c r="M403" s="1">
        <v>1</v>
      </c>
      <c r="N403" s="1">
        <v>1</v>
      </c>
      <c r="O403" s="1">
        <v>0</v>
      </c>
      <c r="P403" s="11" t="str">
        <f t="shared" si="6"/>
        <v>负</v>
      </c>
      <c r="Q403" s="11" t="str">
        <f t="shared" si="6"/>
        <v>负</v>
      </c>
    </row>
    <row r="404" spans="4:17" customFormat="1" hidden="1" x14ac:dyDescent="0.15">
      <c r="D404" t="s">
        <v>6</v>
      </c>
      <c r="E404" s="1">
        <v>201792</v>
      </c>
      <c r="F404" s="1">
        <v>201792</v>
      </c>
      <c r="G404" s="8">
        <v>42463</v>
      </c>
      <c r="H404" s="1" t="s">
        <v>49</v>
      </c>
      <c r="I404" s="1">
        <v>0</v>
      </c>
      <c r="J404" s="1">
        <v>0</v>
      </c>
      <c r="K404" s="1">
        <v>0</v>
      </c>
      <c r="L404" s="1" t="s">
        <v>37</v>
      </c>
      <c r="M404" s="1">
        <v>0</v>
      </c>
      <c r="N404" s="1">
        <v>2</v>
      </c>
      <c r="O404" s="1">
        <v>0</v>
      </c>
      <c r="P404" s="11" t="str">
        <f t="shared" si="6"/>
        <v>平</v>
      </c>
      <c r="Q404" s="11" t="str">
        <f t="shared" si="6"/>
        <v>负</v>
      </c>
    </row>
    <row r="405" spans="4:17" customFormat="1" hidden="1" x14ac:dyDescent="0.15">
      <c r="D405" t="s">
        <v>6</v>
      </c>
      <c r="E405" s="1">
        <v>201938</v>
      </c>
      <c r="F405" s="1">
        <v>201938</v>
      </c>
      <c r="G405" s="8">
        <v>42463.895138888889</v>
      </c>
      <c r="H405" s="1" t="s">
        <v>54</v>
      </c>
      <c r="I405" s="1">
        <v>0</v>
      </c>
      <c r="J405" s="1">
        <v>0</v>
      </c>
      <c r="K405" s="1">
        <v>0</v>
      </c>
      <c r="L405" s="1" t="s">
        <v>53</v>
      </c>
      <c r="M405" s="1">
        <v>0</v>
      </c>
      <c r="N405" s="1">
        <v>0</v>
      </c>
      <c r="O405" s="1">
        <v>0</v>
      </c>
      <c r="P405" s="11" t="str">
        <f t="shared" si="6"/>
        <v>平</v>
      </c>
      <c r="Q405" s="11" t="str">
        <f t="shared" si="6"/>
        <v>平</v>
      </c>
    </row>
    <row r="406" spans="4:17" customFormat="1" hidden="1" x14ac:dyDescent="0.15">
      <c r="D406" t="s">
        <v>6</v>
      </c>
      <c r="E406" s="1">
        <v>201954</v>
      </c>
      <c r="F406" s="1">
        <v>201954</v>
      </c>
      <c r="G406" s="8">
        <v>42462.041666666664</v>
      </c>
      <c r="H406" s="1" t="s">
        <v>38</v>
      </c>
      <c r="I406" s="1">
        <v>3</v>
      </c>
      <c r="J406" s="1">
        <v>4</v>
      </c>
      <c r="K406" s="1">
        <v>0</v>
      </c>
      <c r="L406" s="1" t="s">
        <v>44</v>
      </c>
      <c r="M406" s="1">
        <v>1</v>
      </c>
      <c r="N406" s="1">
        <v>2</v>
      </c>
      <c r="O406" s="1">
        <v>0</v>
      </c>
      <c r="P406" s="11" t="str">
        <f t="shared" si="6"/>
        <v>胜</v>
      </c>
      <c r="Q406" s="11" t="str">
        <f t="shared" si="6"/>
        <v>胜</v>
      </c>
    </row>
    <row r="407" spans="4:17" customFormat="1" hidden="1" x14ac:dyDescent="0.15">
      <c r="D407" t="s">
        <v>6</v>
      </c>
      <c r="E407" s="1">
        <v>202111</v>
      </c>
      <c r="F407" s="1">
        <v>202111</v>
      </c>
      <c r="G407" s="8">
        <v>42463.999305555553</v>
      </c>
      <c r="H407" s="1" t="s">
        <v>43</v>
      </c>
      <c r="I407" s="1">
        <v>1</v>
      </c>
      <c r="J407" s="1">
        <v>1</v>
      </c>
      <c r="K407" s="1">
        <v>0</v>
      </c>
      <c r="L407" s="1" t="s">
        <v>46</v>
      </c>
      <c r="M407" s="1">
        <v>0</v>
      </c>
      <c r="N407" s="1">
        <v>2</v>
      </c>
      <c r="O407" s="1">
        <v>0</v>
      </c>
      <c r="P407" s="11" t="str">
        <f t="shared" si="6"/>
        <v>胜</v>
      </c>
      <c r="Q407" s="11" t="str">
        <f t="shared" si="6"/>
        <v>负</v>
      </c>
    </row>
    <row r="408" spans="4:17" hidden="1" x14ac:dyDescent="0.15">
      <c r="D408" s="2" t="s">
        <v>6</v>
      </c>
      <c r="E408" s="6">
        <v>202112</v>
      </c>
      <c r="F408" s="6">
        <v>202112</v>
      </c>
      <c r="G408" s="24">
        <v>42464</v>
      </c>
      <c r="H408" s="6" t="s">
        <v>32</v>
      </c>
      <c r="I408" s="6">
        <v>1</v>
      </c>
      <c r="J408" s="6">
        <v>3</v>
      </c>
      <c r="K408" s="6">
        <v>0</v>
      </c>
      <c r="L408" s="6" t="s">
        <v>42</v>
      </c>
      <c r="M408" s="6">
        <v>0</v>
      </c>
      <c r="N408" s="6">
        <v>1</v>
      </c>
      <c r="O408" s="6">
        <v>0</v>
      </c>
      <c r="P408" s="11" t="str">
        <f t="shared" si="6"/>
        <v>胜</v>
      </c>
      <c r="Q408" s="11" t="str">
        <f t="shared" si="6"/>
        <v>胜</v>
      </c>
    </row>
    <row r="409" spans="4:17" customFormat="1" hidden="1" x14ac:dyDescent="0.15">
      <c r="D409" t="s">
        <v>6</v>
      </c>
      <c r="E409" s="1">
        <v>202113</v>
      </c>
      <c r="F409" s="1">
        <v>202113</v>
      </c>
      <c r="G409" s="8">
        <v>42463.999305555553</v>
      </c>
      <c r="H409" s="1" t="s">
        <v>41</v>
      </c>
      <c r="I409" s="1">
        <v>0</v>
      </c>
      <c r="J409" s="1">
        <v>0</v>
      </c>
      <c r="K409" s="1">
        <v>0</v>
      </c>
      <c r="L409" s="1" t="s">
        <v>35</v>
      </c>
      <c r="M409" s="1">
        <v>0</v>
      </c>
      <c r="N409" s="1">
        <v>0</v>
      </c>
      <c r="O409" s="1">
        <v>0</v>
      </c>
      <c r="P409" s="11" t="str">
        <f t="shared" si="6"/>
        <v>平</v>
      </c>
      <c r="Q409" s="11" t="str">
        <f t="shared" si="6"/>
        <v>平</v>
      </c>
    </row>
    <row r="410" spans="4:17" customFormat="1" hidden="1" x14ac:dyDescent="0.15">
      <c r="D410" t="s">
        <v>6</v>
      </c>
      <c r="E410" s="1">
        <v>202119</v>
      </c>
      <c r="F410" s="1">
        <v>202119</v>
      </c>
      <c r="G410" s="8">
        <v>42464.083333333336</v>
      </c>
      <c r="H410" s="1" t="s">
        <v>40</v>
      </c>
      <c r="I410" s="1">
        <v>1</v>
      </c>
      <c r="J410" s="1">
        <v>2</v>
      </c>
      <c r="K410" s="1">
        <v>0</v>
      </c>
      <c r="L410" s="1" t="s">
        <v>48</v>
      </c>
      <c r="M410" s="1">
        <v>0</v>
      </c>
      <c r="N410" s="1">
        <v>0</v>
      </c>
      <c r="O410" s="1">
        <v>0</v>
      </c>
      <c r="P410" s="11" t="str">
        <f t="shared" si="6"/>
        <v>胜</v>
      </c>
      <c r="Q410" s="11" t="str">
        <f t="shared" si="6"/>
        <v>胜</v>
      </c>
    </row>
    <row r="411" spans="4:17" customFormat="1" hidden="1" x14ac:dyDescent="0.15">
      <c r="D411" t="s">
        <v>6</v>
      </c>
      <c r="E411" s="1">
        <v>204165</v>
      </c>
      <c r="F411" s="1">
        <v>204165</v>
      </c>
      <c r="G411" s="8">
        <v>42470.895833333336</v>
      </c>
      <c r="H411" s="1" t="s">
        <v>46</v>
      </c>
      <c r="I411" s="1">
        <v>1</v>
      </c>
      <c r="J411" s="1">
        <v>1</v>
      </c>
      <c r="K411" s="1">
        <v>0</v>
      </c>
      <c r="L411" s="1" t="s">
        <v>32</v>
      </c>
      <c r="M411" s="1">
        <v>0</v>
      </c>
      <c r="N411" s="1">
        <v>0</v>
      </c>
      <c r="O411" s="1">
        <v>0</v>
      </c>
      <c r="P411" s="11" t="str">
        <f t="shared" si="6"/>
        <v>胜</v>
      </c>
      <c r="Q411" s="11" t="str">
        <f t="shared" si="6"/>
        <v>胜</v>
      </c>
    </row>
    <row r="412" spans="4:17" customFormat="1" hidden="1" x14ac:dyDescent="0.15">
      <c r="D412" t="s">
        <v>6</v>
      </c>
      <c r="E412" s="1">
        <v>204280</v>
      </c>
      <c r="F412" s="1">
        <v>204280</v>
      </c>
      <c r="G412" s="8">
        <v>42471</v>
      </c>
      <c r="H412" s="1" t="s">
        <v>37</v>
      </c>
      <c r="I412" s="1">
        <v>0</v>
      </c>
      <c r="J412" s="1">
        <v>1</v>
      </c>
      <c r="K412" s="1">
        <v>0</v>
      </c>
      <c r="L412" s="1" t="s">
        <v>43</v>
      </c>
      <c r="M412" s="1">
        <v>0</v>
      </c>
      <c r="N412" s="1">
        <v>0</v>
      </c>
      <c r="O412" s="1">
        <v>0</v>
      </c>
      <c r="P412" s="11" t="str">
        <f t="shared" si="6"/>
        <v>平</v>
      </c>
      <c r="Q412" s="11" t="str">
        <f t="shared" si="6"/>
        <v>胜</v>
      </c>
    </row>
    <row r="413" spans="4:17" customFormat="1" x14ac:dyDescent="0.15">
      <c r="D413" t="s">
        <v>6</v>
      </c>
      <c r="E413" s="1">
        <v>204282</v>
      </c>
      <c r="F413" s="1">
        <v>204282</v>
      </c>
      <c r="G413" s="8">
        <v>42470.999305555553</v>
      </c>
      <c r="H413" s="1" t="s">
        <v>36</v>
      </c>
      <c r="I413" s="1">
        <v>0</v>
      </c>
      <c r="J413" s="1">
        <v>1</v>
      </c>
      <c r="K413" s="1">
        <v>0</v>
      </c>
      <c r="L413" s="1" t="s">
        <v>38</v>
      </c>
      <c r="M413" s="1">
        <v>0</v>
      </c>
      <c r="N413" s="1">
        <v>1</v>
      </c>
      <c r="O413" s="1">
        <v>0</v>
      </c>
      <c r="P413" s="11" t="str">
        <f t="shared" si="6"/>
        <v>平</v>
      </c>
      <c r="Q413" s="11" t="str">
        <f t="shared" si="6"/>
        <v>平</v>
      </c>
    </row>
    <row r="414" spans="4:17" customFormat="1" hidden="1" x14ac:dyDescent="0.15">
      <c r="D414" t="s">
        <v>6</v>
      </c>
      <c r="E414" s="1">
        <v>204283</v>
      </c>
      <c r="F414" s="1">
        <v>204283</v>
      </c>
      <c r="G414" s="8">
        <v>42471</v>
      </c>
      <c r="H414" s="1" t="s">
        <v>53</v>
      </c>
      <c r="I414" s="1">
        <v>1</v>
      </c>
      <c r="J414" s="1">
        <v>2</v>
      </c>
      <c r="K414" s="1">
        <v>0</v>
      </c>
      <c r="L414" s="1" t="s">
        <v>40</v>
      </c>
      <c r="M414" s="1">
        <v>0</v>
      </c>
      <c r="N414" s="1">
        <v>0</v>
      </c>
      <c r="O414" s="1">
        <v>0</v>
      </c>
      <c r="P414" s="11" t="str">
        <f t="shared" si="6"/>
        <v>胜</v>
      </c>
      <c r="Q414" s="11" t="str">
        <f t="shared" si="6"/>
        <v>胜</v>
      </c>
    </row>
    <row r="415" spans="4:17" customFormat="1" hidden="1" x14ac:dyDescent="0.15">
      <c r="D415" t="s">
        <v>6</v>
      </c>
      <c r="E415" s="1">
        <v>204287</v>
      </c>
      <c r="F415" s="1">
        <v>204287</v>
      </c>
      <c r="G415" s="8">
        <v>42471.083333333336</v>
      </c>
      <c r="H415" s="1" t="s">
        <v>45</v>
      </c>
      <c r="I415" s="1">
        <v>0</v>
      </c>
      <c r="J415" s="1">
        <v>0</v>
      </c>
      <c r="K415" s="1">
        <v>0</v>
      </c>
      <c r="L415" s="1" t="s">
        <v>54</v>
      </c>
      <c r="M415" s="1">
        <v>2</v>
      </c>
      <c r="N415" s="1">
        <v>2</v>
      </c>
      <c r="O415" s="1">
        <v>0</v>
      </c>
      <c r="P415" s="11" t="str">
        <f t="shared" si="6"/>
        <v>负</v>
      </c>
      <c r="Q415" s="11" t="str">
        <f t="shared" si="6"/>
        <v>负</v>
      </c>
    </row>
    <row r="416" spans="4:17" customFormat="1" hidden="1" x14ac:dyDescent="0.15">
      <c r="D416" t="s">
        <v>6</v>
      </c>
      <c r="E416" s="1">
        <v>204335</v>
      </c>
      <c r="F416" s="1">
        <v>204335</v>
      </c>
      <c r="G416" s="8">
        <v>42470.000694444447</v>
      </c>
      <c r="H416" s="1" t="s">
        <v>42</v>
      </c>
      <c r="I416" s="1">
        <v>1</v>
      </c>
      <c r="J416" s="1">
        <v>2</v>
      </c>
      <c r="K416" s="1">
        <v>0</v>
      </c>
      <c r="L416" s="1" t="s">
        <v>49</v>
      </c>
      <c r="M416" s="1">
        <v>0</v>
      </c>
      <c r="N416" s="1">
        <v>1</v>
      </c>
      <c r="O416" s="1">
        <v>0</v>
      </c>
      <c r="P416" s="11" t="str">
        <f t="shared" si="6"/>
        <v>胜</v>
      </c>
      <c r="Q416" s="11" t="str">
        <f t="shared" si="6"/>
        <v>胜</v>
      </c>
    </row>
    <row r="417" spans="4:17" customFormat="1" hidden="1" x14ac:dyDescent="0.15">
      <c r="D417" t="s">
        <v>6</v>
      </c>
      <c r="E417" s="1">
        <v>204357</v>
      </c>
      <c r="F417" s="1">
        <v>204357</v>
      </c>
      <c r="G417" s="8">
        <v>42469.040972222225</v>
      </c>
      <c r="H417" s="1" t="s">
        <v>35</v>
      </c>
      <c r="I417" s="1">
        <v>1</v>
      </c>
      <c r="J417" s="1">
        <v>1</v>
      </c>
      <c r="K417" s="1">
        <v>0</v>
      </c>
      <c r="L417" s="1" t="s">
        <v>48</v>
      </c>
      <c r="M417" s="1">
        <v>0</v>
      </c>
      <c r="N417" s="1">
        <v>0</v>
      </c>
      <c r="O417" s="1">
        <v>0</v>
      </c>
      <c r="P417" s="11" t="str">
        <f t="shared" si="6"/>
        <v>胜</v>
      </c>
      <c r="Q417" s="11" t="str">
        <f t="shared" si="6"/>
        <v>胜</v>
      </c>
    </row>
    <row r="418" spans="4:17" customFormat="1" hidden="1" x14ac:dyDescent="0.15">
      <c r="D418" t="s">
        <v>6</v>
      </c>
      <c r="E418" s="1">
        <v>204392</v>
      </c>
      <c r="F418" s="1">
        <v>204392</v>
      </c>
      <c r="G418" s="8">
        <v>42469.895833333336</v>
      </c>
      <c r="H418" s="1" t="s">
        <v>44</v>
      </c>
      <c r="I418" s="1">
        <v>3</v>
      </c>
      <c r="J418" s="1">
        <v>4</v>
      </c>
      <c r="K418" s="1">
        <v>0</v>
      </c>
      <c r="L418" s="1" t="s">
        <v>41</v>
      </c>
      <c r="M418" s="1">
        <v>0</v>
      </c>
      <c r="N418" s="1">
        <v>0</v>
      </c>
      <c r="O418" s="1">
        <v>0</v>
      </c>
      <c r="P418" s="11" t="str">
        <f t="shared" si="6"/>
        <v>胜</v>
      </c>
      <c r="Q418" s="11" t="str">
        <f t="shared" si="6"/>
        <v>胜</v>
      </c>
    </row>
    <row r="419" spans="4:17" customFormat="1" hidden="1" x14ac:dyDescent="0.15">
      <c r="D419" t="s">
        <v>6</v>
      </c>
      <c r="E419" s="1">
        <v>206668</v>
      </c>
      <c r="F419" s="1">
        <v>206668</v>
      </c>
      <c r="G419" s="8">
        <v>42476.041666666664</v>
      </c>
      <c r="H419" s="1" t="s">
        <v>48</v>
      </c>
      <c r="I419" s="1">
        <v>1</v>
      </c>
      <c r="J419" s="1">
        <v>2</v>
      </c>
      <c r="K419" s="1">
        <v>0</v>
      </c>
      <c r="L419" s="1" t="s">
        <v>44</v>
      </c>
      <c r="M419" s="1">
        <v>1</v>
      </c>
      <c r="N419" s="1">
        <v>2</v>
      </c>
      <c r="O419" s="1">
        <v>0</v>
      </c>
      <c r="P419" s="11" t="str">
        <f t="shared" si="6"/>
        <v>平</v>
      </c>
      <c r="Q419" s="11" t="str">
        <f t="shared" si="6"/>
        <v>平</v>
      </c>
    </row>
    <row r="420" spans="4:17" hidden="1" x14ac:dyDescent="0.15">
      <c r="D420" s="2" t="s">
        <v>6</v>
      </c>
      <c r="E420" s="6">
        <v>206709</v>
      </c>
      <c r="F420" s="6">
        <v>206709</v>
      </c>
      <c r="G420" s="24">
        <v>42477.896527777775</v>
      </c>
      <c r="H420" s="6" t="s">
        <v>32</v>
      </c>
      <c r="I420" s="6">
        <v>1</v>
      </c>
      <c r="J420" s="6">
        <v>1</v>
      </c>
      <c r="K420" s="6">
        <v>0</v>
      </c>
      <c r="L420" s="6" t="s">
        <v>38</v>
      </c>
      <c r="M420" s="6">
        <v>0</v>
      </c>
      <c r="N420" s="6">
        <v>2</v>
      </c>
      <c r="O420" s="6">
        <v>0</v>
      </c>
      <c r="P420" s="11" t="str">
        <f t="shared" si="6"/>
        <v>胜</v>
      </c>
      <c r="Q420" s="11" t="str">
        <f t="shared" si="6"/>
        <v>负</v>
      </c>
    </row>
    <row r="421" spans="4:17" customFormat="1" hidden="1" x14ac:dyDescent="0.15">
      <c r="D421" t="s">
        <v>6</v>
      </c>
      <c r="E421" s="1">
        <v>206718</v>
      </c>
      <c r="F421" s="1">
        <v>206718</v>
      </c>
      <c r="G421" s="8">
        <v>42478</v>
      </c>
      <c r="H421" s="1" t="s">
        <v>41</v>
      </c>
      <c r="I421" s="1">
        <v>1</v>
      </c>
      <c r="J421" s="1">
        <v>1</v>
      </c>
      <c r="K421" s="1">
        <v>0</v>
      </c>
      <c r="L421" s="1" t="s">
        <v>42</v>
      </c>
      <c r="M421" s="1">
        <v>0</v>
      </c>
      <c r="N421" s="1">
        <v>1</v>
      </c>
      <c r="O421" s="1">
        <v>0</v>
      </c>
      <c r="P421" s="11" t="str">
        <f t="shared" si="6"/>
        <v>胜</v>
      </c>
      <c r="Q421" s="11" t="str">
        <f t="shared" si="6"/>
        <v>平</v>
      </c>
    </row>
    <row r="422" spans="4:17" customFormat="1" hidden="1" x14ac:dyDescent="0.15">
      <c r="D422" t="s">
        <v>6</v>
      </c>
      <c r="E422" s="1">
        <v>206719</v>
      </c>
      <c r="F422" s="1">
        <v>206719</v>
      </c>
      <c r="G422" s="8">
        <v>42477.999305555553</v>
      </c>
      <c r="H422" s="1" t="s">
        <v>49</v>
      </c>
      <c r="I422" s="1">
        <v>1</v>
      </c>
      <c r="J422" s="1">
        <v>4</v>
      </c>
      <c r="K422" s="1">
        <v>0</v>
      </c>
      <c r="L422" s="1" t="s">
        <v>53</v>
      </c>
      <c r="M422" s="1">
        <v>0</v>
      </c>
      <c r="N422" s="1">
        <v>0</v>
      </c>
      <c r="O422" s="1">
        <v>0</v>
      </c>
      <c r="P422" s="11" t="str">
        <f t="shared" si="6"/>
        <v>胜</v>
      </c>
      <c r="Q422" s="11" t="str">
        <f t="shared" si="6"/>
        <v>胜</v>
      </c>
    </row>
    <row r="423" spans="4:17" customFormat="1" hidden="1" x14ac:dyDescent="0.15">
      <c r="D423" t="s">
        <v>6</v>
      </c>
      <c r="E423" s="1">
        <v>206720</v>
      </c>
      <c r="F423" s="1">
        <v>206720</v>
      </c>
      <c r="G423" s="8">
        <v>42478</v>
      </c>
      <c r="H423" s="1" t="s">
        <v>43</v>
      </c>
      <c r="I423" s="1">
        <v>1</v>
      </c>
      <c r="J423" s="1">
        <v>1</v>
      </c>
      <c r="K423" s="1">
        <v>0</v>
      </c>
      <c r="L423" s="1" t="s">
        <v>45</v>
      </c>
      <c r="M423" s="1">
        <v>1</v>
      </c>
      <c r="N423" s="1">
        <v>2</v>
      </c>
      <c r="O423" s="1">
        <v>0</v>
      </c>
      <c r="P423" s="11" t="str">
        <f t="shared" si="6"/>
        <v>平</v>
      </c>
      <c r="Q423" s="11" t="str">
        <f t="shared" si="6"/>
        <v>负</v>
      </c>
    </row>
    <row r="424" spans="4:17" customFormat="1" hidden="1" x14ac:dyDescent="0.15">
      <c r="D424" t="s">
        <v>6</v>
      </c>
      <c r="E424" s="1">
        <v>206726</v>
      </c>
      <c r="F424" s="1">
        <v>206726</v>
      </c>
      <c r="G424" s="8">
        <v>42478.083333333336</v>
      </c>
      <c r="H424" s="1" t="s">
        <v>54</v>
      </c>
      <c r="I424" s="1">
        <v>2</v>
      </c>
      <c r="J424" s="1">
        <v>3</v>
      </c>
      <c r="K424" s="1">
        <v>0</v>
      </c>
      <c r="L424" s="1" t="s">
        <v>36</v>
      </c>
      <c r="M424" s="1">
        <v>0</v>
      </c>
      <c r="N424" s="1">
        <v>0</v>
      </c>
      <c r="O424" s="1">
        <v>0</v>
      </c>
      <c r="P424" s="11" t="str">
        <f t="shared" si="6"/>
        <v>胜</v>
      </c>
      <c r="Q424" s="11" t="str">
        <f t="shared" si="6"/>
        <v>胜</v>
      </c>
    </row>
    <row r="425" spans="4:17" customFormat="1" hidden="1" x14ac:dyDescent="0.15">
      <c r="D425" t="s">
        <v>6</v>
      </c>
      <c r="E425" s="1">
        <v>207090</v>
      </c>
      <c r="F425" s="1">
        <v>207090</v>
      </c>
      <c r="G425" s="8">
        <v>42476.895138888889</v>
      </c>
      <c r="H425" s="1" t="s">
        <v>40</v>
      </c>
      <c r="I425" s="1">
        <v>0</v>
      </c>
      <c r="J425" s="1">
        <v>2</v>
      </c>
      <c r="K425" s="1">
        <v>0</v>
      </c>
      <c r="L425" s="1" t="s">
        <v>35</v>
      </c>
      <c r="M425" s="1">
        <v>0</v>
      </c>
      <c r="N425" s="1">
        <v>1</v>
      </c>
      <c r="O425" s="1">
        <v>0</v>
      </c>
      <c r="P425" s="11" t="str">
        <f t="shared" si="6"/>
        <v>平</v>
      </c>
      <c r="Q425" s="11" t="str">
        <f t="shared" si="6"/>
        <v>胜</v>
      </c>
    </row>
    <row r="426" spans="4:17" customFormat="1" hidden="1" x14ac:dyDescent="0.15">
      <c r="D426" t="s">
        <v>6</v>
      </c>
      <c r="E426" s="1">
        <v>207112</v>
      </c>
      <c r="F426" s="1">
        <v>207112</v>
      </c>
      <c r="G426" s="8">
        <v>42476.999305555553</v>
      </c>
      <c r="H426" s="1" t="s">
        <v>37</v>
      </c>
      <c r="I426" s="1">
        <v>1</v>
      </c>
      <c r="J426" s="1">
        <v>3</v>
      </c>
      <c r="K426" s="1">
        <v>0</v>
      </c>
      <c r="L426" s="1" t="s">
        <v>46</v>
      </c>
      <c r="M426" s="1">
        <v>0</v>
      </c>
      <c r="N426" s="1">
        <v>0</v>
      </c>
      <c r="O426" s="1">
        <v>0</v>
      </c>
      <c r="P426" s="11" t="str">
        <f t="shared" si="6"/>
        <v>胜</v>
      </c>
      <c r="Q426" s="11" t="str">
        <f t="shared" si="6"/>
        <v>胜</v>
      </c>
    </row>
    <row r="427" spans="4:17" hidden="1" x14ac:dyDescent="0.15">
      <c r="D427" s="2" t="s">
        <v>6</v>
      </c>
      <c r="E427" s="6">
        <v>208862</v>
      </c>
      <c r="F427" s="6">
        <v>208862</v>
      </c>
      <c r="G427" s="24">
        <v>42481.040972222225</v>
      </c>
      <c r="H427" s="6" t="s">
        <v>32</v>
      </c>
      <c r="I427" s="6">
        <v>2</v>
      </c>
      <c r="J427" s="6">
        <v>3</v>
      </c>
      <c r="K427" s="6">
        <v>0</v>
      </c>
      <c r="L427" s="6" t="s">
        <v>48</v>
      </c>
      <c r="M427" s="6">
        <v>2</v>
      </c>
      <c r="N427" s="6">
        <v>4</v>
      </c>
      <c r="O427" s="6">
        <v>0</v>
      </c>
      <c r="P427" s="11" t="str">
        <f t="shared" si="6"/>
        <v>平</v>
      </c>
      <c r="Q427" s="11" t="str">
        <f t="shared" si="6"/>
        <v>负</v>
      </c>
    </row>
    <row r="428" spans="4:17" customFormat="1" hidden="1" x14ac:dyDescent="0.15">
      <c r="D428" t="s">
        <v>6</v>
      </c>
      <c r="E428" s="1">
        <v>208863</v>
      </c>
      <c r="F428" s="1">
        <v>208863</v>
      </c>
      <c r="G428" s="8">
        <v>42481.040972222225</v>
      </c>
      <c r="H428" s="1" t="s">
        <v>42</v>
      </c>
      <c r="I428" s="1">
        <v>0</v>
      </c>
      <c r="J428" s="1">
        <v>0</v>
      </c>
      <c r="K428" s="1">
        <v>0</v>
      </c>
      <c r="L428" s="1" t="s">
        <v>40</v>
      </c>
      <c r="M428" s="1">
        <v>1</v>
      </c>
      <c r="N428" s="1">
        <v>1</v>
      </c>
      <c r="O428" s="1">
        <v>0</v>
      </c>
      <c r="P428" s="11" t="str">
        <f t="shared" si="6"/>
        <v>负</v>
      </c>
      <c r="Q428" s="11" t="str">
        <f t="shared" si="6"/>
        <v>负</v>
      </c>
    </row>
    <row r="429" spans="4:17" customFormat="1" hidden="1" x14ac:dyDescent="0.15">
      <c r="D429" t="s">
        <v>6</v>
      </c>
      <c r="E429" s="1">
        <v>208864</v>
      </c>
      <c r="F429" s="1">
        <v>208864</v>
      </c>
      <c r="G429" s="8">
        <v>42481.041666666664</v>
      </c>
      <c r="H429" s="1" t="s">
        <v>35</v>
      </c>
      <c r="I429" s="1">
        <v>0</v>
      </c>
      <c r="J429" s="1">
        <v>0</v>
      </c>
      <c r="K429" s="1">
        <v>0</v>
      </c>
      <c r="L429" s="1" t="s">
        <v>54</v>
      </c>
      <c r="M429" s="1">
        <v>0</v>
      </c>
      <c r="N429" s="1">
        <v>1</v>
      </c>
      <c r="O429" s="1">
        <v>0</v>
      </c>
      <c r="P429" s="11" t="str">
        <f t="shared" si="6"/>
        <v>平</v>
      </c>
      <c r="Q429" s="11" t="str">
        <f t="shared" si="6"/>
        <v>负</v>
      </c>
    </row>
    <row r="430" spans="4:17" customFormat="1" x14ac:dyDescent="0.15">
      <c r="D430" t="s">
        <v>6</v>
      </c>
      <c r="E430" s="1">
        <v>209102</v>
      </c>
      <c r="F430" s="1">
        <v>209102</v>
      </c>
      <c r="G430" s="8">
        <v>42482.041666666664</v>
      </c>
      <c r="H430" s="1" t="s">
        <v>36</v>
      </c>
      <c r="I430" s="1">
        <v>1</v>
      </c>
      <c r="J430" s="1">
        <v>1</v>
      </c>
      <c r="K430" s="1">
        <v>0</v>
      </c>
      <c r="L430" s="1" t="s">
        <v>41</v>
      </c>
      <c r="M430" s="1">
        <v>3</v>
      </c>
      <c r="N430" s="1">
        <v>4</v>
      </c>
      <c r="O430" s="1">
        <v>0</v>
      </c>
      <c r="P430" s="11" t="str">
        <f t="shared" si="6"/>
        <v>负</v>
      </c>
      <c r="Q430" s="11" t="str">
        <f t="shared" si="6"/>
        <v>负</v>
      </c>
    </row>
    <row r="431" spans="4:17" customFormat="1" hidden="1" x14ac:dyDescent="0.15">
      <c r="D431" t="s">
        <v>6</v>
      </c>
      <c r="E431" s="1">
        <v>209297</v>
      </c>
      <c r="F431" s="1">
        <v>209297</v>
      </c>
      <c r="G431" s="8">
        <v>42481.040972222225</v>
      </c>
      <c r="H431" s="1" t="s">
        <v>45</v>
      </c>
      <c r="I431" s="1">
        <v>0</v>
      </c>
      <c r="J431" s="1">
        <v>0</v>
      </c>
      <c r="K431" s="1">
        <v>0</v>
      </c>
      <c r="L431" s="1" t="s">
        <v>46</v>
      </c>
      <c r="M431" s="1">
        <v>0</v>
      </c>
      <c r="N431" s="1">
        <v>1</v>
      </c>
      <c r="O431" s="1">
        <v>0</v>
      </c>
      <c r="P431" s="11" t="str">
        <f t="shared" si="6"/>
        <v>平</v>
      </c>
      <c r="Q431" s="11" t="str">
        <f t="shared" si="6"/>
        <v>负</v>
      </c>
    </row>
    <row r="432" spans="4:17" customFormat="1" hidden="1" x14ac:dyDescent="0.15">
      <c r="D432" t="s">
        <v>6</v>
      </c>
      <c r="E432" s="1">
        <v>209451</v>
      </c>
      <c r="F432" s="1">
        <v>209451</v>
      </c>
      <c r="G432" s="8">
        <v>42482.041666666664</v>
      </c>
      <c r="H432" s="1" t="s">
        <v>44</v>
      </c>
      <c r="I432" s="1">
        <v>1</v>
      </c>
      <c r="J432" s="1">
        <v>1</v>
      </c>
      <c r="K432" s="1">
        <v>0</v>
      </c>
      <c r="L432" s="1" t="s">
        <v>43</v>
      </c>
      <c r="M432" s="1">
        <v>1</v>
      </c>
      <c r="N432" s="1">
        <v>1</v>
      </c>
      <c r="O432" s="1">
        <v>0</v>
      </c>
      <c r="P432" s="11" t="str">
        <f t="shared" si="6"/>
        <v>平</v>
      </c>
      <c r="Q432" s="11" t="str">
        <f t="shared" si="6"/>
        <v>平</v>
      </c>
    </row>
    <row r="433" spans="4:17" customFormat="1" hidden="1" x14ac:dyDescent="0.15">
      <c r="D433" t="s">
        <v>6</v>
      </c>
      <c r="E433" s="1">
        <v>209452</v>
      </c>
      <c r="F433" s="1">
        <v>209452</v>
      </c>
      <c r="G433" s="8">
        <v>42482.042361111111</v>
      </c>
      <c r="H433" s="1" t="s">
        <v>53</v>
      </c>
      <c r="I433" s="1">
        <v>1</v>
      </c>
      <c r="J433" s="1">
        <v>1</v>
      </c>
      <c r="K433" s="1">
        <v>0</v>
      </c>
      <c r="L433" s="1" t="s">
        <v>37</v>
      </c>
      <c r="M433" s="1">
        <v>1</v>
      </c>
      <c r="N433" s="1">
        <v>2</v>
      </c>
      <c r="O433" s="1">
        <v>0</v>
      </c>
      <c r="P433" s="11" t="str">
        <f t="shared" si="6"/>
        <v>平</v>
      </c>
      <c r="Q433" s="11" t="str">
        <f t="shared" si="6"/>
        <v>负</v>
      </c>
    </row>
    <row r="434" spans="4:17" customFormat="1" hidden="1" x14ac:dyDescent="0.15">
      <c r="D434" t="s">
        <v>6</v>
      </c>
      <c r="E434" s="1">
        <v>209453</v>
      </c>
      <c r="F434" s="1">
        <v>209453</v>
      </c>
      <c r="G434" s="8">
        <v>42482.041666666664</v>
      </c>
      <c r="H434" s="1" t="s">
        <v>38</v>
      </c>
      <c r="I434" s="1">
        <v>2</v>
      </c>
      <c r="J434" s="1">
        <v>4</v>
      </c>
      <c r="K434" s="1">
        <v>0</v>
      </c>
      <c r="L434" s="1" t="s">
        <v>49</v>
      </c>
      <c r="M434" s="1">
        <v>0</v>
      </c>
      <c r="N434" s="1">
        <v>0</v>
      </c>
      <c r="O434" s="1">
        <v>0</v>
      </c>
      <c r="P434" s="11" t="str">
        <f t="shared" si="6"/>
        <v>胜</v>
      </c>
      <c r="Q434" s="11" t="str">
        <f t="shared" si="6"/>
        <v>胜</v>
      </c>
    </row>
    <row r="435" spans="4:17" customFormat="1" hidden="1" x14ac:dyDescent="0.15">
      <c r="D435" t="s">
        <v>6</v>
      </c>
      <c r="E435" s="1">
        <v>210037</v>
      </c>
      <c r="F435" s="1">
        <v>210037</v>
      </c>
      <c r="G435" s="8">
        <v>42484.000694444447</v>
      </c>
      <c r="H435" s="1" t="s">
        <v>46</v>
      </c>
      <c r="I435" s="1">
        <v>1</v>
      </c>
      <c r="J435" s="1">
        <v>2</v>
      </c>
      <c r="K435" s="1">
        <v>0</v>
      </c>
      <c r="L435" s="1" t="s">
        <v>35</v>
      </c>
      <c r="M435" s="1">
        <v>0</v>
      </c>
      <c r="N435" s="1">
        <v>0</v>
      </c>
      <c r="O435" s="1">
        <v>0</v>
      </c>
      <c r="P435" s="11" t="str">
        <f t="shared" si="6"/>
        <v>胜</v>
      </c>
      <c r="Q435" s="11" t="str">
        <f t="shared" si="6"/>
        <v>胜</v>
      </c>
    </row>
    <row r="436" spans="4:17" customFormat="1" hidden="1" x14ac:dyDescent="0.15">
      <c r="D436" t="s">
        <v>6</v>
      </c>
      <c r="E436" s="1">
        <v>210081</v>
      </c>
      <c r="F436" s="1">
        <v>210081</v>
      </c>
      <c r="G436" s="8">
        <v>42483.895138888889</v>
      </c>
      <c r="H436" s="1" t="s">
        <v>40</v>
      </c>
      <c r="I436" s="1">
        <v>1</v>
      </c>
      <c r="J436" s="1">
        <v>2</v>
      </c>
      <c r="K436" s="1">
        <v>0</v>
      </c>
      <c r="L436" s="1" t="s">
        <v>32</v>
      </c>
      <c r="M436" s="1">
        <v>0</v>
      </c>
      <c r="N436" s="1">
        <v>0</v>
      </c>
      <c r="O436" s="1">
        <v>0</v>
      </c>
      <c r="P436" s="11" t="str">
        <f t="shared" si="6"/>
        <v>胜</v>
      </c>
      <c r="Q436" s="11" t="str">
        <f t="shared" si="6"/>
        <v>胜</v>
      </c>
    </row>
    <row r="437" spans="4:17" customFormat="1" hidden="1" x14ac:dyDescent="0.15">
      <c r="D437" t="s">
        <v>6</v>
      </c>
      <c r="E437" s="1">
        <v>210114</v>
      </c>
      <c r="F437" s="1">
        <v>210114</v>
      </c>
      <c r="G437" s="8">
        <v>42484.895833333336</v>
      </c>
      <c r="H437" s="1" t="s">
        <v>41</v>
      </c>
      <c r="I437" s="1">
        <v>2</v>
      </c>
      <c r="J437" s="1">
        <v>4</v>
      </c>
      <c r="K437" s="1">
        <v>0</v>
      </c>
      <c r="L437" s="1" t="s">
        <v>38</v>
      </c>
      <c r="M437" s="1">
        <v>0</v>
      </c>
      <c r="N437" s="1">
        <v>0</v>
      </c>
      <c r="O437" s="1">
        <v>0</v>
      </c>
      <c r="P437" s="11" t="str">
        <f t="shared" si="6"/>
        <v>胜</v>
      </c>
      <c r="Q437" s="11" t="str">
        <f t="shared" si="6"/>
        <v>胜</v>
      </c>
    </row>
    <row r="438" spans="4:17" customFormat="1" hidden="1" x14ac:dyDescent="0.15">
      <c r="D438" t="s">
        <v>6</v>
      </c>
      <c r="E438" s="1">
        <v>210118</v>
      </c>
      <c r="F438" s="1">
        <v>210118</v>
      </c>
      <c r="G438" s="8">
        <v>42484.999305555553</v>
      </c>
      <c r="H438" s="1" t="s">
        <v>43</v>
      </c>
      <c r="I438" s="1">
        <v>2</v>
      </c>
      <c r="J438" s="1">
        <v>6</v>
      </c>
      <c r="K438" s="1">
        <v>0</v>
      </c>
      <c r="L438" s="1" t="s">
        <v>53</v>
      </c>
      <c r="M438" s="1">
        <v>0</v>
      </c>
      <c r="N438" s="1">
        <v>0</v>
      </c>
      <c r="O438" s="1">
        <v>0</v>
      </c>
      <c r="P438" s="11" t="str">
        <f t="shared" si="6"/>
        <v>胜</v>
      </c>
      <c r="Q438" s="11" t="str">
        <f t="shared" si="6"/>
        <v>胜</v>
      </c>
    </row>
    <row r="439" spans="4:17" customFormat="1" hidden="1" x14ac:dyDescent="0.15">
      <c r="D439" t="s">
        <v>6</v>
      </c>
      <c r="E439" s="1">
        <v>210121</v>
      </c>
      <c r="F439" s="1">
        <v>210121</v>
      </c>
      <c r="G439" s="8">
        <v>42485</v>
      </c>
      <c r="H439" s="1" t="s">
        <v>54</v>
      </c>
      <c r="I439" s="1">
        <v>0</v>
      </c>
      <c r="J439" s="1">
        <v>1</v>
      </c>
      <c r="K439" s="1">
        <v>0</v>
      </c>
      <c r="L439" s="1" t="s">
        <v>44</v>
      </c>
      <c r="M439" s="1">
        <v>1</v>
      </c>
      <c r="N439" s="1">
        <v>3</v>
      </c>
      <c r="O439" s="1">
        <v>0</v>
      </c>
      <c r="P439" s="11" t="str">
        <f t="shared" si="6"/>
        <v>负</v>
      </c>
      <c r="Q439" s="11" t="str">
        <f t="shared" si="6"/>
        <v>负</v>
      </c>
    </row>
    <row r="440" spans="4:17" customFormat="1" hidden="1" x14ac:dyDescent="0.15">
      <c r="D440" t="s">
        <v>6</v>
      </c>
      <c r="E440" s="1">
        <v>210126</v>
      </c>
      <c r="F440" s="1">
        <v>210126</v>
      </c>
      <c r="G440" s="8">
        <v>42485</v>
      </c>
      <c r="H440" s="1" t="s">
        <v>37</v>
      </c>
      <c r="I440" s="1">
        <v>1</v>
      </c>
      <c r="J440" s="1">
        <v>4</v>
      </c>
      <c r="K440" s="1">
        <v>0</v>
      </c>
      <c r="L440" s="1" t="s">
        <v>45</v>
      </c>
      <c r="M440" s="1">
        <v>0</v>
      </c>
      <c r="N440" s="1">
        <v>0</v>
      </c>
      <c r="O440" s="1">
        <v>0</v>
      </c>
      <c r="P440" s="11" t="str">
        <f t="shared" si="6"/>
        <v>胜</v>
      </c>
      <c r="Q440" s="11" t="str">
        <f t="shared" si="6"/>
        <v>胜</v>
      </c>
    </row>
    <row r="441" spans="4:17" customFormat="1" hidden="1" x14ac:dyDescent="0.15">
      <c r="D441" t="s">
        <v>6</v>
      </c>
      <c r="E441" s="1">
        <v>210127</v>
      </c>
      <c r="F441" s="1">
        <v>210127</v>
      </c>
      <c r="G441" s="8">
        <v>42485.082638888889</v>
      </c>
      <c r="H441" s="1" t="s">
        <v>49</v>
      </c>
      <c r="I441" s="1">
        <v>1</v>
      </c>
      <c r="J441" s="1">
        <v>2</v>
      </c>
      <c r="K441" s="1">
        <v>0</v>
      </c>
      <c r="L441" s="1" t="s">
        <v>36</v>
      </c>
      <c r="M441" s="1">
        <v>0</v>
      </c>
      <c r="N441" s="1">
        <v>0</v>
      </c>
      <c r="O441" s="1">
        <v>0</v>
      </c>
      <c r="P441" s="11" t="str">
        <f t="shared" si="6"/>
        <v>胜</v>
      </c>
      <c r="Q441" s="11" t="str">
        <f t="shared" si="6"/>
        <v>胜</v>
      </c>
    </row>
    <row r="442" spans="4:17" customFormat="1" hidden="1" x14ac:dyDescent="0.15">
      <c r="D442" t="s">
        <v>6</v>
      </c>
      <c r="E442" s="1">
        <v>210154</v>
      </c>
      <c r="F442" s="1">
        <v>210154</v>
      </c>
      <c r="G442" s="8">
        <v>42486.040972222225</v>
      </c>
      <c r="H442" s="1" t="s">
        <v>48</v>
      </c>
      <c r="I442" s="1">
        <v>1</v>
      </c>
      <c r="J442" s="1">
        <v>3</v>
      </c>
      <c r="K442" s="1">
        <v>0</v>
      </c>
      <c r="L442" s="1" t="s">
        <v>42</v>
      </c>
      <c r="M442" s="1">
        <v>0</v>
      </c>
      <c r="N442" s="1">
        <v>1</v>
      </c>
      <c r="O442" s="1">
        <v>0</v>
      </c>
      <c r="P442" s="11" t="str">
        <f t="shared" si="6"/>
        <v>胜</v>
      </c>
      <c r="Q442" s="11" t="str">
        <f t="shared" si="6"/>
        <v>胜</v>
      </c>
    </row>
    <row r="443" spans="4:17" customFormat="1" hidden="1" x14ac:dyDescent="0.15">
      <c r="D443" t="s">
        <v>6</v>
      </c>
      <c r="E443" s="1">
        <v>211336</v>
      </c>
      <c r="F443" s="1">
        <v>211336</v>
      </c>
      <c r="G443" s="8">
        <v>42490.895833333336</v>
      </c>
      <c r="H443" s="1" t="s">
        <v>44</v>
      </c>
      <c r="I443" s="1">
        <v>2</v>
      </c>
      <c r="J443" s="1">
        <v>2</v>
      </c>
      <c r="K443" s="1">
        <v>0</v>
      </c>
      <c r="L443" s="1" t="s">
        <v>49</v>
      </c>
      <c r="M443" s="1">
        <v>0</v>
      </c>
      <c r="N443" s="1">
        <v>0</v>
      </c>
      <c r="O443" s="1">
        <v>0</v>
      </c>
      <c r="P443" s="11" t="str">
        <f t="shared" si="6"/>
        <v>胜</v>
      </c>
      <c r="Q443" s="11" t="str">
        <f t="shared" si="6"/>
        <v>胜</v>
      </c>
    </row>
    <row r="444" spans="4:17" customFormat="1" hidden="1" x14ac:dyDescent="0.15">
      <c r="D444" t="s">
        <v>6</v>
      </c>
      <c r="E444" s="1">
        <v>211374</v>
      </c>
      <c r="F444" s="1">
        <v>211374</v>
      </c>
      <c r="G444" s="8">
        <v>42491</v>
      </c>
      <c r="H444" s="1" t="s">
        <v>38</v>
      </c>
      <c r="I444" s="1">
        <v>0</v>
      </c>
      <c r="J444" s="1">
        <v>1</v>
      </c>
      <c r="K444" s="1">
        <v>0</v>
      </c>
      <c r="L444" s="1" t="s">
        <v>43</v>
      </c>
      <c r="M444" s="1">
        <v>0</v>
      </c>
      <c r="N444" s="1">
        <v>0</v>
      </c>
      <c r="O444" s="1">
        <v>0</v>
      </c>
      <c r="P444" s="11" t="str">
        <f t="shared" si="6"/>
        <v>平</v>
      </c>
      <c r="Q444" s="11" t="str">
        <f t="shared" si="6"/>
        <v>胜</v>
      </c>
    </row>
    <row r="445" spans="4:17" customFormat="1" hidden="1" x14ac:dyDescent="0.15">
      <c r="D445" t="s">
        <v>6</v>
      </c>
      <c r="E445" s="1">
        <v>211427</v>
      </c>
      <c r="F445" s="1">
        <v>211427</v>
      </c>
      <c r="G445" s="8">
        <v>42491.895833333336</v>
      </c>
      <c r="H445" s="1" t="s">
        <v>45</v>
      </c>
      <c r="I445" s="1">
        <v>1</v>
      </c>
      <c r="J445" s="1">
        <v>3</v>
      </c>
      <c r="K445" s="1">
        <v>0</v>
      </c>
      <c r="L445" s="1" t="s">
        <v>48</v>
      </c>
      <c r="M445" s="1">
        <v>1</v>
      </c>
      <c r="N445" s="1">
        <v>2</v>
      </c>
      <c r="O445" s="1">
        <v>0</v>
      </c>
      <c r="P445" s="11" t="str">
        <f t="shared" si="6"/>
        <v>平</v>
      </c>
      <c r="Q445" s="11" t="str">
        <f t="shared" si="6"/>
        <v>胜</v>
      </c>
    </row>
    <row r="446" spans="4:17" customFormat="1" x14ac:dyDescent="0.15">
      <c r="D446" t="s">
        <v>6</v>
      </c>
      <c r="E446" s="1">
        <v>211488</v>
      </c>
      <c r="F446" s="1">
        <v>211488</v>
      </c>
      <c r="G446" s="8">
        <v>42492</v>
      </c>
      <c r="H446" s="1" t="s">
        <v>36</v>
      </c>
      <c r="I446" s="1">
        <v>0</v>
      </c>
      <c r="J446" s="1">
        <v>2</v>
      </c>
      <c r="K446" s="1">
        <v>0</v>
      </c>
      <c r="L446" s="1" t="s">
        <v>40</v>
      </c>
      <c r="M446" s="1">
        <v>1</v>
      </c>
      <c r="N446" s="1">
        <v>2</v>
      </c>
      <c r="O446" s="1">
        <v>0</v>
      </c>
      <c r="P446" s="11" t="str">
        <f t="shared" si="6"/>
        <v>负</v>
      </c>
      <c r="Q446" s="11" t="str">
        <f t="shared" si="6"/>
        <v>平</v>
      </c>
    </row>
    <row r="447" spans="4:17" customFormat="1" hidden="1" x14ac:dyDescent="0.15">
      <c r="D447" t="s">
        <v>6</v>
      </c>
      <c r="E447" s="1">
        <v>211489</v>
      </c>
      <c r="F447" s="1">
        <v>211489</v>
      </c>
      <c r="G447" s="8">
        <v>42492</v>
      </c>
      <c r="H447" s="1" t="s">
        <v>35</v>
      </c>
      <c r="I447" s="1">
        <v>1</v>
      </c>
      <c r="J447" s="1">
        <v>1</v>
      </c>
      <c r="K447" s="1">
        <v>0</v>
      </c>
      <c r="L447" s="1" t="s">
        <v>37</v>
      </c>
      <c r="M447" s="1">
        <v>0</v>
      </c>
      <c r="N447" s="1">
        <v>1</v>
      </c>
      <c r="O447" s="1">
        <v>0</v>
      </c>
      <c r="P447" s="11" t="str">
        <f t="shared" si="6"/>
        <v>胜</v>
      </c>
      <c r="Q447" s="11" t="str">
        <f t="shared" si="6"/>
        <v>平</v>
      </c>
    </row>
    <row r="448" spans="4:17" customFormat="1" hidden="1" x14ac:dyDescent="0.15">
      <c r="D448" t="s">
        <v>6</v>
      </c>
      <c r="E448" s="1">
        <v>211490</v>
      </c>
      <c r="F448" s="1">
        <v>211490</v>
      </c>
      <c r="G448" s="8">
        <v>42491.999305555553</v>
      </c>
      <c r="H448" s="1" t="s">
        <v>53</v>
      </c>
      <c r="I448" s="1">
        <v>1</v>
      </c>
      <c r="J448" s="1">
        <v>1</v>
      </c>
      <c r="K448" s="1">
        <v>0</v>
      </c>
      <c r="L448" s="1" t="s">
        <v>46</v>
      </c>
      <c r="M448" s="1">
        <v>0</v>
      </c>
      <c r="N448" s="1">
        <v>0</v>
      </c>
      <c r="O448" s="1">
        <v>0</v>
      </c>
      <c r="P448" s="11" t="str">
        <f t="shared" si="6"/>
        <v>胜</v>
      </c>
      <c r="Q448" s="11" t="str">
        <f t="shared" si="6"/>
        <v>胜</v>
      </c>
    </row>
    <row r="449" spans="4:17" customFormat="1" hidden="1" x14ac:dyDescent="0.15">
      <c r="D449" t="s">
        <v>6</v>
      </c>
      <c r="E449" s="1">
        <v>211494</v>
      </c>
      <c r="F449" s="1">
        <v>211494</v>
      </c>
      <c r="G449" s="8">
        <v>42492.083333333336</v>
      </c>
      <c r="H449" s="1" t="s">
        <v>42</v>
      </c>
      <c r="I449" s="1">
        <v>1</v>
      </c>
      <c r="J449" s="1">
        <v>1</v>
      </c>
      <c r="K449" s="1">
        <v>0</v>
      </c>
      <c r="L449" s="1" t="s">
        <v>54</v>
      </c>
      <c r="M449" s="1">
        <v>2</v>
      </c>
      <c r="N449" s="1">
        <v>2</v>
      </c>
      <c r="O449" s="1">
        <v>0</v>
      </c>
      <c r="P449" s="11" t="str">
        <f t="shared" si="6"/>
        <v>负</v>
      </c>
      <c r="Q449" s="11" t="str">
        <f t="shared" si="6"/>
        <v>负</v>
      </c>
    </row>
    <row r="450" spans="4:17" hidden="1" x14ac:dyDescent="0.15">
      <c r="D450" s="2" t="s">
        <v>6</v>
      </c>
      <c r="E450" s="6">
        <v>211597</v>
      </c>
      <c r="F450" s="6">
        <v>211597</v>
      </c>
      <c r="G450" s="24">
        <v>42493.040972222225</v>
      </c>
      <c r="H450" s="6" t="s">
        <v>32</v>
      </c>
      <c r="I450" s="6">
        <v>0</v>
      </c>
      <c r="J450" s="6">
        <v>0</v>
      </c>
      <c r="K450" s="6">
        <v>0</v>
      </c>
      <c r="L450" s="6" t="s">
        <v>41</v>
      </c>
      <c r="M450" s="6">
        <v>1</v>
      </c>
      <c r="N450" s="6">
        <v>2</v>
      </c>
      <c r="O450" s="6">
        <v>0</v>
      </c>
      <c r="P450" s="11" t="str">
        <f t="shared" si="6"/>
        <v>负</v>
      </c>
      <c r="Q450" s="11" t="str">
        <f t="shared" si="6"/>
        <v>负</v>
      </c>
    </row>
    <row r="451" spans="4:17" customFormat="1" hidden="1" x14ac:dyDescent="0.15">
      <c r="D451" t="s">
        <v>6</v>
      </c>
      <c r="E451" s="1">
        <v>214292</v>
      </c>
      <c r="F451" s="1">
        <v>214292</v>
      </c>
      <c r="G451" s="8">
        <v>42497.895138888889</v>
      </c>
      <c r="H451" s="1" t="s">
        <v>45</v>
      </c>
      <c r="I451" s="1">
        <v>0</v>
      </c>
      <c r="J451" s="1">
        <v>2</v>
      </c>
      <c r="K451" s="1">
        <v>0</v>
      </c>
      <c r="L451" s="1" t="s">
        <v>53</v>
      </c>
      <c r="M451" s="1">
        <v>0</v>
      </c>
      <c r="N451" s="1">
        <v>0</v>
      </c>
      <c r="O451" s="1">
        <v>0</v>
      </c>
      <c r="P451" s="11" t="str">
        <f t="shared" si="6"/>
        <v>平</v>
      </c>
      <c r="Q451" s="11" t="str">
        <f t="shared" si="6"/>
        <v>胜</v>
      </c>
    </row>
    <row r="452" spans="4:17" customFormat="1" hidden="1" x14ac:dyDescent="0.15">
      <c r="D452" t="s">
        <v>6</v>
      </c>
      <c r="E452" s="1">
        <v>214302</v>
      </c>
      <c r="F452" s="1">
        <v>214302</v>
      </c>
      <c r="G452" s="8">
        <v>42498</v>
      </c>
      <c r="H452" s="1" t="s">
        <v>40</v>
      </c>
      <c r="I452" s="1">
        <v>1</v>
      </c>
      <c r="J452" s="1">
        <v>3</v>
      </c>
      <c r="K452" s="1">
        <v>0</v>
      </c>
      <c r="L452" s="1" t="s">
        <v>44</v>
      </c>
      <c r="M452" s="1">
        <v>0</v>
      </c>
      <c r="N452" s="1">
        <v>1</v>
      </c>
      <c r="O452" s="1">
        <v>0</v>
      </c>
      <c r="P452" s="11" t="str">
        <f t="shared" si="6"/>
        <v>胜</v>
      </c>
      <c r="Q452" s="11" t="str">
        <f t="shared" si="6"/>
        <v>胜</v>
      </c>
    </row>
    <row r="453" spans="4:17" customFormat="1" hidden="1" x14ac:dyDescent="0.15">
      <c r="D453" t="s">
        <v>6</v>
      </c>
      <c r="E453" s="1">
        <v>214336</v>
      </c>
      <c r="F453" s="1">
        <v>214336</v>
      </c>
      <c r="G453" s="8">
        <v>42498.895833333336</v>
      </c>
      <c r="H453" s="1" t="s">
        <v>54</v>
      </c>
      <c r="I453" s="1">
        <v>1</v>
      </c>
      <c r="J453" s="1">
        <v>2</v>
      </c>
      <c r="K453" s="1">
        <v>0</v>
      </c>
      <c r="L453" s="1" t="s">
        <v>32</v>
      </c>
      <c r="M453" s="1">
        <v>0</v>
      </c>
      <c r="N453" s="1">
        <v>1</v>
      </c>
      <c r="O453" s="1">
        <v>0</v>
      </c>
      <c r="P453" s="11" t="str">
        <f t="shared" si="6"/>
        <v>胜</v>
      </c>
      <c r="Q453" s="11" t="str">
        <f t="shared" si="6"/>
        <v>胜</v>
      </c>
    </row>
    <row r="454" spans="4:17" customFormat="1" hidden="1" x14ac:dyDescent="0.15">
      <c r="D454" t="s">
        <v>6</v>
      </c>
      <c r="E454" s="1">
        <v>214358</v>
      </c>
      <c r="F454" s="1">
        <v>214358</v>
      </c>
      <c r="G454" s="8">
        <v>42498.083333333336</v>
      </c>
      <c r="H454" s="1" t="s">
        <v>46</v>
      </c>
      <c r="I454" s="1">
        <v>0</v>
      </c>
      <c r="J454" s="1">
        <v>1</v>
      </c>
      <c r="K454" s="1">
        <v>0</v>
      </c>
      <c r="L454" s="1" t="s">
        <v>36</v>
      </c>
      <c r="M454" s="1">
        <v>0</v>
      </c>
      <c r="N454" s="1">
        <v>0</v>
      </c>
      <c r="O454" s="1">
        <v>0</v>
      </c>
      <c r="P454" s="11" t="str">
        <f t="shared" si="6"/>
        <v>平</v>
      </c>
      <c r="Q454" s="11" t="str">
        <f t="shared" si="6"/>
        <v>胜</v>
      </c>
    </row>
    <row r="455" spans="4:17" customFormat="1" hidden="1" x14ac:dyDescent="0.15">
      <c r="D455" t="s">
        <v>6</v>
      </c>
      <c r="E455" s="1">
        <v>214371</v>
      </c>
      <c r="F455" s="1">
        <v>214371</v>
      </c>
      <c r="G455" s="8">
        <v>42499</v>
      </c>
      <c r="H455" s="1" t="s">
        <v>37</v>
      </c>
      <c r="I455" s="1">
        <v>1</v>
      </c>
      <c r="J455" s="1">
        <v>3</v>
      </c>
      <c r="K455" s="1">
        <v>0</v>
      </c>
      <c r="L455" s="1" t="s">
        <v>42</v>
      </c>
      <c r="M455" s="1">
        <v>0</v>
      </c>
      <c r="N455" s="1">
        <v>1</v>
      </c>
      <c r="O455" s="1">
        <v>0</v>
      </c>
      <c r="P455" s="11" t="str">
        <f t="shared" si="6"/>
        <v>胜</v>
      </c>
      <c r="Q455" s="11" t="str">
        <f t="shared" si="6"/>
        <v>胜</v>
      </c>
    </row>
    <row r="456" spans="4:17" customFormat="1" hidden="1" x14ac:dyDescent="0.15">
      <c r="D456" t="s">
        <v>6</v>
      </c>
      <c r="E456" s="1">
        <v>214372</v>
      </c>
      <c r="F456" s="1">
        <v>214372</v>
      </c>
      <c r="G456" s="8">
        <v>42498.999305555553</v>
      </c>
      <c r="H456" s="1" t="s">
        <v>49</v>
      </c>
      <c r="I456" s="1">
        <v>1</v>
      </c>
      <c r="J456" s="1">
        <v>3</v>
      </c>
      <c r="K456" s="1">
        <v>0</v>
      </c>
      <c r="L456" s="1" t="s">
        <v>41</v>
      </c>
      <c r="M456" s="1">
        <v>0</v>
      </c>
      <c r="N456" s="1">
        <v>0</v>
      </c>
      <c r="O456" s="1">
        <v>0</v>
      </c>
      <c r="P456" s="11" t="str">
        <f t="shared" si="6"/>
        <v>胜</v>
      </c>
      <c r="Q456" s="11" t="str">
        <f t="shared" si="6"/>
        <v>胜</v>
      </c>
    </row>
    <row r="457" spans="4:17" customFormat="1" hidden="1" x14ac:dyDescent="0.15">
      <c r="D457" t="s">
        <v>6</v>
      </c>
      <c r="E457" s="1">
        <v>214373</v>
      </c>
      <c r="F457" s="1">
        <v>214373</v>
      </c>
      <c r="G457" s="8">
        <v>42498.999305555553</v>
      </c>
      <c r="H457" s="1" t="s">
        <v>43</v>
      </c>
      <c r="I457" s="1">
        <v>1</v>
      </c>
      <c r="J457" s="1">
        <v>1</v>
      </c>
      <c r="K457" s="1">
        <v>0</v>
      </c>
      <c r="L457" s="1" t="s">
        <v>35</v>
      </c>
      <c r="M457" s="1">
        <v>1</v>
      </c>
      <c r="N457" s="1">
        <v>4</v>
      </c>
      <c r="O457" s="1">
        <v>0</v>
      </c>
      <c r="P457" s="11" t="str">
        <f t="shared" si="6"/>
        <v>平</v>
      </c>
      <c r="Q457" s="11" t="str">
        <f t="shared" si="6"/>
        <v>负</v>
      </c>
    </row>
    <row r="458" spans="4:17" customFormat="1" hidden="1" x14ac:dyDescent="0.15">
      <c r="D458" t="s">
        <v>6</v>
      </c>
      <c r="E458" s="1">
        <v>214374</v>
      </c>
      <c r="F458" s="1">
        <v>214374</v>
      </c>
      <c r="G458" s="8">
        <v>42499.083333333336</v>
      </c>
      <c r="H458" s="1" t="s">
        <v>48</v>
      </c>
      <c r="I458" s="1">
        <v>0</v>
      </c>
      <c r="J458" s="1">
        <v>3</v>
      </c>
      <c r="K458" s="1">
        <v>0</v>
      </c>
      <c r="L458" s="1" t="s">
        <v>38</v>
      </c>
      <c r="M458" s="1">
        <v>1</v>
      </c>
      <c r="N458" s="1">
        <v>3</v>
      </c>
      <c r="O458" s="1">
        <v>0</v>
      </c>
      <c r="P458" s="11" t="str">
        <f t="shared" si="6"/>
        <v>负</v>
      </c>
      <c r="Q458" s="11" t="str">
        <f t="shared" si="6"/>
        <v>平</v>
      </c>
    </row>
    <row r="459" spans="4:17" customFormat="1" hidden="1" x14ac:dyDescent="0.15">
      <c r="D459" t="s">
        <v>6</v>
      </c>
      <c r="E459" s="1">
        <v>216235</v>
      </c>
      <c r="F459" s="1">
        <v>216235</v>
      </c>
      <c r="G459" s="8">
        <v>42502.040972222225</v>
      </c>
      <c r="H459" s="1" t="s">
        <v>48</v>
      </c>
      <c r="I459" s="1">
        <v>3</v>
      </c>
      <c r="J459" s="1">
        <v>3</v>
      </c>
      <c r="K459" s="1">
        <v>0</v>
      </c>
      <c r="L459" s="1" t="s">
        <v>54</v>
      </c>
      <c r="M459" s="1">
        <v>1</v>
      </c>
      <c r="N459" s="1">
        <v>1</v>
      </c>
      <c r="O459" s="1">
        <v>0</v>
      </c>
      <c r="P459" s="11" t="str">
        <f t="shared" si="6"/>
        <v>胜</v>
      </c>
      <c r="Q459" s="11" t="str">
        <f t="shared" si="6"/>
        <v>胜</v>
      </c>
    </row>
    <row r="460" spans="4:17" hidden="1" x14ac:dyDescent="0.15">
      <c r="D460" s="2" t="s">
        <v>6</v>
      </c>
      <c r="E460" s="6">
        <v>216236</v>
      </c>
      <c r="F460" s="6">
        <v>216236</v>
      </c>
      <c r="G460" s="24">
        <v>42502.041666666664</v>
      </c>
      <c r="H460" s="6" t="s">
        <v>32</v>
      </c>
      <c r="I460" s="6">
        <v>0</v>
      </c>
      <c r="J460" s="6">
        <v>0</v>
      </c>
      <c r="K460" s="6">
        <v>0</v>
      </c>
      <c r="L460" s="6" t="s">
        <v>49</v>
      </c>
      <c r="M460" s="6">
        <v>0</v>
      </c>
      <c r="N460" s="6">
        <v>0</v>
      </c>
      <c r="O460" s="6">
        <v>0</v>
      </c>
      <c r="P460" s="11" t="str">
        <f t="shared" si="6"/>
        <v>平</v>
      </c>
      <c r="Q460" s="11" t="str">
        <f t="shared" si="6"/>
        <v>平</v>
      </c>
    </row>
    <row r="461" spans="4:17" customFormat="1" hidden="1" x14ac:dyDescent="0.15">
      <c r="D461" t="s">
        <v>6</v>
      </c>
      <c r="E461" s="1">
        <v>216237</v>
      </c>
      <c r="F461" s="1">
        <v>216237</v>
      </c>
      <c r="G461" s="8">
        <v>42502.042361111111</v>
      </c>
      <c r="H461" s="1" t="s">
        <v>44</v>
      </c>
      <c r="I461" s="1">
        <v>1</v>
      </c>
      <c r="J461" s="1">
        <v>1</v>
      </c>
      <c r="K461" s="1">
        <v>0</v>
      </c>
      <c r="L461" s="1" t="s">
        <v>46</v>
      </c>
      <c r="M461" s="1">
        <v>0</v>
      </c>
      <c r="N461" s="1">
        <v>0</v>
      </c>
      <c r="O461" s="1">
        <v>0</v>
      </c>
      <c r="P461" s="11" t="str">
        <f t="shared" ref="P461:Q524" si="7">IF(I461=M461,"平",IF(I461&gt;M461,"胜","负"))</f>
        <v>胜</v>
      </c>
      <c r="Q461" s="11" t="str">
        <f t="shared" si="7"/>
        <v>胜</v>
      </c>
    </row>
    <row r="462" spans="4:17" customFormat="1" hidden="1" x14ac:dyDescent="0.15">
      <c r="D462" t="s">
        <v>6</v>
      </c>
      <c r="E462" s="1">
        <v>216240</v>
      </c>
      <c r="F462" s="1">
        <v>216240</v>
      </c>
      <c r="G462" s="8">
        <v>42502.040972222225</v>
      </c>
      <c r="H462" s="1" t="s">
        <v>38</v>
      </c>
      <c r="I462" s="1">
        <v>3</v>
      </c>
      <c r="J462" s="1">
        <v>4</v>
      </c>
      <c r="K462" s="1">
        <v>0</v>
      </c>
      <c r="L462" s="1" t="s">
        <v>40</v>
      </c>
      <c r="M462" s="1">
        <v>0</v>
      </c>
      <c r="N462" s="1">
        <v>2</v>
      </c>
      <c r="O462" s="1">
        <v>0</v>
      </c>
      <c r="P462" s="11" t="str">
        <f t="shared" si="7"/>
        <v>胜</v>
      </c>
      <c r="Q462" s="11" t="str">
        <f t="shared" si="7"/>
        <v>胜</v>
      </c>
    </row>
    <row r="463" spans="4:17" customFormat="1" x14ac:dyDescent="0.15">
      <c r="D463" t="s">
        <v>6</v>
      </c>
      <c r="E463" s="1">
        <v>216293</v>
      </c>
      <c r="F463" s="1">
        <v>216293</v>
      </c>
      <c r="G463" s="8">
        <v>42503.041666666664</v>
      </c>
      <c r="H463" s="1" t="s">
        <v>36</v>
      </c>
      <c r="I463" s="1">
        <v>0</v>
      </c>
      <c r="J463" s="1">
        <v>0</v>
      </c>
      <c r="K463" s="1">
        <v>0</v>
      </c>
      <c r="L463" s="1" t="s">
        <v>37</v>
      </c>
      <c r="M463" s="1">
        <v>0</v>
      </c>
      <c r="N463" s="1">
        <v>2</v>
      </c>
      <c r="O463" s="1">
        <v>0</v>
      </c>
      <c r="P463" s="11" t="str">
        <f t="shared" si="7"/>
        <v>平</v>
      </c>
      <c r="Q463" s="11" t="str">
        <f t="shared" si="7"/>
        <v>负</v>
      </c>
    </row>
    <row r="464" spans="4:17" customFormat="1" hidden="1" x14ac:dyDescent="0.15">
      <c r="D464" t="s">
        <v>6</v>
      </c>
      <c r="E464" s="1">
        <v>216294</v>
      </c>
      <c r="F464" s="1">
        <v>216294</v>
      </c>
      <c r="G464" s="8">
        <v>42503.041666666664</v>
      </c>
      <c r="H464" s="1" t="s">
        <v>35</v>
      </c>
      <c r="I464" s="1">
        <v>0</v>
      </c>
      <c r="J464" s="1">
        <v>0</v>
      </c>
      <c r="K464" s="1">
        <v>0</v>
      </c>
      <c r="L464" s="1" t="s">
        <v>53</v>
      </c>
      <c r="M464" s="1">
        <v>0</v>
      </c>
      <c r="N464" s="1">
        <v>0</v>
      </c>
      <c r="O464" s="1">
        <v>0</v>
      </c>
      <c r="P464" s="11" t="str">
        <f t="shared" si="7"/>
        <v>平</v>
      </c>
      <c r="Q464" s="11" t="str">
        <f t="shared" si="7"/>
        <v>平</v>
      </c>
    </row>
    <row r="465" spans="4:17" customFormat="1" hidden="1" x14ac:dyDescent="0.15">
      <c r="D465" t="s">
        <v>6</v>
      </c>
      <c r="E465" s="1">
        <v>216295</v>
      </c>
      <c r="F465" s="1">
        <v>216295</v>
      </c>
      <c r="G465" s="8">
        <v>42503.041666666664</v>
      </c>
      <c r="H465" s="1" t="s">
        <v>42</v>
      </c>
      <c r="I465" s="1">
        <v>0</v>
      </c>
      <c r="J465" s="1">
        <v>1</v>
      </c>
      <c r="K465" s="1">
        <v>0</v>
      </c>
      <c r="L465" s="1" t="s">
        <v>45</v>
      </c>
      <c r="M465" s="1">
        <v>0</v>
      </c>
      <c r="N465" s="1">
        <v>0</v>
      </c>
      <c r="O465" s="1">
        <v>0</v>
      </c>
      <c r="P465" s="11" t="str">
        <f t="shared" si="7"/>
        <v>平</v>
      </c>
      <c r="Q465" s="11" t="str">
        <f t="shared" si="7"/>
        <v>胜</v>
      </c>
    </row>
    <row r="466" spans="4:17" customFormat="1" hidden="1" x14ac:dyDescent="0.15">
      <c r="D466" t="s">
        <v>6</v>
      </c>
      <c r="E466" s="1">
        <v>216296</v>
      </c>
      <c r="F466" s="1">
        <v>216296</v>
      </c>
      <c r="G466" s="8">
        <v>42503.041666666664</v>
      </c>
      <c r="H466" s="1" t="s">
        <v>41</v>
      </c>
      <c r="I466" s="1">
        <v>1</v>
      </c>
      <c r="J466" s="1">
        <v>1</v>
      </c>
      <c r="K466" s="1">
        <v>0</v>
      </c>
      <c r="L466" s="1" t="s">
        <v>43</v>
      </c>
      <c r="M466" s="1">
        <v>0</v>
      </c>
      <c r="N466" s="1">
        <v>0</v>
      </c>
      <c r="O466" s="1">
        <v>0</v>
      </c>
      <c r="P466" s="11" t="str">
        <f t="shared" si="7"/>
        <v>胜</v>
      </c>
      <c r="Q466" s="11" t="str">
        <f t="shared" si="7"/>
        <v>胜</v>
      </c>
    </row>
    <row r="467" spans="4:17" customFormat="1" hidden="1" x14ac:dyDescent="0.15">
      <c r="D467" t="s">
        <v>6</v>
      </c>
      <c r="E467" s="1">
        <v>217315</v>
      </c>
      <c r="F467" s="1">
        <v>217315</v>
      </c>
      <c r="G467" s="8">
        <v>42506.895833333336</v>
      </c>
      <c r="H467" s="1" t="s">
        <v>43</v>
      </c>
      <c r="I467" s="1">
        <v>0</v>
      </c>
      <c r="J467" s="1">
        <v>1</v>
      </c>
      <c r="K467" s="1">
        <v>0</v>
      </c>
      <c r="L467" s="1" t="s">
        <v>36</v>
      </c>
      <c r="M467" s="1">
        <v>0</v>
      </c>
      <c r="N467" s="1">
        <v>1</v>
      </c>
      <c r="O467" s="1">
        <v>0</v>
      </c>
      <c r="P467" s="11" t="str">
        <f t="shared" si="7"/>
        <v>平</v>
      </c>
      <c r="Q467" s="11" t="str">
        <f t="shared" si="7"/>
        <v>平</v>
      </c>
    </row>
    <row r="468" spans="4:17" customFormat="1" hidden="1" x14ac:dyDescent="0.15">
      <c r="D468" t="s">
        <v>6</v>
      </c>
      <c r="E468" s="1">
        <v>217316</v>
      </c>
      <c r="F468" s="1">
        <v>217316</v>
      </c>
      <c r="G468" s="8">
        <v>42506.895833333336</v>
      </c>
      <c r="H468" s="1" t="s">
        <v>53</v>
      </c>
      <c r="I468" s="1">
        <v>0</v>
      </c>
      <c r="J468" s="1">
        <v>1</v>
      </c>
      <c r="K468" s="1">
        <v>0</v>
      </c>
      <c r="L468" s="1" t="s">
        <v>32</v>
      </c>
      <c r="M468" s="1">
        <v>0</v>
      </c>
      <c r="N468" s="1">
        <v>2</v>
      </c>
      <c r="O468" s="1">
        <v>0</v>
      </c>
      <c r="P468" s="11" t="str">
        <f t="shared" si="7"/>
        <v>平</v>
      </c>
      <c r="Q468" s="11" t="str">
        <f t="shared" si="7"/>
        <v>负</v>
      </c>
    </row>
    <row r="469" spans="4:17" customFormat="1" hidden="1" x14ac:dyDescent="0.15">
      <c r="D469" t="s">
        <v>6</v>
      </c>
      <c r="E469" s="1">
        <v>217320</v>
      </c>
      <c r="F469" s="1">
        <v>217320</v>
      </c>
      <c r="G469" s="8">
        <v>42506.999305555553</v>
      </c>
      <c r="H469" s="1" t="s">
        <v>54</v>
      </c>
      <c r="I469" s="1">
        <v>0</v>
      </c>
      <c r="J469" s="1">
        <v>2</v>
      </c>
      <c r="K469" s="1">
        <v>0</v>
      </c>
      <c r="L469" s="1" t="s">
        <v>38</v>
      </c>
      <c r="M469" s="1">
        <v>0</v>
      </c>
      <c r="N469" s="1">
        <v>0</v>
      </c>
      <c r="O469" s="1">
        <v>0</v>
      </c>
      <c r="P469" s="11" t="str">
        <f t="shared" si="7"/>
        <v>平</v>
      </c>
      <c r="Q469" s="11" t="str">
        <f t="shared" si="7"/>
        <v>胜</v>
      </c>
    </row>
    <row r="470" spans="4:17" customFormat="1" hidden="1" x14ac:dyDescent="0.15">
      <c r="D470" t="s">
        <v>6</v>
      </c>
      <c r="E470" s="1">
        <v>217321</v>
      </c>
      <c r="F470" s="1">
        <v>217321</v>
      </c>
      <c r="G470" s="8">
        <v>42507.001388888886</v>
      </c>
      <c r="H470" s="1" t="s">
        <v>46</v>
      </c>
      <c r="I470" s="1">
        <v>0</v>
      </c>
      <c r="J470" s="1">
        <v>1</v>
      </c>
      <c r="K470" s="1">
        <v>0</v>
      </c>
      <c r="L470" s="1" t="s">
        <v>42</v>
      </c>
      <c r="M470" s="1">
        <v>0</v>
      </c>
      <c r="N470" s="1">
        <v>0</v>
      </c>
      <c r="O470" s="1">
        <v>0</v>
      </c>
      <c r="P470" s="11" t="str">
        <f t="shared" si="7"/>
        <v>平</v>
      </c>
      <c r="Q470" s="11" t="str">
        <f t="shared" si="7"/>
        <v>胜</v>
      </c>
    </row>
    <row r="471" spans="4:17" customFormat="1" hidden="1" x14ac:dyDescent="0.15">
      <c r="D471" t="s">
        <v>6</v>
      </c>
      <c r="E471" s="1">
        <v>217322</v>
      </c>
      <c r="F471" s="1">
        <v>217322</v>
      </c>
      <c r="G471" s="8">
        <v>42507</v>
      </c>
      <c r="H471" s="1" t="s">
        <v>49</v>
      </c>
      <c r="I471" s="1">
        <v>0</v>
      </c>
      <c r="J471" s="1">
        <v>0</v>
      </c>
      <c r="K471" s="1">
        <v>0</v>
      </c>
      <c r="L471" s="1" t="s">
        <v>48</v>
      </c>
      <c r="M471" s="1">
        <v>1</v>
      </c>
      <c r="N471" s="1">
        <v>1</v>
      </c>
      <c r="O471" s="1">
        <v>0</v>
      </c>
      <c r="P471" s="11" t="str">
        <f t="shared" si="7"/>
        <v>负</v>
      </c>
      <c r="Q471" s="11" t="str">
        <f t="shared" si="7"/>
        <v>负</v>
      </c>
    </row>
    <row r="472" spans="4:17" customFormat="1" hidden="1" x14ac:dyDescent="0.15">
      <c r="D472" t="s">
        <v>6</v>
      </c>
      <c r="E472" s="1">
        <v>217323</v>
      </c>
      <c r="F472" s="1">
        <v>217323</v>
      </c>
      <c r="G472" s="8">
        <v>42507</v>
      </c>
      <c r="H472" s="1" t="s">
        <v>37</v>
      </c>
      <c r="I472" s="1">
        <v>1</v>
      </c>
      <c r="J472" s="1">
        <v>2</v>
      </c>
      <c r="K472" s="1">
        <v>0</v>
      </c>
      <c r="L472" s="1" t="s">
        <v>44</v>
      </c>
      <c r="M472" s="1">
        <v>0</v>
      </c>
      <c r="N472" s="1">
        <v>1</v>
      </c>
      <c r="O472" s="1">
        <v>0</v>
      </c>
      <c r="P472" s="11" t="str">
        <f t="shared" si="7"/>
        <v>胜</v>
      </c>
      <c r="Q472" s="11" t="str">
        <f t="shared" si="7"/>
        <v>胜</v>
      </c>
    </row>
    <row r="473" spans="4:17" customFormat="1" hidden="1" x14ac:dyDescent="0.15">
      <c r="D473" t="s">
        <v>6</v>
      </c>
      <c r="E473" s="1">
        <v>217324</v>
      </c>
      <c r="F473" s="1">
        <v>217324</v>
      </c>
      <c r="G473" s="8">
        <v>42506.999305555553</v>
      </c>
      <c r="H473" s="1" t="s">
        <v>45</v>
      </c>
      <c r="I473" s="1">
        <v>0</v>
      </c>
      <c r="J473" s="1">
        <v>0</v>
      </c>
      <c r="K473" s="1">
        <v>0</v>
      </c>
      <c r="L473" s="1" t="s">
        <v>35</v>
      </c>
      <c r="M473" s="1">
        <v>0</v>
      </c>
      <c r="N473" s="1">
        <v>0</v>
      </c>
      <c r="O473" s="1">
        <v>0</v>
      </c>
      <c r="P473" s="11" t="str">
        <f t="shared" si="7"/>
        <v>平</v>
      </c>
      <c r="Q473" s="11" t="str">
        <f t="shared" si="7"/>
        <v>平</v>
      </c>
    </row>
    <row r="474" spans="4:17" customFormat="1" hidden="1" x14ac:dyDescent="0.15">
      <c r="D474" t="s">
        <v>6</v>
      </c>
      <c r="E474" s="1">
        <v>217327</v>
      </c>
      <c r="F474" s="1">
        <v>217327</v>
      </c>
      <c r="G474" s="8">
        <v>42507.083333333336</v>
      </c>
      <c r="H474" s="1" t="s">
        <v>40</v>
      </c>
      <c r="I474" s="1">
        <v>1</v>
      </c>
      <c r="J474" s="1">
        <v>4</v>
      </c>
      <c r="K474" s="1">
        <v>0</v>
      </c>
      <c r="L474" s="1" t="s">
        <v>41</v>
      </c>
      <c r="M474" s="1">
        <v>0</v>
      </c>
      <c r="N474" s="1">
        <v>0</v>
      </c>
      <c r="O474" s="1">
        <v>0</v>
      </c>
      <c r="P474" s="11" t="str">
        <f t="shared" si="7"/>
        <v>胜</v>
      </c>
      <c r="Q474" s="11" t="str">
        <f t="shared" si="7"/>
        <v>胜</v>
      </c>
    </row>
    <row r="475" spans="4:17" customFormat="1" hidden="1" x14ac:dyDescent="0.15">
      <c r="D475" t="s">
        <v>6</v>
      </c>
      <c r="E475" s="1">
        <v>218825</v>
      </c>
      <c r="F475" s="1">
        <v>218825</v>
      </c>
      <c r="G475" s="8">
        <v>42511.041666666664</v>
      </c>
      <c r="H475" s="1" t="s">
        <v>41</v>
      </c>
      <c r="I475" s="1">
        <v>0</v>
      </c>
      <c r="J475" s="1">
        <v>0</v>
      </c>
      <c r="K475" s="1">
        <v>0</v>
      </c>
      <c r="L475" s="1" t="s">
        <v>54</v>
      </c>
      <c r="M475" s="1">
        <v>0</v>
      </c>
      <c r="N475" s="1">
        <v>0</v>
      </c>
      <c r="O475" s="1">
        <v>0</v>
      </c>
      <c r="P475" s="11" t="str">
        <f t="shared" si="7"/>
        <v>平</v>
      </c>
      <c r="Q475" s="11" t="str">
        <f t="shared" si="7"/>
        <v>平</v>
      </c>
    </row>
    <row r="476" spans="4:17" customFormat="1" hidden="1" x14ac:dyDescent="0.15">
      <c r="D476" t="s">
        <v>6</v>
      </c>
      <c r="E476" s="1">
        <v>218905</v>
      </c>
      <c r="F476" s="1">
        <v>218905</v>
      </c>
      <c r="G476" s="8">
        <v>42512.999305555553</v>
      </c>
      <c r="H476" s="1" t="s">
        <v>48</v>
      </c>
      <c r="I476" s="1">
        <v>1</v>
      </c>
      <c r="J476" s="1">
        <v>1</v>
      </c>
      <c r="K476" s="1">
        <v>0</v>
      </c>
      <c r="L476" s="1" t="s">
        <v>37</v>
      </c>
      <c r="M476" s="1">
        <v>1</v>
      </c>
      <c r="N476" s="1">
        <v>1</v>
      </c>
      <c r="O476" s="1">
        <v>0</v>
      </c>
      <c r="P476" s="11" t="str">
        <f t="shared" si="7"/>
        <v>平</v>
      </c>
      <c r="Q476" s="11" t="str">
        <f t="shared" si="7"/>
        <v>平</v>
      </c>
    </row>
    <row r="477" spans="4:17" customFormat="1" hidden="1" x14ac:dyDescent="0.15">
      <c r="D477" t="s">
        <v>6</v>
      </c>
      <c r="E477" s="1">
        <v>218907</v>
      </c>
      <c r="F477" s="1">
        <v>218907</v>
      </c>
      <c r="G477" s="8">
        <v>42513</v>
      </c>
      <c r="H477" s="1" t="s">
        <v>40</v>
      </c>
      <c r="I477" s="1">
        <v>0</v>
      </c>
      <c r="J477" s="1">
        <v>3</v>
      </c>
      <c r="K477" s="1">
        <v>0</v>
      </c>
      <c r="L477" s="1" t="s">
        <v>49</v>
      </c>
      <c r="M477" s="1">
        <v>2</v>
      </c>
      <c r="N477" s="1">
        <v>2</v>
      </c>
      <c r="O477" s="1">
        <v>0</v>
      </c>
      <c r="P477" s="11" t="str">
        <f t="shared" si="7"/>
        <v>负</v>
      </c>
      <c r="Q477" s="11" t="str">
        <f t="shared" si="7"/>
        <v>胜</v>
      </c>
    </row>
    <row r="478" spans="4:17" customFormat="1" hidden="1" x14ac:dyDescent="0.15">
      <c r="D478" t="s">
        <v>6</v>
      </c>
      <c r="E478" s="1">
        <v>218911</v>
      </c>
      <c r="F478" s="1">
        <v>218911</v>
      </c>
      <c r="G478" s="8">
        <v>42513.083333333336</v>
      </c>
      <c r="H478" s="1" t="s">
        <v>44</v>
      </c>
      <c r="I478" s="1">
        <v>0</v>
      </c>
      <c r="J478" s="1">
        <v>1</v>
      </c>
      <c r="K478" s="1">
        <v>0</v>
      </c>
      <c r="L478" s="1" t="s">
        <v>45</v>
      </c>
      <c r="M478" s="1">
        <v>1</v>
      </c>
      <c r="N478" s="1">
        <v>2</v>
      </c>
      <c r="O478" s="1">
        <v>0</v>
      </c>
      <c r="P478" s="11" t="str">
        <f t="shared" si="7"/>
        <v>负</v>
      </c>
      <c r="Q478" s="11" t="str">
        <f t="shared" si="7"/>
        <v>负</v>
      </c>
    </row>
    <row r="479" spans="4:17" customFormat="1" hidden="1" x14ac:dyDescent="0.15">
      <c r="D479" t="s">
        <v>6</v>
      </c>
      <c r="E479" s="1">
        <v>218912</v>
      </c>
      <c r="F479" s="1">
        <v>218912</v>
      </c>
      <c r="G479" s="8">
        <v>42512.000694444447</v>
      </c>
      <c r="H479" s="1" t="s">
        <v>38</v>
      </c>
      <c r="I479" s="1">
        <v>0</v>
      </c>
      <c r="J479" s="1">
        <v>2</v>
      </c>
      <c r="K479" s="1">
        <v>0</v>
      </c>
      <c r="L479" s="1" t="s">
        <v>46</v>
      </c>
      <c r="M479" s="1">
        <v>0</v>
      </c>
      <c r="N479" s="1">
        <v>0</v>
      </c>
      <c r="O479" s="1">
        <v>0</v>
      </c>
      <c r="P479" s="11" t="str">
        <f t="shared" si="7"/>
        <v>平</v>
      </c>
      <c r="Q479" s="11" t="str">
        <f t="shared" si="7"/>
        <v>胜</v>
      </c>
    </row>
    <row r="480" spans="4:17" hidden="1" x14ac:dyDescent="0.15">
      <c r="D480" s="2" t="s">
        <v>6</v>
      </c>
      <c r="E480" s="6">
        <v>218915</v>
      </c>
      <c r="F480" s="6">
        <v>218915</v>
      </c>
      <c r="G480" s="24">
        <v>42512.875</v>
      </c>
      <c r="H480" s="6" t="s">
        <v>32</v>
      </c>
      <c r="I480" s="6">
        <v>0</v>
      </c>
      <c r="J480" s="6">
        <v>0</v>
      </c>
      <c r="K480" s="6">
        <v>0</v>
      </c>
      <c r="L480" s="6" t="s">
        <v>43</v>
      </c>
      <c r="M480" s="6">
        <v>1</v>
      </c>
      <c r="N480" s="6">
        <v>1</v>
      </c>
      <c r="O480" s="6">
        <v>0</v>
      </c>
      <c r="P480" s="11" t="str">
        <f t="shared" si="7"/>
        <v>负</v>
      </c>
      <c r="Q480" s="11" t="str">
        <f t="shared" si="7"/>
        <v>负</v>
      </c>
    </row>
    <row r="481" spans="4:17" customFormat="1" hidden="1" x14ac:dyDescent="0.15">
      <c r="D481" t="s">
        <v>6</v>
      </c>
      <c r="E481" s="1">
        <v>218919</v>
      </c>
      <c r="F481" s="1">
        <v>218919</v>
      </c>
      <c r="G481" s="8">
        <v>42513</v>
      </c>
      <c r="H481" s="1" t="s">
        <v>35</v>
      </c>
      <c r="I481" s="1">
        <v>1</v>
      </c>
      <c r="J481" s="1">
        <v>2</v>
      </c>
      <c r="K481" s="1">
        <v>0</v>
      </c>
      <c r="L481" s="1" t="s">
        <v>36</v>
      </c>
      <c r="M481" s="1">
        <v>0</v>
      </c>
      <c r="N481" s="1">
        <v>2</v>
      </c>
      <c r="O481" s="1">
        <v>0</v>
      </c>
      <c r="P481" s="11" t="str">
        <f t="shared" si="7"/>
        <v>胜</v>
      </c>
      <c r="Q481" s="11" t="str">
        <f t="shared" si="7"/>
        <v>平</v>
      </c>
    </row>
    <row r="482" spans="4:17" customFormat="1" hidden="1" x14ac:dyDescent="0.15">
      <c r="D482" t="s">
        <v>6</v>
      </c>
      <c r="E482" s="1">
        <v>218920</v>
      </c>
      <c r="F482" s="1">
        <v>218920</v>
      </c>
      <c r="G482" s="8">
        <v>42511.895833333336</v>
      </c>
      <c r="H482" s="1" t="s">
        <v>42</v>
      </c>
      <c r="I482" s="1">
        <v>0</v>
      </c>
      <c r="J482" s="1">
        <v>0</v>
      </c>
      <c r="K482" s="1">
        <v>0</v>
      </c>
      <c r="L482" s="1" t="s">
        <v>53</v>
      </c>
      <c r="M482" s="1">
        <v>2</v>
      </c>
      <c r="N482" s="1">
        <v>3</v>
      </c>
      <c r="O482" s="1">
        <v>0</v>
      </c>
      <c r="P482" s="11" t="str">
        <f t="shared" si="7"/>
        <v>负</v>
      </c>
      <c r="Q482" s="11" t="str">
        <f t="shared" si="7"/>
        <v>负</v>
      </c>
    </row>
    <row r="483" spans="4:17" customFormat="1" hidden="1" x14ac:dyDescent="0.15">
      <c r="D483" t="s">
        <v>6</v>
      </c>
      <c r="E483" s="1">
        <v>220503</v>
      </c>
      <c r="F483" s="1">
        <v>220503</v>
      </c>
      <c r="G483" s="8">
        <v>42519.895833333336</v>
      </c>
      <c r="H483" s="1" t="s">
        <v>54</v>
      </c>
      <c r="I483" s="1">
        <v>1</v>
      </c>
      <c r="J483" s="1">
        <v>2</v>
      </c>
      <c r="K483" s="1">
        <v>0</v>
      </c>
      <c r="L483" s="1" t="s">
        <v>40</v>
      </c>
      <c r="M483" s="1">
        <v>1</v>
      </c>
      <c r="N483" s="1">
        <v>1</v>
      </c>
      <c r="O483" s="1">
        <v>0</v>
      </c>
      <c r="P483" s="11" t="str">
        <f t="shared" si="7"/>
        <v>平</v>
      </c>
      <c r="Q483" s="11" t="str">
        <f t="shared" si="7"/>
        <v>胜</v>
      </c>
    </row>
    <row r="484" spans="4:17" customFormat="1" hidden="1" x14ac:dyDescent="0.15">
      <c r="D484" t="s">
        <v>6</v>
      </c>
      <c r="E484" s="1">
        <v>220504</v>
      </c>
      <c r="F484" s="1">
        <v>220504</v>
      </c>
      <c r="G484" s="8">
        <v>42519.895138888889</v>
      </c>
      <c r="H484" s="1" t="s">
        <v>35</v>
      </c>
      <c r="I484" s="1">
        <v>0</v>
      </c>
      <c r="J484" s="1">
        <v>2</v>
      </c>
      <c r="K484" s="1">
        <v>0</v>
      </c>
      <c r="L484" s="1" t="s">
        <v>44</v>
      </c>
      <c r="M484" s="1">
        <v>2</v>
      </c>
      <c r="N484" s="1">
        <v>2</v>
      </c>
      <c r="O484" s="1">
        <v>0</v>
      </c>
      <c r="P484" s="11" t="str">
        <f t="shared" si="7"/>
        <v>负</v>
      </c>
      <c r="Q484" s="11" t="str">
        <f t="shared" si="7"/>
        <v>平</v>
      </c>
    </row>
    <row r="485" spans="4:17" customFormat="1" x14ac:dyDescent="0.15">
      <c r="D485" t="s">
        <v>6</v>
      </c>
      <c r="E485" s="1">
        <v>220628</v>
      </c>
      <c r="F485" s="1">
        <v>220628</v>
      </c>
      <c r="G485" s="8">
        <v>42520.000694444447</v>
      </c>
      <c r="H485" s="1" t="s">
        <v>36</v>
      </c>
      <c r="I485" s="1">
        <v>0</v>
      </c>
      <c r="J485" s="1">
        <v>0</v>
      </c>
      <c r="K485" s="1">
        <v>0</v>
      </c>
      <c r="L485" s="1" t="s">
        <v>42</v>
      </c>
      <c r="M485" s="1">
        <v>2</v>
      </c>
      <c r="N485" s="1">
        <v>5</v>
      </c>
      <c r="O485" s="1">
        <v>0</v>
      </c>
      <c r="P485" s="11" t="str">
        <f t="shared" si="7"/>
        <v>负</v>
      </c>
      <c r="Q485" s="11" t="str">
        <f t="shared" si="7"/>
        <v>负</v>
      </c>
    </row>
    <row r="486" spans="4:17" customFormat="1" hidden="1" x14ac:dyDescent="0.15">
      <c r="D486" t="s">
        <v>6</v>
      </c>
      <c r="E486" s="1">
        <v>220629</v>
      </c>
      <c r="F486" s="1">
        <v>220629</v>
      </c>
      <c r="G486" s="8">
        <v>42519.999305555553</v>
      </c>
      <c r="H486" s="1" t="s">
        <v>45</v>
      </c>
      <c r="I486" s="1">
        <v>2</v>
      </c>
      <c r="J486" s="1">
        <v>2</v>
      </c>
      <c r="K486" s="1">
        <v>0</v>
      </c>
      <c r="L486" s="1" t="s">
        <v>32</v>
      </c>
      <c r="M486" s="1">
        <v>0</v>
      </c>
      <c r="N486" s="1">
        <v>0</v>
      </c>
      <c r="O486" s="1">
        <v>0</v>
      </c>
      <c r="P486" s="11" t="str">
        <f t="shared" si="7"/>
        <v>胜</v>
      </c>
      <c r="Q486" s="11" t="str">
        <f t="shared" si="7"/>
        <v>胜</v>
      </c>
    </row>
    <row r="487" spans="4:17" customFormat="1" hidden="1" x14ac:dyDescent="0.15">
      <c r="D487" t="s">
        <v>6</v>
      </c>
      <c r="E487" s="1">
        <v>220630</v>
      </c>
      <c r="F487" s="1">
        <v>220630</v>
      </c>
      <c r="G487" s="8">
        <v>42520.000694444447</v>
      </c>
      <c r="H487" s="1" t="s">
        <v>46</v>
      </c>
      <c r="I487" s="1">
        <v>0</v>
      </c>
      <c r="J487" s="1">
        <v>1</v>
      </c>
      <c r="K487" s="1">
        <v>0</v>
      </c>
      <c r="L487" s="1" t="s">
        <v>48</v>
      </c>
      <c r="M487" s="1">
        <v>0</v>
      </c>
      <c r="N487" s="1">
        <v>0</v>
      </c>
      <c r="O487" s="1">
        <v>0</v>
      </c>
      <c r="P487" s="11" t="str">
        <f t="shared" si="7"/>
        <v>平</v>
      </c>
      <c r="Q487" s="11" t="str">
        <f t="shared" si="7"/>
        <v>胜</v>
      </c>
    </row>
    <row r="488" spans="4:17" customFormat="1" hidden="1" x14ac:dyDescent="0.15">
      <c r="D488" t="s">
        <v>6</v>
      </c>
      <c r="E488" s="1">
        <v>220631</v>
      </c>
      <c r="F488" s="1">
        <v>220631</v>
      </c>
      <c r="G488" s="8">
        <v>42520.083333333336</v>
      </c>
      <c r="H488" s="1" t="s">
        <v>43</v>
      </c>
      <c r="I488" s="1">
        <v>1</v>
      </c>
      <c r="J488" s="1">
        <v>2</v>
      </c>
      <c r="K488" s="1">
        <v>0</v>
      </c>
      <c r="L488" s="1" t="s">
        <v>49</v>
      </c>
      <c r="M488" s="1">
        <v>0</v>
      </c>
      <c r="N488" s="1">
        <v>2</v>
      </c>
      <c r="O488" s="1">
        <v>0</v>
      </c>
      <c r="P488" s="11" t="str">
        <f t="shared" si="7"/>
        <v>胜</v>
      </c>
      <c r="Q488" s="11" t="str">
        <f t="shared" si="7"/>
        <v>平</v>
      </c>
    </row>
    <row r="489" spans="4:17" customFormat="1" hidden="1" x14ac:dyDescent="0.15">
      <c r="D489" t="s">
        <v>6</v>
      </c>
      <c r="E489" s="1">
        <v>220713</v>
      </c>
      <c r="F489" s="1">
        <v>220713</v>
      </c>
      <c r="G489" s="8">
        <v>42518.895833333336</v>
      </c>
      <c r="H489" s="1" t="s">
        <v>53</v>
      </c>
      <c r="I489" s="1">
        <v>1</v>
      </c>
      <c r="J489" s="1">
        <v>1</v>
      </c>
      <c r="K489" s="1">
        <v>0</v>
      </c>
      <c r="L489" s="1" t="s">
        <v>41</v>
      </c>
      <c r="M489" s="1">
        <v>2</v>
      </c>
      <c r="N489" s="1">
        <v>2</v>
      </c>
      <c r="O489" s="1">
        <v>0</v>
      </c>
      <c r="P489" s="11" t="str">
        <f t="shared" si="7"/>
        <v>负</v>
      </c>
      <c r="Q489" s="11" t="str">
        <f t="shared" si="7"/>
        <v>负</v>
      </c>
    </row>
    <row r="490" spans="4:17" customFormat="1" hidden="1" x14ac:dyDescent="0.15">
      <c r="D490" t="s">
        <v>6</v>
      </c>
      <c r="E490" s="1">
        <v>221905</v>
      </c>
      <c r="F490" s="1">
        <v>221905</v>
      </c>
      <c r="G490" s="8">
        <v>42519</v>
      </c>
      <c r="H490" s="1" t="s">
        <v>37</v>
      </c>
      <c r="I490" s="1">
        <v>3</v>
      </c>
      <c r="J490" s="1">
        <v>3</v>
      </c>
      <c r="K490" s="1">
        <v>0</v>
      </c>
      <c r="L490" s="1" t="s">
        <v>38</v>
      </c>
      <c r="M490" s="1">
        <v>1</v>
      </c>
      <c r="N490" s="1">
        <v>1</v>
      </c>
      <c r="O490" s="1">
        <v>0</v>
      </c>
      <c r="P490" s="11" t="str">
        <f t="shared" si="7"/>
        <v>胜</v>
      </c>
      <c r="Q490" s="11" t="str">
        <f t="shared" si="7"/>
        <v>胜</v>
      </c>
    </row>
    <row r="491" spans="4:17" customFormat="1" hidden="1" x14ac:dyDescent="0.15">
      <c r="D491" t="s">
        <v>6</v>
      </c>
      <c r="E491" s="1">
        <v>227865</v>
      </c>
      <c r="F491" s="1">
        <v>227865</v>
      </c>
      <c r="G491" s="8">
        <v>42553.042361111111</v>
      </c>
      <c r="H491" s="1" t="s">
        <v>44</v>
      </c>
      <c r="I491" s="1">
        <v>1</v>
      </c>
      <c r="J491" s="1">
        <v>2</v>
      </c>
      <c r="K491" s="1">
        <v>0</v>
      </c>
      <c r="L491" s="1" t="s">
        <v>53</v>
      </c>
      <c r="M491" s="1">
        <v>2</v>
      </c>
      <c r="N491" s="1">
        <v>4</v>
      </c>
      <c r="O491" s="1">
        <v>0</v>
      </c>
      <c r="P491" s="11" t="str">
        <f t="shared" si="7"/>
        <v>负</v>
      </c>
      <c r="Q491" s="11" t="str">
        <f t="shared" si="7"/>
        <v>负</v>
      </c>
    </row>
    <row r="492" spans="4:17" customFormat="1" hidden="1" x14ac:dyDescent="0.15">
      <c r="D492" t="s">
        <v>6</v>
      </c>
      <c r="E492" s="1">
        <v>227892</v>
      </c>
      <c r="F492" s="1">
        <v>227892</v>
      </c>
      <c r="G492" s="8">
        <v>42553.895138888889</v>
      </c>
      <c r="H492" s="1" t="s">
        <v>48</v>
      </c>
      <c r="I492" s="1">
        <v>0</v>
      </c>
      <c r="J492" s="1">
        <v>2</v>
      </c>
      <c r="K492" s="1">
        <v>0</v>
      </c>
      <c r="L492" s="1" t="s">
        <v>36</v>
      </c>
      <c r="M492" s="1">
        <v>1</v>
      </c>
      <c r="N492" s="1">
        <v>1</v>
      </c>
      <c r="O492" s="1">
        <v>0</v>
      </c>
      <c r="P492" s="11" t="str">
        <f t="shared" si="7"/>
        <v>负</v>
      </c>
      <c r="Q492" s="11" t="str">
        <f t="shared" si="7"/>
        <v>胜</v>
      </c>
    </row>
    <row r="493" spans="4:17" hidden="1" x14ac:dyDescent="0.15">
      <c r="D493" s="2" t="s">
        <v>6</v>
      </c>
      <c r="E493" s="6">
        <v>228145</v>
      </c>
      <c r="F493" s="6">
        <v>228145</v>
      </c>
      <c r="G493" s="24">
        <v>42554</v>
      </c>
      <c r="H493" s="6" t="s">
        <v>32</v>
      </c>
      <c r="I493" s="6">
        <v>0</v>
      </c>
      <c r="J493" s="6">
        <v>0</v>
      </c>
      <c r="K493" s="6">
        <v>0</v>
      </c>
      <c r="L493" s="6" t="s">
        <v>37</v>
      </c>
      <c r="M493" s="6">
        <v>0</v>
      </c>
      <c r="N493" s="6">
        <v>0</v>
      </c>
      <c r="O493" s="6">
        <v>0</v>
      </c>
      <c r="P493" s="11" t="str">
        <f t="shared" si="7"/>
        <v>平</v>
      </c>
      <c r="Q493" s="11" t="str">
        <f t="shared" si="7"/>
        <v>平</v>
      </c>
    </row>
    <row r="494" spans="4:17" customFormat="1" hidden="1" x14ac:dyDescent="0.15">
      <c r="D494" t="s">
        <v>6</v>
      </c>
      <c r="E494" s="1">
        <v>228149</v>
      </c>
      <c r="F494" s="1">
        <v>228149</v>
      </c>
      <c r="G494" s="8">
        <v>42554.895833333336</v>
      </c>
      <c r="H494" s="1" t="s">
        <v>49</v>
      </c>
      <c r="I494" s="1">
        <v>0</v>
      </c>
      <c r="J494" s="1">
        <v>0</v>
      </c>
      <c r="K494" s="1">
        <v>0</v>
      </c>
      <c r="L494" s="1" t="s">
        <v>54</v>
      </c>
      <c r="M494" s="1">
        <v>1</v>
      </c>
      <c r="N494" s="1">
        <v>1</v>
      </c>
      <c r="O494" s="1">
        <v>0</v>
      </c>
      <c r="P494" s="11" t="str">
        <f t="shared" si="7"/>
        <v>负</v>
      </c>
      <c r="Q494" s="11" t="str">
        <f t="shared" si="7"/>
        <v>负</v>
      </c>
    </row>
    <row r="495" spans="4:17" customFormat="1" hidden="1" x14ac:dyDescent="0.15">
      <c r="D495" t="s">
        <v>6</v>
      </c>
      <c r="E495" s="1">
        <v>228250</v>
      </c>
      <c r="F495" s="1">
        <v>228250</v>
      </c>
      <c r="G495" s="8">
        <v>42555</v>
      </c>
      <c r="H495" s="1" t="s">
        <v>42</v>
      </c>
      <c r="I495" s="1">
        <v>0</v>
      </c>
      <c r="J495" s="1">
        <v>0</v>
      </c>
      <c r="K495" s="1">
        <v>0</v>
      </c>
      <c r="L495" s="1" t="s">
        <v>35</v>
      </c>
      <c r="M495" s="1">
        <v>0</v>
      </c>
      <c r="N495" s="1">
        <v>1</v>
      </c>
      <c r="O495" s="1">
        <v>0</v>
      </c>
      <c r="P495" s="11" t="str">
        <f t="shared" si="7"/>
        <v>平</v>
      </c>
      <c r="Q495" s="11" t="str">
        <f t="shared" si="7"/>
        <v>负</v>
      </c>
    </row>
    <row r="496" spans="4:17" customFormat="1" hidden="1" x14ac:dyDescent="0.15">
      <c r="D496" t="s">
        <v>6</v>
      </c>
      <c r="E496" s="1">
        <v>228251</v>
      </c>
      <c r="F496" s="1">
        <v>228251</v>
      </c>
      <c r="G496" s="8">
        <v>42554.999305555553</v>
      </c>
      <c r="H496" s="1" t="s">
        <v>38</v>
      </c>
      <c r="I496" s="1">
        <v>0</v>
      </c>
      <c r="J496" s="1">
        <v>0</v>
      </c>
      <c r="K496" s="1">
        <v>0</v>
      </c>
      <c r="L496" s="1" t="s">
        <v>45</v>
      </c>
      <c r="M496" s="1">
        <v>0</v>
      </c>
      <c r="N496" s="1">
        <v>1</v>
      </c>
      <c r="O496" s="1">
        <v>0</v>
      </c>
      <c r="P496" s="11" t="str">
        <f t="shared" si="7"/>
        <v>平</v>
      </c>
      <c r="Q496" s="11" t="str">
        <f t="shared" si="7"/>
        <v>负</v>
      </c>
    </row>
    <row r="497" spans="4:17" customFormat="1" hidden="1" x14ac:dyDescent="0.15">
      <c r="D497" t="s">
        <v>6</v>
      </c>
      <c r="E497" s="1">
        <v>228252</v>
      </c>
      <c r="F497" s="1">
        <v>228252</v>
      </c>
      <c r="G497" s="8">
        <v>42555</v>
      </c>
      <c r="H497" s="1" t="s">
        <v>41</v>
      </c>
      <c r="I497" s="1">
        <v>0</v>
      </c>
      <c r="J497" s="1">
        <v>1</v>
      </c>
      <c r="K497" s="1">
        <v>0</v>
      </c>
      <c r="L497" s="1" t="s">
        <v>46</v>
      </c>
      <c r="M497" s="1">
        <v>0</v>
      </c>
      <c r="N497" s="1">
        <v>0</v>
      </c>
      <c r="O497" s="1">
        <v>0</v>
      </c>
      <c r="P497" s="11" t="str">
        <f t="shared" si="7"/>
        <v>平</v>
      </c>
      <c r="Q497" s="11" t="str">
        <f t="shared" si="7"/>
        <v>胜</v>
      </c>
    </row>
    <row r="498" spans="4:17" customFormat="1" hidden="1" x14ac:dyDescent="0.15">
      <c r="D498" t="s">
        <v>6</v>
      </c>
      <c r="E498" s="1">
        <v>228459</v>
      </c>
      <c r="F498" s="1">
        <v>228459</v>
      </c>
      <c r="G498" s="8">
        <v>42556.041666666664</v>
      </c>
      <c r="H498" s="1" t="s">
        <v>40</v>
      </c>
      <c r="I498" s="1">
        <v>2</v>
      </c>
      <c r="J498" s="1">
        <v>4</v>
      </c>
      <c r="K498" s="1">
        <v>0</v>
      </c>
      <c r="L498" s="1" t="s">
        <v>43</v>
      </c>
      <c r="M498" s="1">
        <v>2</v>
      </c>
      <c r="N498" s="1">
        <v>2</v>
      </c>
      <c r="O498" s="1">
        <v>0</v>
      </c>
      <c r="P498" s="11" t="str">
        <f t="shared" si="7"/>
        <v>平</v>
      </c>
      <c r="Q498" s="11" t="str">
        <f t="shared" si="7"/>
        <v>胜</v>
      </c>
    </row>
    <row r="499" spans="4:17" customFormat="1" hidden="1" x14ac:dyDescent="0.15">
      <c r="D499" t="s">
        <v>6</v>
      </c>
      <c r="E499" s="1">
        <v>229680</v>
      </c>
      <c r="F499" s="1">
        <v>229680</v>
      </c>
      <c r="G499" s="8">
        <v>42560.895138888889</v>
      </c>
      <c r="H499" s="1" t="s">
        <v>45</v>
      </c>
      <c r="I499" s="1">
        <v>0</v>
      </c>
      <c r="J499" s="1">
        <v>0</v>
      </c>
      <c r="K499" s="1">
        <v>0</v>
      </c>
      <c r="L499" s="1" t="s">
        <v>40</v>
      </c>
      <c r="M499" s="1">
        <v>0</v>
      </c>
      <c r="N499" s="1">
        <v>1</v>
      </c>
      <c r="O499" s="1">
        <v>0</v>
      </c>
      <c r="P499" s="11" t="str">
        <f t="shared" si="7"/>
        <v>平</v>
      </c>
      <c r="Q499" s="11" t="str">
        <f t="shared" si="7"/>
        <v>负</v>
      </c>
    </row>
    <row r="500" spans="4:17" customFormat="1" hidden="1" x14ac:dyDescent="0.15">
      <c r="D500" t="s">
        <v>6</v>
      </c>
      <c r="E500" s="1">
        <v>229681</v>
      </c>
      <c r="F500" s="1">
        <v>229681</v>
      </c>
      <c r="G500" s="8">
        <v>42561</v>
      </c>
      <c r="H500" s="1" t="s">
        <v>46</v>
      </c>
      <c r="I500" s="1">
        <v>1</v>
      </c>
      <c r="J500" s="1">
        <v>4</v>
      </c>
      <c r="K500" s="1">
        <v>0</v>
      </c>
      <c r="L500" s="1" t="s">
        <v>49</v>
      </c>
      <c r="M500" s="1">
        <v>1</v>
      </c>
      <c r="N500" s="1">
        <v>1</v>
      </c>
      <c r="O500" s="1">
        <v>0</v>
      </c>
      <c r="P500" s="11" t="str">
        <f t="shared" si="7"/>
        <v>平</v>
      </c>
      <c r="Q500" s="11" t="str">
        <f t="shared" si="7"/>
        <v>胜</v>
      </c>
    </row>
    <row r="501" spans="4:17" customFormat="1" hidden="1" x14ac:dyDescent="0.15">
      <c r="D501" t="s">
        <v>6</v>
      </c>
      <c r="E501" s="1">
        <v>229682</v>
      </c>
      <c r="F501" s="1">
        <v>229682</v>
      </c>
      <c r="G501" s="8">
        <v>42561</v>
      </c>
      <c r="H501" s="1" t="s">
        <v>37</v>
      </c>
      <c r="I501" s="1">
        <v>1</v>
      </c>
      <c r="J501" s="1">
        <v>5</v>
      </c>
      <c r="K501" s="1">
        <v>0</v>
      </c>
      <c r="L501" s="1" t="s">
        <v>41</v>
      </c>
      <c r="M501" s="1">
        <v>1</v>
      </c>
      <c r="N501" s="1">
        <v>2</v>
      </c>
      <c r="O501" s="1">
        <v>0</v>
      </c>
      <c r="P501" s="11" t="str">
        <f t="shared" si="7"/>
        <v>平</v>
      </c>
      <c r="Q501" s="11" t="str">
        <f t="shared" si="7"/>
        <v>胜</v>
      </c>
    </row>
    <row r="502" spans="4:17" customFormat="1" hidden="1" x14ac:dyDescent="0.15">
      <c r="D502" t="s">
        <v>6</v>
      </c>
      <c r="E502" s="1">
        <v>229683</v>
      </c>
      <c r="F502" s="1">
        <v>229683</v>
      </c>
      <c r="G502" s="8">
        <v>42561</v>
      </c>
      <c r="H502" s="1" t="s">
        <v>53</v>
      </c>
      <c r="I502" s="1">
        <v>1</v>
      </c>
      <c r="J502" s="1">
        <v>2</v>
      </c>
      <c r="K502" s="1">
        <v>0</v>
      </c>
      <c r="L502" s="1" t="s">
        <v>48</v>
      </c>
      <c r="M502" s="1">
        <v>1</v>
      </c>
      <c r="N502" s="1">
        <v>2</v>
      </c>
      <c r="O502" s="1">
        <v>0</v>
      </c>
      <c r="P502" s="11" t="str">
        <f t="shared" si="7"/>
        <v>平</v>
      </c>
      <c r="Q502" s="11" t="str">
        <f t="shared" si="7"/>
        <v>平</v>
      </c>
    </row>
    <row r="503" spans="4:17" customFormat="1" hidden="1" x14ac:dyDescent="0.15">
      <c r="D503" t="s">
        <v>6</v>
      </c>
      <c r="E503" s="1">
        <v>229684</v>
      </c>
      <c r="F503" s="1">
        <v>229684</v>
      </c>
      <c r="G503" s="8">
        <v>42561.083333333336</v>
      </c>
      <c r="H503" s="1" t="s">
        <v>35</v>
      </c>
      <c r="I503" s="1">
        <v>3</v>
      </c>
      <c r="J503" s="1">
        <v>4</v>
      </c>
      <c r="K503" s="1">
        <v>0</v>
      </c>
      <c r="L503" s="1" t="s">
        <v>38</v>
      </c>
      <c r="M503" s="1">
        <v>1</v>
      </c>
      <c r="N503" s="1">
        <v>3</v>
      </c>
      <c r="O503" s="1">
        <v>0</v>
      </c>
      <c r="P503" s="11" t="str">
        <f t="shared" si="7"/>
        <v>胜</v>
      </c>
      <c r="Q503" s="11" t="str">
        <f t="shared" si="7"/>
        <v>胜</v>
      </c>
    </row>
    <row r="504" spans="4:17" customFormat="1" hidden="1" x14ac:dyDescent="0.15">
      <c r="D504" t="s">
        <v>6</v>
      </c>
      <c r="E504" s="1">
        <v>229764</v>
      </c>
      <c r="F504" s="1">
        <v>229764</v>
      </c>
      <c r="G504" s="8">
        <v>42561.999305555553</v>
      </c>
      <c r="H504" s="1" t="s">
        <v>54</v>
      </c>
      <c r="I504" s="1">
        <v>2</v>
      </c>
      <c r="J504" s="1">
        <v>4</v>
      </c>
      <c r="K504" s="1">
        <v>0</v>
      </c>
      <c r="L504" s="1" t="s">
        <v>43</v>
      </c>
      <c r="M504" s="1">
        <v>0</v>
      </c>
      <c r="N504" s="1">
        <v>1</v>
      </c>
      <c r="O504" s="1">
        <v>0</v>
      </c>
      <c r="P504" s="11" t="str">
        <f t="shared" si="7"/>
        <v>胜</v>
      </c>
      <c r="Q504" s="11" t="str">
        <f t="shared" si="7"/>
        <v>胜</v>
      </c>
    </row>
    <row r="505" spans="4:17" customFormat="1" hidden="1" x14ac:dyDescent="0.15">
      <c r="D505" t="s">
        <v>6</v>
      </c>
      <c r="E505" s="1">
        <v>229765</v>
      </c>
      <c r="F505" s="1">
        <v>229765</v>
      </c>
      <c r="G505" s="8">
        <v>42562</v>
      </c>
      <c r="H505" s="1" t="s">
        <v>44</v>
      </c>
      <c r="I505" s="1">
        <v>0</v>
      </c>
      <c r="J505" s="1">
        <v>1</v>
      </c>
      <c r="K505" s="1">
        <v>0</v>
      </c>
      <c r="L505" s="1" t="s">
        <v>42</v>
      </c>
      <c r="M505" s="1">
        <v>1</v>
      </c>
      <c r="N505" s="1">
        <v>2</v>
      </c>
      <c r="O505" s="1">
        <v>0</v>
      </c>
      <c r="P505" s="11" t="str">
        <f t="shared" si="7"/>
        <v>负</v>
      </c>
      <c r="Q505" s="11" t="str">
        <f t="shared" si="7"/>
        <v>负</v>
      </c>
    </row>
    <row r="506" spans="4:17" customFormat="1" x14ac:dyDescent="0.15">
      <c r="D506" t="s">
        <v>6</v>
      </c>
      <c r="E506" s="1">
        <v>229841</v>
      </c>
      <c r="F506" s="1">
        <v>229841</v>
      </c>
      <c r="G506" s="8">
        <v>42560.041666666664</v>
      </c>
      <c r="H506" s="1" t="s">
        <v>36</v>
      </c>
      <c r="I506" s="1">
        <v>0</v>
      </c>
      <c r="J506" s="1">
        <v>1</v>
      </c>
      <c r="K506" s="1">
        <v>0</v>
      </c>
      <c r="L506" s="1" t="s">
        <v>32</v>
      </c>
      <c r="M506" s="1">
        <v>1</v>
      </c>
      <c r="N506" s="1">
        <v>4</v>
      </c>
      <c r="O506" s="1">
        <v>0</v>
      </c>
      <c r="P506" s="11" t="str">
        <f t="shared" si="7"/>
        <v>负</v>
      </c>
      <c r="Q506" s="11" t="str">
        <f t="shared" si="7"/>
        <v>负</v>
      </c>
    </row>
    <row r="507" spans="4:17" customFormat="1" hidden="1" x14ac:dyDescent="0.15">
      <c r="D507" t="s">
        <v>6</v>
      </c>
      <c r="E507" s="1">
        <v>231436</v>
      </c>
      <c r="F507" s="1">
        <v>231436</v>
      </c>
      <c r="G507" s="8">
        <v>42567.895833333336</v>
      </c>
      <c r="H507" s="1" t="s">
        <v>48</v>
      </c>
      <c r="I507" s="1">
        <v>1</v>
      </c>
      <c r="J507" s="1">
        <v>4</v>
      </c>
      <c r="K507" s="1">
        <v>0</v>
      </c>
      <c r="L507" s="1" t="s">
        <v>45</v>
      </c>
      <c r="M507" s="1">
        <v>1</v>
      </c>
      <c r="N507" s="1">
        <v>1</v>
      </c>
      <c r="O507" s="1">
        <v>0</v>
      </c>
      <c r="P507" s="11" t="str">
        <f t="shared" si="7"/>
        <v>平</v>
      </c>
      <c r="Q507" s="11" t="str">
        <f t="shared" si="7"/>
        <v>胜</v>
      </c>
    </row>
    <row r="508" spans="4:17" customFormat="1" hidden="1" x14ac:dyDescent="0.15">
      <c r="D508" t="s">
        <v>6</v>
      </c>
      <c r="E508" s="1">
        <v>231481</v>
      </c>
      <c r="F508" s="1">
        <v>231481</v>
      </c>
      <c r="G508" s="8">
        <v>42567.041666666664</v>
      </c>
      <c r="H508" s="1" t="s">
        <v>49</v>
      </c>
      <c r="I508" s="1">
        <v>1</v>
      </c>
      <c r="J508" s="1">
        <v>1</v>
      </c>
      <c r="K508" s="1">
        <v>0</v>
      </c>
      <c r="L508" s="1" t="s">
        <v>35</v>
      </c>
      <c r="M508" s="1">
        <v>0</v>
      </c>
      <c r="N508" s="1">
        <v>1</v>
      </c>
      <c r="O508" s="1">
        <v>0</v>
      </c>
      <c r="P508" s="11" t="str">
        <f t="shared" si="7"/>
        <v>胜</v>
      </c>
      <c r="Q508" s="11" t="str">
        <f t="shared" si="7"/>
        <v>平</v>
      </c>
    </row>
    <row r="509" spans="4:17" customFormat="1" hidden="1" x14ac:dyDescent="0.15">
      <c r="D509" t="s">
        <v>6</v>
      </c>
      <c r="E509" s="1">
        <v>231590</v>
      </c>
      <c r="F509" s="1">
        <v>231590</v>
      </c>
      <c r="G509" s="8">
        <v>42568.895138888889</v>
      </c>
      <c r="H509" s="1" t="s">
        <v>40</v>
      </c>
      <c r="I509" s="1">
        <v>0</v>
      </c>
      <c r="J509" s="1">
        <v>1</v>
      </c>
      <c r="K509" s="1">
        <v>0</v>
      </c>
      <c r="L509" s="1" t="s">
        <v>53</v>
      </c>
      <c r="M509" s="1">
        <v>0</v>
      </c>
      <c r="N509" s="1">
        <v>0</v>
      </c>
      <c r="O509" s="1">
        <v>0</v>
      </c>
      <c r="P509" s="11" t="str">
        <f t="shared" si="7"/>
        <v>平</v>
      </c>
      <c r="Q509" s="11" t="str">
        <f t="shared" si="7"/>
        <v>胜</v>
      </c>
    </row>
    <row r="510" spans="4:17" customFormat="1" hidden="1" x14ac:dyDescent="0.15">
      <c r="D510" t="s">
        <v>6</v>
      </c>
      <c r="E510" s="1">
        <v>231593</v>
      </c>
      <c r="F510" s="1">
        <v>231593</v>
      </c>
      <c r="G510" s="8">
        <v>42569.000694444447</v>
      </c>
      <c r="H510" s="1" t="s">
        <v>38</v>
      </c>
      <c r="I510" s="1">
        <v>1</v>
      </c>
      <c r="J510" s="1">
        <v>2</v>
      </c>
      <c r="K510" s="1">
        <v>0</v>
      </c>
      <c r="L510" s="1" t="s">
        <v>36</v>
      </c>
      <c r="M510" s="1">
        <v>1</v>
      </c>
      <c r="N510" s="1">
        <v>2</v>
      </c>
      <c r="O510" s="1">
        <v>0</v>
      </c>
      <c r="P510" s="11" t="str">
        <f t="shared" si="7"/>
        <v>平</v>
      </c>
      <c r="Q510" s="11" t="str">
        <f t="shared" si="7"/>
        <v>平</v>
      </c>
    </row>
    <row r="511" spans="4:17" customFormat="1" hidden="1" x14ac:dyDescent="0.15">
      <c r="D511" t="s">
        <v>6</v>
      </c>
      <c r="E511" s="1">
        <v>231594</v>
      </c>
      <c r="F511" s="1">
        <v>231594</v>
      </c>
      <c r="G511" s="8">
        <v>42569</v>
      </c>
      <c r="H511" s="1" t="s">
        <v>42</v>
      </c>
      <c r="I511" s="1">
        <v>0</v>
      </c>
      <c r="J511" s="1">
        <v>1</v>
      </c>
      <c r="K511" s="1">
        <v>0</v>
      </c>
      <c r="L511" s="1" t="s">
        <v>46</v>
      </c>
      <c r="M511" s="1">
        <v>0</v>
      </c>
      <c r="N511" s="1">
        <v>1</v>
      </c>
      <c r="O511" s="1">
        <v>0</v>
      </c>
      <c r="P511" s="11" t="str">
        <f t="shared" si="7"/>
        <v>平</v>
      </c>
      <c r="Q511" s="11" t="str">
        <f t="shared" si="7"/>
        <v>平</v>
      </c>
    </row>
    <row r="512" spans="4:17" hidden="1" x14ac:dyDescent="0.15">
      <c r="D512" s="2" t="s">
        <v>6</v>
      </c>
      <c r="E512" s="6">
        <v>231595</v>
      </c>
      <c r="F512" s="6">
        <v>231595</v>
      </c>
      <c r="G512" s="24">
        <v>42569</v>
      </c>
      <c r="H512" s="6" t="s">
        <v>32</v>
      </c>
      <c r="I512" s="6">
        <v>1</v>
      </c>
      <c r="J512" s="6">
        <v>2</v>
      </c>
      <c r="K512" s="6">
        <v>0</v>
      </c>
      <c r="L512" s="6" t="s">
        <v>54</v>
      </c>
      <c r="M512" s="6">
        <v>1</v>
      </c>
      <c r="N512" s="6">
        <v>1</v>
      </c>
      <c r="O512" s="6">
        <v>0</v>
      </c>
      <c r="P512" s="11" t="str">
        <f t="shared" si="7"/>
        <v>平</v>
      </c>
      <c r="Q512" s="11" t="str">
        <f t="shared" si="7"/>
        <v>胜</v>
      </c>
    </row>
    <row r="513" spans="4:17" customFormat="1" hidden="1" x14ac:dyDescent="0.15">
      <c r="D513" t="s">
        <v>6</v>
      </c>
      <c r="E513" s="1">
        <v>231596</v>
      </c>
      <c r="F513" s="1">
        <v>231596</v>
      </c>
      <c r="G513" s="8">
        <v>42569.083333333336</v>
      </c>
      <c r="H513" s="1" t="s">
        <v>41</v>
      </c>
      <c r="I513" s="1">
        <v>1</v>
      </c>
      <c r="J513" s="1">
        <v>3</v>
      </c>
      <c r="K513" s="1">
        <v>0</v>
      </c>
      <c r="L513" s="1" t="s">
        <v>44</v>
      </c>
      <c r="M513" s="1">
        <v>0</v>
      </c>
      <c r="N513" s="1">
        <v>0</v>
      </c>
      <c r="O513" s="1">
        <v>0</v>
      </c>
      <c r="P513" s="11" t="str">
        <f t="shared" si="7"/>
        <v>胜</v>
      </c>
      <c r="Q513" s="11" t="str">
        <f t="shared" si="7"/>
        <v>胜</v>
      </c>
    </row>
    <row r="514" spans="4:17" customFormat="1" hidden="1" x14ac:dyDescent="0.15">
      <c r="D514" t="s">
        <v>6</v>
      </c>
      <c r="E514" s="1">
        <v>232555</v>
      </c>
      <c r="F514" s="1">
        <v>232555</v>
      </c>
      <c r="G514" s="8">
        <v>42568.000694444447</v>
      </c>
      <c r="H514" s="1" t="s">
        <v>43</v>
      </c>
      <c r="I514" s="1">
        <v>0</v>
      </c>
      <c r="J514" s="1">
        <v>1</v>
      </c>
      <c r="K514" s="1">
        <v>0</v>
      </c>
      <c r="L514" s="1" t="s">
        <v>37</v>
      </c>
      <c r="M514" s="1">
        <v>1</v>
      </c>
      <c r="N514" s="1">
        <v>1</v>
      </c>
      <c r="O514" s="1">
        <v>0</v>
      </c>
      <c r="P514" s="11" t="str">
        <f t="shared" si="7"/>
        <v>负</v>
      </c>
      <c r="Q514" s="11" t="str">
        <f t="shared" si="7"/>
        <v>平</v>
      </c>
    </row>
    <row r="515" spans="4:17" customFormat="1" hidden="1" x14ac:dyDescent="0.15">
      <c r="D515" t="s">
        <v>6</v>
      </c>
      <c r="E515" s="1">
        <v>233298</v>
      </c>
      <c r="F515" s="1">
        <v>233298</v>
      </c>
      <c r="G515" s="8">
        <v>42574.043055555558</v>
      </c>
      <c r="H515" s="1" t="s">
        <v>46</v>
      </c>
      <c r="I515" s="1">
        <v>2</v>
      </c>
      <c r="J515" s="1">
        <v>6</v>
      </c>
      <c r="K515" s="1">
        <v>0</v>
      </c>
      <c r="L515" s="1" t="s">
        <v>43</v>
      </c>
      <c r="M515" s="1">
        <v>0</v>
      </c>
      <c r="N515" s="1">
        <v>0</v>
      </c>
      <c r="O515" s="1">
        <v>0</v>
      </c>
      <c r="P515" s="11" t="str">
        <f t="shared" si="7"/>
        <v>胜</v>
      </c>
      <c r="Q515" s="11" t="str">
        <f t="shared" si="7"/>
        <v>胜</v>
      </c>
    </row>
    <row r="516" spans="4:17" customFormat="1" x14ac:dyDescent="0.15">
      <c r="D516" t="s">
        <v>6</v>
      </c>
      <c r="E516" s="1">
        <v>233330</v>
      </c>
      <c r="F516" s="1">
        <v>233330</v>
      </c>
      <c r="G516" s="8">
        <v>42575.895138888889</v>
      </c>
      <c r="H516" s="1" t="s">
        <v>36</v>
      </c>
      <c r="I516" s="1">
        <v>0</v>
      </c>
      <c r="J516" s="1">
        <v>2</v>
      </c>
      <c r="K516" s="1">
        <v>0</v>
      </c>
      <c r="L516" s="1" t="s">
        <v>49</v>
      </c>
      <c r="M516" s="1">
        <v>1</v>
      </c>
      <c r="N516" s="1">
        <v>4</v>
      </c>
      <c r="O516" s="1">
        <v>0</v>
      </c>
      <c r="P516" s="11" t="str">
        <f t="shared" si="7"/>
        <v>负</v>
      </c>
      <c r="Q516" s="11" t="str">
        <f t="shared" si="7"/>
        <v>负</v>
      </c>
    </row>
    <row r="517" spans="4:17" customFormat="1" hidden="1" x14ac:dyDescent="0.15">
      <c r="D517" t="s">
        <v>6</v>
      </c>
      <c r="E517" s="1">
        <v>233345</v>
      </c>
      <c r="F517" s="1">
        <v>233345</v>
      </c>
      <c r="G517" s="8">
        <v>42576.003472222219</v>
      </c>
      <c r="H517" s="1" t="s">
        <v>35</v>
      </c>
      <c r="I517" s="1">
        <v>0</v>
      </c>
      <c r="J517" s="1">
        <v>2</v>
      </c>
      <c r="K517" s="1">
        <v>0</v>
      </c>
      <c r="L517" s="1" t="s">
        <v>32</v>
      </c>
      <c r="M517" s="1">
        <v>1</v>
      </c>
      <c r="N517" s="1">
        <v>2</v>
      </c>
      <c r="O517" s="1">
        <v>0</v>
      </c>
      <c r="P517" s="11" t="str">
        <f t="shared" si="7"/>
        <v>负</v>
      </c>
      <c r="Q517" s="11" t="str">
        <f t="shared" si="7"/>
        <v>平</v>
      </c>
    </row>
    <row r="518" spans="4:17" customFormat="1" hidden="1" x14ac:dyDescent="0.15">
      <c r="D518" t="s">
        <v>6</v>
      </c>
      <c r="E518" s="1">
        <v>233348</v>
      </c>
      <c r="F518" s="1">
        <v>233348</v>
      </c>
      <c r="G518" s="8">
        <v>42576</v>
      </c>
      <c r="H518" s="1" t="s">
        <v>54</v>
      </c>
      <c r="I518" s="1">
        <v>0</v>
      </c>
      <c r="J518" s="1">
        <v>2</v>
      </c>
      <c r="K518" s="1">
        <v>0</v>
      </c>
      <c r="L518" s="1" t="s">
        <v>45</v>
      </c>
      <c r="M518" s="1">
        <v>1</v>
      </c>
      <c r="N518" s="1">
        <v>2</v>
      </c>
      <c r="O518" s="1">
        <v>0</v>
      </c>
      <c r="P518" s="11" t="str">
        <f t="shared" si="7"/>
        <v>负</v>
      </c>
      <c r="Q518" s="11" t="str">
        <f t="shared" si="7"/>
        <v>平</v>
      </c>
    </row>
    <row r="519" spans="4:17" customFormat="1" hidden="1" x14ac:dyDescent="0.15">
      <c r="D519" t="s">
        <v>6</v>
      </c>
      <c r="E519" s="1">
        <v>233349</v>
      </c>
      <c r="F519" s="1">
        <v>233349</v>
      </c>
      <c r="G519" s="8">
        <v>42575.999305555553</v>
      </c>
      <c r="H519" s="1" t="s">
        <v>53</v>
      </c>
      <c r="I519" s="1">
        <v>0</v>
      </c>
      <c r="J519" s="1">
        <v>2</v>
      </c>
      <c r="K519" s="1">
        <v>0</v>
      </c>
      <c r="L519" s="1" t="s">
        <v>42</v>
      </c>
      <c r="M519" s="1">
        <v>1</v>
      </c>
      <c r="N519" s="1">
        <v>2</v>
      </c>
      <c r="O519" s="1">
        <v>0</v>
      </c>
      <c r="P519" s="11" t="str">
        <f t="shared" si="7"/>
        <v>负</v>
      </c>
      <c r="Q519" s="11" t="str">
        <f t="shared" si="7"/>
        <v>平</v>
      </c>
    </row>
    <row r="520" spans="4:17" customFormat="1" hidden="1" x14ac:dyDescent="0.15">
      <c r="D520" t="s">
        <v>6</v>
      </c>
      <c r="E520" s="1">
        <v>233352</v>
      </c>
      <c r="F520" s="1">
        <v>233352</v>
      </c>
      <c r="G520" s="8">
        <v>42576.084027777775</v>
      </c>
      <c r="H520" s="1" t="s">
        <v>44</v>
      </c>
      <c r="I520" s="1">
        <v>1</v>
      </c>
      <c r="J520" s="1">
        <v>2</v>
      </c>
      <c r="K520" s="1">
        <v>0</v>
      </c>
      <c r="L520" s="1" t="s">
        <v>40</v>
      </c>
      <c r="M520" s="1">
        <v>0</v>
      </c>
      <c r="N520" s="1">
        <v>0</v>
      </c>
      <c r="O520" s="1">
        <v>0</v>
      </c>
      <c r="P520" s="11" t="str">
        <f t="shared" si="7"/>
        <v>胜</v>
      </c>
      <c r="Q520" s="11" t="str">
        <f t="shared" si="7"/>
        <v>胜</v>
      </c>
    </row>
    <row r="521" spans="4:17" customFormat="1" hidden="1" x14ac:dyDescent="0.15">
      <c r="D521" t="s">
        <v>6</v>
      </c>
      <c r="E521" s="1">
        <v>233703</v>
      </c>
      <c r="F521" s="1">
        <v>233703</v>
      </c>
      <c r="G521" s="8">
        <v>42574.895833333336</v>
      </c>
      <c r="H521" s="1" t="s">
        <v>37</v>
      </c>
      <c r="I521" s="1">
        <v>1</v>
      </c>
      <c r="J521" s="1">
        <v>6</v>
      </c>
      <c r="K521" s="1">
        <v>0</v>
      </c>
      <c r="L521" s="1" t="s">
        <v>48</v>
      </c>
      <c r="M521" s="1">
        <v>0</v>
      </c>
      <c r="N521" s="1">
        <v>0</v>
      </c>
      <c r="O521" s="1">
        <v>0</v>
      </c>
      <c r="P521" s="11" t="str">
        <f t="shared" si="7"/>
        <v>胜</v>
      </c>
      <c r="Q521" s="11" t="str">
        <f t="shared" si="7"/>
        <v>胜</v>
      </c>
    </row>
    <row r="522" spans="4:17" customFormat="1" hidden="1" x14ac:dyDescent="0.15">
      <c r="D522" t="s">
        <v>6</v>
      </c>
      <c r="E522" s="1">
        <v>233714</v>
      </c>
      <c r="F522" s="1">
        <v>233714</v>
      </c>
      <c r="G522" s="8">
        <v>42575</v>
      </c>
      <c r="H522" s="1" t="s">
        <v>38</v>
      </c>
      <c r="I522" s="1">
        <v>0</v>
      </c>
      <c r="J522" s="1">
        <v>0</v>
      </c>
      <c r="K522" s="1">
        <v>0</v>
      </c>
      <c r="L522" s="1" t="s">
        <v>41</v>
      </c>
      <c r="M522" s="1">
        <v>1</v>
      </c>
      <c r="N522" s="1">
        <v>1</v>
      </c>
      <c r="O522" s="1">
        <v>0</v>
      </c>
      <c r="P522" s="11" t="str">
        <f t="shared" si="7"/>
        <v>负</v>
      </c>
      <c r="Q522" s="11" t="str">
        <f t="shared" si="7"/>
        <v>负</v>
      </c>
    </row>
    <row r="523" spans="4:17" customFormat="1" hidden="1" x14ac:dyDescent="0.15">
      <c r="D523" t="s">
        <v>6</v>
      </c>
      <c r="E523" s="1">
        <v>235046</v>
      </c>
      <c r="F523" s="1">
        <v>235046</v>
      </c>
      <c r="G523" s="8">
        <v>42581.041666666664</v>
      </c>
      <c r="H523" s="1" t="s">
        <v>41</v>
      </c>
      <c r="I523" s="1">
        <v>0</v>
      </c>
      <c r="J523" s="1">
        <v>1</v>
      </c>
      <c r="K523" s="1">
        <v>0</v>
      </c>
      <c r="L523" s="1" t="s">
        <v>36</v>
      </c>
      <c r="M523" s="1">
        <v>0</v>
      </c>
      <c r="N523" s="1">
        <v>0</v>
      </c>
      <c r="O523" s="1">
        <v>0</v>
      </c>
      <c r="P523" s="11" t="str">
        <f t="shared" si="7"/>
        <v>平</v>
      </c>
      <c r="Q523" s="11" t="str">
        <f t="shared" si="7"/>
        <v>胜</v>
      </c>
    </row>
    <row r="524" spans="4:17" hidden="1" x14ac:dyDescent="0.15">
      <c r="D524" s="2" t="s">
        <v>6</v>
      </c>
      <c r="E524" s="6">
        <v>235167</v>
      </c>
      <c r="F524" s="6">
        <v>235167</v>
      </c>
      <c r="G524" s="24">
        <v>42583</v>
      </c>
      <c r="H524" s="6" t="s">
        <v>32</v>
      </c>
      <c r="I524" s="6">
        <v>0</v>
      </c>
      <c r="J524" s="6">
        <v>0</v>
      </c>
      <c r="K524" s="6">
        <v>0</v>
      </c>
      <c r="L524" s="6" t="s">
        <v>53</v>
      </c>
      <c r="M524" s="6">
        <v>1</v>
      </c>
      <c r="N524" s="6">
        <v>3</v>
      </c>
      <c r="O524" s="6">
        <v>0</v>
      </c>
      <c r="P524" s="11" t="str">
        <f t="shared" si="7"/>
        <v>负</v>
      </c>
      <c r="Q524" s="11" t="str">
        <f t="shared" si="7"/>
        <v>负</v>
      </c>
    </row>
    <row r="525" spans="4:17" customFormat="1" hidden="1" x14ac:dyDescent="0.15">
      <c r="D525" t="s">
        <v>6</v>
      </c>
      <c r="E525" s="1">
        <v>235168</v>
      </c>
      <c r="F525" s="1">
        <v>235168</v>
      </c>
      <c r="G525" s="8">
        <v>42582.999305555553</v>
      </c>
      <c r="H525" s="1" t="s">
        <v>48</v>
      </c>
      <c r="I525" s="1">
        <v>0</v>
      </c>
      <c r="J525" s="1">
        <v>0</v>
      </c>
      <c r="K525" s="1">
        <v>0</v>
      </c>
      <c r="L525" s="1" t="s">
        <v>35</v>
      </c>
      <c r="M525" s="1">
        <v>0</v>
      </c>
      <c r="N525" s="1">
        <v>1</v>
      </c>
      <c r="O525" s="1">
        <v>0</v>
      </c>
      <c r="P525" s="11" t="str">
        <f t="shared" ref="P525:Q588" si="8">IF(I525=M525,"平",IF(I525&gt;M525,"胜","负"))</f>
        <v>平</v>
      </c>
      <c r="Q525" s="11" t="str">
        <f t="shared" si="8"/>
        <v>负</v>
      </c>
    </row>
    <row r="526" spans="4:17" customFormat="1" hidden="1" x14ac:dyDescent="0.15">
      <c r="D526" t="s">
        <v>6</v>
      </c>
      <c r="E526" s="1">
        <v>235169</v>
      </c>
      <c r="F526" s="1">
        <v>235169</v>
      </c>
      <c r="G526" s="8">
        <v>42582.999305555553</v>
      </c>
      <c r="H526" s="1" t="s">
        <v>54</v>
      </c>
      <c r="I526" s="1">
        <v>0</v>
      </c>
      <c r="J526" s="1">
        <v>1</v>
      </c>
      <c r="K526" s="1">
        <v>0</v>
      </c>
      <c r="L526" s="1" t="s">
        <v>46</v>
      </c>
      <c r="M526" s="1">
        <v>1</v>
      </c>
      <c r="N526" s="1">
        <v>3</v>
      </c>
      <c r="O526" s="1">
        <v>0</v>
      </c>
      <c r="P526" s="11" t="str">
        <f t="shared" si="8"/>
        <v>负</v>
      </c>
      <c r="Q526" s="11" t="str">
        <f t="shared" si="8"/>
        <v>负</v>
      </c>
    </row>
    <row r="527" spans="4:17" customFormat="1" hidden="1" x14ac:dyDescent="0.15">
      <c r="D527" t="s">
        <v>6</v>
      </c>
      <c r="E527" s="1">
        <v>235171</v>
      </c>
      <c r="F527" s="1">
        <v>235171</v>
      </c>
      <c r="G527" s="8">
        <v>42583.083333333336</v>
      </c>
      <c r="H527" s="1" t="s">
        <v>40</v>
      </c>
      <c r="I527" s="1">
        <v>2</v>
      </c>
      <c r="J527" s="1">
        <v>2</v>
      </c>
      <c r="K527" s="1">
        <v>0</v>
      </c>
      <c r="L527" s="1" t="s">
        <v>42</v>
      </c>
      <c r="M527" s="1">
        <v>2</v>
      </c>
      <c r="N527" s="1">
        <v>2</v>
      </c>
      <c r="O527" s="1">
        <v>0</v>
      </c>
      <c r="P527" s="11" t="str">
        <f t="shared" si="8"/>
        <v>平</v>
      </c>
      <c r="Q527" s="11" t="str">
        <f t="shared" si="8"/>
        <v>平</v>
      </c>
    </row>
    <row r="528" spans="4:17" customFormat="1" hidden="1" x14ac:dyDescent="0.15">
      <c r="D528" t="s">
        <v>6</v>
      </c>
      <c r="E528" s="1">
        <v>235181</v>
      </c>
      <c r="F528" s="1">
        <v>235181</v>
      </c>
      <c r="G528" s="8">
        <v>42582.895138888889</v>
      </c>
      <c r="H528" s="1" t="s">
        <v>43</v>
      </c>
      <c r="I528" s="1">
        <v>0</v>
      </c>
      <c r="J528" s="1">
        <v>2</v>
      </c>
      <c r="K528" s="1">
        <v>0</v>
      </c>
      <c r="L528" s="1" t="s">
        <v>44</v>
      </c>
      <c r="M528" s="1">
        <v>0</v>
      </c>
      <c r="N528" s="1">
        <v>0</v>
      </c>
      <c r="O528" s="1">
        <v>0</v>
      </c>
      <c r="P528" s="11" t="str">
        <f t="shared" si="8"/>
        <v>平</v>
      </c>
      <c r="Q528" s="11" t="str">
        <f t="shared" si="8"/>
        <v>胜</v>
      </c>
    </row>
    <row r="529" spans="4:17" customFormat="1" hidden="1" x14ac:dyDescent="0.15">
      <c r="D529" t="s">
        <v>6</v>
      </c>
      <c r="E529" s="1">
        <v>235375</v>
      </c>
      <c r="F529" s="1">
        <v>235375</v>
      </c>
      <c r="G529" s="8">
        <v>42584.041666666664</v>
      </c>
      <c r="H529" s="1" t="s">
        <v>49</v>
      </c>
      <c r="I529" s="1">
        <v>2</v>
      </c>
      <c r="J529" s="1">
        <v>3</v>
      </c>
      <c r="K529" s="1">
        <v>0</v>
      </c>
      <c r="L529" s="1" t="s">
        <v>38</v>
      </c>
      <c r="M529" s="1">
        <v>0</v>
      </c>
      <c r="N529" s="1">
        <v>0</v>
      </c>
      <c r="O529" s="1">
        <v>0</v>
      </c>
      <c r="P529" s="11" t="str">
        <f t="shared" si="8"/>
        <v>胜</v>
      </c>
      <c r="Q529" s="11" t="str">
        <f t="shared" si="8"/>
        <v>胜</v>
      </c>
    </row>
    <row r="530" spans="4:17" customFormat="1" hidden="1" x14ac:dyDescent="0.15">
      <c r="D530" t="s">
        <v>6</v>
      </c>
      <c r="E530" s="1">
        <v>237655</v>
      </c>
      <c r="F530" s="1">
        <v>237655</v>
      </c>
      <c r="G530" s="8">
        <v>42588.020833333336</v>
      </c>
      <c r="H530" s="1" t="s">
        <v>53</v>
      </c>
      <c r="I530" s="1">
        <v>1</v>
      </c>
      <c r="J530" s="1">
        <v>1</v>
      </c>
      <c r="K530" s="1">
        <v>0</v>
      </c>
      <c r="L530" s="1" t="s">
        <v>43</v>
      </c>
      <c r="M530" s="1">
        <v>2</v>
      </c>
      <c r="N530" s="1">
        <v>2</v>
      </c>
      <c r="O530" s="1">
        <v>0</v>
      </c>
      <c r="P530" s="11" t="str">
        <f t="shared" si="8"/>
        <v>负</v>
      </c>
      <c r="Q530" s="11" t="str">
        <f t="shared" si="8"/>
        <v>负</v>
      </c>
    </row>
    <row r="531" spans="4:17" customFormat="1" x14ac:dyDescent="0.15">
      <c r="D531" t="s">
        <v>6</v>
      </c>
      <c r="E531" s="1">
        <v>237705</v>
      </c>
      <c r="F531" s="1">
        <v>237705</v>
      </c>
      <c r="G531" s="8">
        <v>42590.003472222219</v>
      </c>
      <c r="H531" s="1" t="s">
        <v>36</v>
      </c>
      <c r="I531" s="1">
        <v>1</v>
      </c>
      <c r="J531" s="1">
        <v>1</v>
      </c>
      <c r="K531" s="1">
        <v>0</v>
      </c>
      <c r="L531" s="1" t="s">
        <v>54</v>
      </c>
      <c r="M531" s="1">
        <v>0</v>
      </c>
      <c r="N531" s="1">
        <v>2</v>
      </c>
      <c r="O531" s="1">
        <v>0</v>
      </c>
      <c r="P531" s="11" t="str">
        <f t="shared" si="8"/>
        <v>胜</v>
      </c>
      <c r="Q531" s="11" t="str">
        <f t="shared" si="8"/>
        <v>负</v>
      </c>
    </row>
    <row r="532" spans="4:17" customFormat="1" hidden="1" x14ac:dyDescent="0.15">
      <c r="D532" t="s">
        <v>6</v>
      </c>
      <c r="E532" s="1">
        <v>237710</v>
      </c>
      <c r="F532" s="1">
        <v>237710</v>
      </c>
      <c r="G532" s="8">
        <v>42590.000694444447</v>
      </c>
      <c r="H532" s="1" t="s">
        <v>46</v>
      </c>
      <c r="I532" s="1">
        <v>1</v>
      </c>
      <c r="J532" s="1">
        <v>1</v>
      </c>
      <c r="K532" s="1">
        <v>0</v>
      </c>
      <c r="L532" s="1" t="s">
        <v>40</v>
      </c>
      <c r="M532" s="1">
        <v>0</v>
      </c>
      <c r="N532" s="1">
        <v>0</v>
      </c>
      <c r="O532" s="1">
        <v>0</v>
      </c>
      <c r="P532" s="11" t="str">
        <f t="shared" si="8"/>
        <v>胜</v>
      </c>
      <c r="Q532" s="11" t="str">
        <f t="shared" si="8"/>
        <v>胜</v>
      </c>
    </row>
    <row r="533" spans="4:17" customFormat="1" hidden="1" x14ac:dyDescent="0.15">
      <c r="D533" t="s">
        <v>6</v>
      </c>
      <c r="E533" s="1">
        <v>237712</v>
      </c>
      <c r="F533" s="1">
        <v>237712</v>
      </c>
      <c r="G533" s="8">
        <v>42590</v>
      </c>
      <c r="H533" s="1" t="s">
        <v>41</v>
      </c>
      <c r="I533" s="1">
        <v>0</v>
      </c>
      <c r="J533" s="1">
        <v>0</v>
      </c>
      <c r="K533" s="1">
        <v>0</v>
      </c>
      <c r="L533" s="1" t="s">
        <v>49</v>
      </c>
      <c r="M533" s="1">
        <v>1</v>
      </c>
      <c r="N533" s="1">
        <v>2</v>
      </c>
      <c r="O533" s="1">
        <v>0</v>
      </c>
      <c r="P533" s="11" t="str">
        <f t="shared" si="8"/>
        <v>负</v>
      </c>
      <c r="Q533" s="11" t="str">
        <f t="shared" si="8"/>
        <v>负</v>
      </c>
    </row>
    <row r="534" spans="4:17" customFormat="1" hidden="1" x14ac:dyDescent="0.15">
      <c r="D534" t="s">
        <v>6</v>
      </c>
      <c r="E534" s="1">
        <v>237714</v>
      </c>
      <c r="F534" s="1">
        <v>237714</v>
      </c>
      <c r="G534" s="8">
        <v>42590.083333333336</v>
      </c>
      <c r="H534" s="1" t="s">
        <v>35</v>
      </c>
      <c r="I534" s="1">
        <v>0</v>
      </c>
      <c r="J534" s="1">
        <v>1</v>
      </c>
      <c r="K534" s="1">
        <v>0</v>
      </c>
      <c r="L534" s="1" t="s">
        <v>45</v>
      </c>
      <c r="M534" s="1">
        <v>1</v>
      </c>
      <c r="N534" s="1">
        <v>2</v>
      </c>
      <c r="O534" s="1">
        <v>0</v>
      </c>
      <c r="P534" s="11" t="str">
        <f t="shared" si="8"/>
        <v>负</v>
      </c>
      <c r="Q534" s="11" t="str">
        <f t="shared" si="8"/>
        <v>负</v>
      </c>
    </row>
    <row r="535" spans="4:17" customFormat="1" hidden="1" x14ac:dyDescent="0.15">
      <c r="D535" t="s">
        <v>6</v>
      </c>
      <c r="E535" s="1">
        <v>237725</v>
      </c>
      <c r="F535" s="1">
        <v>237725</v>
      </c>
      <c r="G535" s="8">
        <v>42588.895833333336</v>
      </c>
      <c r="H535" s="1" t="s">
        <v>38</v>
      </c>
      <c r="I535" s="1">
        <v>2</v>
      </c>
      <c r="J535" s="1">
        <v>3</v>
      </c>
      <c r="K535" s="1">
        <v>0</v>
      </c>
      <c r="L535" s="1" t="s">
        <v>32</v>
      </c>
      <c r="M535" s="1">
        <v>1</v>
      </c>
      <c r="N535" s="1">
        <v>2</v>
      </c>
      <c r="O535" s="1">
        <v>0</v>
      </c>
      <c r="P535" s="11" t="str">
        <f t="shared" si="8"/>
        <v>胜</v>
      </c>
      <c r="Q535" s="11" t="str">
        <f t="shared" si="8"/>
        <v>胜</v>
      </c>
    </row>
    <row r="536" spans="4:17" customFormat="1" hidden="1" x14ac:dyDescent="0.15">
      <c r="D536" t="s">
        <v>6</v>
      </c>
      <c r="E536" s="1">
        <v>237781</v>
      </c>
      <c r="F536" s="1">
        <v>237781</v>
      </c>
      <c r="G536" s="8">
        <v>42589.000694444447</v>
      </c>
      <c r="H536" s="1" t="s">
        <v>44</v>
      </c>
      <c r="I536" s="1">
        <v>0</v>
      </c>
      <c r="J536" s="1">
        <v>3</v>
      </c>
      <c r="K536" s="1">
        <v>0</v>
      </c>
      <c r="L536" s="1" t="s">
        <v>37</v>
      </c>
      <c r="M536" s="1">
        <v>4</v>
      </c>
      <c r="N536" s="1">
        <v>4</v>
      </c>
      <c r="O536" s="1">
        <v>0</v>
      </c>
      <c r="P536" s="11" t="str">
        <f t="shared" si="8"/>
        <v>负</v>
      </c>
      <c r="Q536" s="11" t="str">
        <f t="shared" si="8"/>
        <v>负</v>
      </c>
    </row>
    <row r="537" spans="4:17" customFormat="1" hidden="1" x14ac:dyDescent="0.15">
      <c r="D537" t="s">
        <v>6</v>
      </c>
      <c r="E537" s="1">
        <v>237812</v>
      </c>
      <c r="F537" s="1">
        <v>237812</v>
      </c>
      <c r="G537" s="8">
        <v>42589.895833333336</v>
      </c>
      <c r="H537" s="1" t="s">
        <v>42</v>
      </c>
      <c r="I537" s="1">
        <v>0</v>
      </c>
      <c r="J537" s="1">
        <v>0</v>
      </c>
      <c r="K537" s="1">
        <v>0</v>
      </c>
      <c r="L537" s="1" t="s">
        <v>48</v>
      </c>
      <c r="M537" s="1">
        <v>1</v>
      </c>
      <c r="N537" s="1">
        <v>1</v>
      </c>
      <c r="O537" s="1">
        <v>0</v>
      </c>
      <c r="P537" s="11" t="str">
        <f t="shared" si="8"/>
        <v>负</v>
      </c>
      <c r="Q537" s="11" t="str">
        <f t="shared" si="8"/>
        <v>负</v>
      </c>
    </row>
    <row r="538" spans="4:17" hidden="1" x14ac:dyDescent="0.15">
      <c r="D538" s="2" t="s">
        <v>6</v>
      </c>
      <c r="E538" s="6">
        <v>240041</v>
      </c>
      <c r="F538" s="6">
        <v>240041</v>
      </c>
      <c r="G538" s="24">
        <v>42595.896527777775</v>
      </c>
      <c r="H538" s="6" t="s">
        <v>32</v>
      </c>
      <c r="I538" s="6">
        <v>0</v>
      </c>
      <c r="J538" s="6">
        <v>1</v>
      </c>
      <c r="K538" s="6">
        <v>0</v>
      </c>
      <c r="L538" s="6" t="s">
        <v>44</v>
      </c>
      <c r="M538" s="6">
        <v>0</v>
      </c>
      <c r="N538" s="6">
        <v>1</v>
      </c>
      <c r="O538" s="6">
        <v>0</v>
      </c>
      <c r="P538" s="11" t="str">
        <f t="shared" si="8"/>
        <v>平</v>
      </c>
      <c r="Q538" s="11" t="str">
        <f t="shared" si="8"/>
        <v>平</v>
      </c>
    </row>
    <row r="539" spans="4:17" customFormat="1" hidden="1" x14ac:dyDescent="0.15">
      <c r="D539" t="s">
        <v>6</v>
      </c>
      <c r="E539" s="1">
        <v>240061</v>
      </c>
      <c r="F539" s="1">
        <v>240061</v>
      </c>
      <c r="G539" s="8">
        <v>42596.999305555553</v>
      </c>
      <c r="H539" s="1" t="s">
        <v>48</v>
      </c>
      <c r="I539" s="1">
        <v>1</v>
      </c>
      <c r="J539" s="1">
        <v>2</v>
      </c>
      <c r="K539" s="1">
        <v>0</v>
      </c>
      <c r="L539" s="1" t="s">
        <v>53</v>
      </c>
      <c r="M539" s="1">
        <v>0</v>
      </c>
      <c r="N539" s="1">
        <v>1</v>
      </c>
      <c r="O539" s="1">
        <v>0</v>
      </c>
      <c r="P539" s="11" t="str">
        <f t="shared" si="8"/>
        <v>胜</v>
      </c>
      <c r="Q539" s="11" t="str">
        <f t="shared" si="8"/>
        <v>胜</v>
      </c>
    </row>
    <row r="540" spans="4:17" customFormat="1" hidden="1" x14ac:dyDescent="0.15">
      <c r="D540" t="s">
        <v>6</v>
      </c>
      <c r="E540" s="1">
        <v>240071</v>
      </c>
      <c r="F540" s="1">
        <v>240071</v>
      </c>
      <c r="G540" s="8">
        <v>42596.999305555553</v>
      </c>
      <c r="H540" s="1" t="s">
        <v>54</v>
      </c>
      <c r="I540" s="1">
        <v>0</v>
      </c>
      <c r="J540" s="1">
        <v>0</v>
      </c>
      <c r="K540" s="1">
        <v>0</v>
      </c>
      <c r="L540" s="1" t="s">
        <v>41</v>
      </c>
      <c r="M540" s="1">
        <v>0</v>
      </c>
      <c r="N540" s="1">
        <v>0</v>
      </c>
      <c r="O540" s="1">
        <v>0</v>
      </c>
      <c r="P540" s="11" t="str">
        <f t="shared" si="8"/>
        <v>平</v>
      </c>
      <c r="Q540" s="11" t="str">
        <f t="shared" si="8"/>
        <v>平</v>
      </c>
    </row>
    <row r="541" spans="4:17" customFormat="1" hidden="1" x14ac:dyDescent="0.15">
      <c r="D541" t="s">
        <v>6</v>
      </c>
      <c r="E541" s="1">
        <v>240072</v>
      </c>
      <c r="F541" s="1">
        <v>240072</v>
      </c>
      <c r="G541" s="8">
        <v>42597</v>
      </c>
      <c r="H541" s="1" t="s">
        <v>40</v>
      </c>
      <c r="I541" s="1">
        <v>1</v>
      </c>
      <c r="J541" s="1">
        <v>1</v>
      </c>
      <c r="K541" s="1">
        <v>0</v>
      </c>
      <c r="L541" s="1" t="s">
        <v>36</v>
      </c>
      <c r="M541" s="1">
        <v>0</v>
      </c>
      <c r="N541" s="1">
        <v>1</v>
      </c>
      <c r="O541" s="1">
        <v>0</v>
      </c>
      <c r="P541" s="11" t="str">
        <f t="shared" si="8"/>
        <v>胜</v>
      </c>
      <c r="Q541" s="11" t="str">
        <f t="shared" si="8"/>
        <v>平</v>
      </c>
    </row>
    <row r="542" spans="4:17" customFormat="1" hidden="1" x14ac:dyDescent="0.15">
      <c r="D542" t="s">
        <v>6</v>
      </c>
      <c r="E542" s="1">
        <v>240073</v>
      </c>
      <c r="F542" s="1">
        <v>240073</v>
      </c>
      <c r="G542" s="8">
        <v>42597</v>
      </c>
      <c r="H542" s="1" t="s">
        <v>37</v>
      </c>
      <c r="I542" s="1">
        <v>3</v>
      </c>
      <c r="J542" s="1">
        <v>3</v>
      </c>
      <c r="K542" s="1">
        <v>0</v>
      </c>
      <c r="L542" s="1" t="s">
        <v>35</v>
      </c>
      <c r="M542" s="1">
        <v>0</v>
      </c>
      <c r="N542" s="1">
        <v>1</v>
      </c>
      <c r="O542" s="1">
        <v>0</v>
      </c>
      <c r="P542" s="11" t="str">
        <f t="shared" si="8"/>
        <v>胜</v>
      </c>
      <c r="Q542" s="11" t="str">
        <f t="shared" si="8"/>
        <v>胜</v>
      </c>
    </row>
    <row r="543" spans="4:17" customFormat="1" hidden="1" x14ac:dyDescent="0.15">
      <c r="D543" t="s">
        <v>6</v>
      </c>
      <c r="E543" s="1">
        <v>240084</v>
      </c>
      <c r="F543" s="1">
        <v>240084</v>
      </c>
      <c r="G543" s="8">
        <v>42597.084027777775</v>
      </c>
      <c r="H543" s="1" t="s">
        <v>45</v>
      </c>
      <c r="I543" s="1">
        <v>0</v>
      </c>
      <c r="J543" s="1">
        <v>2</v>
      </c>
      <c r="K543" s="1">
        <v>0</v>
      </c>
      <c r="L543" s="1" t="s">
        <v>42</v>
      </c>
      <c r="M543" s="1">
        <v>1</v>
      </c>
      <c r="N543" s="1">
        <v>2</v>
      </c>
      <c r="O543" s="1">
        <v>0</v>
      </c>
      <c r="P543" s="11" t="str">
        <f t="shared" si="8"/>
        <v>负</v>
      </c>
      <c r="Q543" s="11" t="str">
        <f t="shared" si="8"/>
        <v>平</v>
      </c>
    </row>
    <row r="544" spans="4:17" customFormat="1" hidden="1" x14ac:dyDescent="0.15">
      <c r="D544" t="s">
        <v>6</v>
      </c>
      <c r="E544" s="1">
        <v>240090</v>
      </c>
      <c r="F544" s="1">
        <v>240090</v>
      </c>
      <c r="G544" s="8">
        <v>42594.041666666664</v>
      </c>
      <c r="H544" s="1" t="s">
        <v>45</v>
      </c>
      <c r="I544" s="1">
        <v>0</v>
      </c>
      <c r="J544" s="1">
        <v>0</v>
      </c>
      <c r="K544" s="1">
        <v>0</v>
      </c>
      <c r="L544" s="1" t="s">
        <v>37</v>
      </c>
      <c r="M544" s="1">
        <v>0</v>
      </c>
      <c r="N544" s="1">
        <v>2</v>
      </c>
      <c r="O544" s="1">
        <v>0</v>
      </c>
      <c r="P544" s="11" t="str">
        <f t="shared" si="8"/>
        <v>平</v>
      </c>
      <c r="Q544" s="11" t="str">
        <f t="shared" si="8"/>
        <v>负</v>
      </c>
    </row>
    <row r="545" spans="4:17" customFormat="1" hidden="1" x14ac:dyDescent="0.15">
      <c r="D545" t="s">
        <v>6</v>
      </c>
      <c r="E545" s="1">
        <v>240180</v>
      </c>
      <c r="F545" s="1">
        <v>240180</v>
      </c>
      <c r="G545" s="8">
        <v>42596</v>
      </c>
      <c r="H545" s="1" t="s">
        <v>49</v>
      </c>
      <c r="I545" s="1">
        <v>2</v>
      </c>
      <c r="J545" s="1">
        <v>3</v>
      </c>
      <c r="K545" s="1">
        <v>0</v>
      </c>
      <c r="L545" s="1" t="s">
        <v>46</v>
      </c>
      <c r="M545" s="1">
        <v>1</v>
      </c>
      <c r="N545" s="1">
        <v>2</v>
      </c>
      <c r="O545" s="1">
        <v>0</v>
      </c>
      <c r="P545" s="11" t="str">
        <f t="shared" si="8"/>
        <v>胜</v>
      </c>
      <c r="Q545" s="11" t="str">
        <f t="shared" si="8"/>
        <v>胜</v>
      </c>
    </row>
    <row r="546" spans="4:17" customFormat="1" hidden="1" x14ac:dyDescent="0.15">
      <c r="D546" t="s">
        <v>6</v>
      </c>
      <c r="E546" s="1">
        <v>240220</v>
      </c>
      <c r="F546" s="1">
        <v>240220</v>
      </c>
      <c r="G546" s="8">
        <v>42596.895833333336</v>
      </c>
      <c r="H546" s="1" t="s">
        <v>43</v>
      </c>
      <c r="I546" s="1">
        <v>0</v>
      </c>
      <c r="J546" s="1">
        <v>0</v>
      </c>
      <c r="K546" s="1">
        <v>0</v>
      </c>
      <c r="L546" s="1" t="s">
        <v>38</v>
      </c>
      <c r="M546" s="1">
        <v>1</v>
      </c>
      <c r="N546" s="1">
        <v>2</v>
      </c>
      <c r="O546" s="1">
        <v>0</v>
      </c>
      <c r="P546" s="11" t="str">
        <f t="shared" si="8"/>
        <v>负</v>
      </c>
      <c r="Q546" s="11" t="str">
        <f t="shared" si="8"/>
        <v>负</v>
      </c>
    </row>
    <row r="547" spans="4:17" customFormat="1" hidden="1" x14ac:dyDescent="0.15">
      <c r="D547" t="s">
        <v>6</v>
      </c>
      <c r="E547" s="1">
        <v>242999</v>
      </c>
      <c r="F547" s="1">
        <v>242999</v>
      </c>
      <c r="G547" s="8">
        <v>42602.041666666664</v>
      </c>
      <c r="H547" s="1" t="s">
        <v>49</v>
      </c>
      <c r="I547" s="1">
        <v>0</v>
      </c>
      <c r="J547" s="1">
        <v>1</v>
      </c>
      <c r="K547" s="1">
        <v>0</v>
      </c>
      <c r="L547" s="1" t="s">
        <v>32</v>
      </c>
      <c r="M547" s="1">
        <v>1</v>
      </c>
      <c r="N547" s="1">
        <v>1</v>
      </c>
      <c r="O547" s="1">
        <v>0</v>
      </c>
      <c r="P547" s="11" t="str">
        <f t="shared" si="8"/>
        <v>负</v>
      </c>
      <c r="Q547" s="11" t="str">
        <f t="shared" si="8"/>
        <v>平</v>
      </c>
    </row>
    <row r="548" spans="4:17" customFormat="1" hidden="1" x14ac:dyDescent="0.15">
      <c r="D548" t="s">
        <v>6</v>
      </c>
      <c r="E548" s="1">
        <v>243183</v>
      </c>
      <c r="F548" s="1">
        <v>243183</v>
      </c>
      <c r="G548" s="8">
        <v>42602.896527777775</v>
      </c>
      <c r="H548" s="1" t="s">
        <v>44</v>
      </c>
      <c r="I548" s="1">
        <v>0</v>
      </c>
      <c r="J548" s="1">
        <v>1</v>
      </c>
      <c r="K548" s="1">
        <v>0</v>
      </c>
      <c r="L548" s="1" t="s">
        <v>48</v>
      </c>
      <c r="M548" s="1">
        <v>1</v>
      </c>
      <c r="N548" s="1">
        <v>1</v>
      </c>
      <c r="O548" s="1">
        <v>0</v>
      </c>
      <c r="P548" s="11" t="str">
        <f t="shared" si="8"/>
        <v>负</v>
      </c>
      <c r="Q548" s="11" t="str">
        <f t="shared" si="8"/>
        <v>平</v>
      </c>
    </row>
    <row r="549" spans="4:17" customFormat="1" hidden="1" x14ac:dyDescent="0.15">
      <c r="D549" t="s">
        <v>6</v>
      </c>
      <c r="E549" s="1">
        <v>243253</v>
      </c>
      <c r="F549" s="1">
        <v>243253</v>
      </c>
      <c r="G549" s="8">
        <v>42603.895833333336</v>
      </c>
      <c r="H549" s="1" t="s">
        <v>41</v>
      </c>
      <c r="I549" s="1">
        <v>0</v>
      </c>
      <c r="J549" s="1">
        <v>1</v>
      </c>
      <c r="K549" s="1">
        <v>0</v>
      </c>
      <c r="L549" s="1" t="s">
        <v>40</v>
      </c>
      <c r="M549" s="1">
        <v>0</v>
      </c>
      <c r="N549" s="1">
        <v>0</v>
      </c>
      <c r="O549" s="1">
        <v>0</v>
      </c>
      <c r="P549" s="11" t="str">
        <f t="shared" si="8"/>
        <v>平</v>
      </c>
      <c r="Q549" s="11" t="str">
        <f t="shared" si="8"/>
        <v>胜</v>
      </c>
    </row>
    <row r="550" spans="4:17" customFormat="1" hidden="1" x14ac:dyDescent="0.15">
      <c r="D550" t="s">
        <v>6</v>
      </c>
      <c r="E550" s="1">
        <v>243338</v>
      </c>
      <c r="F550" s="1">
        <v>243338</v>
      </c>
      <c r="G550" s="8">
        <v>42604.002083333333</v>
      </c>
      <c r="H550" s="1" t="s">
        <v>46</v>
      </c>
      <c r="I550" s="1">
        <v>1</v>
      </c>
      <c r="J550" s="1">
        <v>1</v>
      </c>
      <c r="K550" s="1">
        <v>0</v>
      </c>
      <c r="L550" s="1" t="s">
        <v>37</v>
      </c>
      <c r="M550" s="1">
        <v>0</v>
      </c>
      <c r="N550" s="1">
        <v>1</v>
      </c>
      <c r="O550" s="1">
        <v>0</v>
      </c>
      <c r="P550" s="11" t="str">
        <f t="shared" si="8"/>
        <v>胜</v>
      </c>
      <c r="Q550" s="11" t="str">
        <f t="shared" si="8"/>
        <v>平</v>
      </c>
    </row>
    <row r="551" spans="4:17" customFormat="1" x14ac:dyDescent="0.15">
      <c r="D551" t="s">
        <v>6</v>
      </c>
      <c r="E551" s="1">
        <v>243342</v>
      </c>
      <c r="F551" s="1">
        <v>243342</v>
      </c>
      <c r="G551" s="8">
        <v>42604</v>
      </c>
      <c r="H551" s="1" t="s">
        <v>36</v>
      </c>
      <c r="I551" s="1">
        <v>0</v>
      </c>
      <c r="J551" s="1">
        <v>1</v>
      </c>
      <c r="K551" s="1">
        <v>0</v>
      </c>
      <c r="L551" s="1" t="s">
        <v>35</v>
      </c>
      <c r="M551" s="1">
        <v>1</v>
      </c>
      <c r="N551" s="1">
        <v>1</v>
      </c>
      <c r="O551" s="1">
        <v>0</v>
      </c>
      <c r="P551" s="11" t="str">
        <f t="shared" si="8"/>
        <v>负</v>
      </c>
      <c r="Q551" s="11" t="str">
        <f t="shared" si="8"/>
        <v>平</v>
      </c>
    </row>
    <row r="552" spans="4:17" customFormat="1" hidden="1" x14ac:dyDescent="0.15">
      <c r="D552" t="s">
        <v>6</v>
      </c>
      <c r="E552" s="1">
        <v>243343</v>
      </c>
      <c r="F552" s="1">
        <v>243343</v>
      </c>
      <c r="G552" s="8">
        <v>42604</v>
      </c>
      <c r="H552" s="1" t="s">
        <v>38</v>
      </c>
      <c r="I552" s="1">
        <v>1</v>
      </c>
      <c r="J552" s="1">
        <v>4</v>
      </c>
      <c r="K552" s="1">
        <v>0</v>
      </c>
      <c r="L552" s="1" t="s">
        <v>54</v>
      </c>
      <c r="M552" s="1">
        <v>0</v>
      </c>
      <c r="N552" s="1">
        <v>2</v>
      </c>
      <c r="O552" s="1">
        <v>0</v>
      </c>
      <c r="P552" s="11" t="str">
        <f t="shared" si="8"/>
        <v>胜</v>
      </c>
      <c r="Q552" s="11" t="str">
        <f t="shared" si="8"/>
        <v>胜</v>
      </c>
    </row>
    <row r="553" spans="4:17" customFormat="1" hidden="1" x14ac:dyDescent="0.15">
      <c r="D553" t="s">
        <v>6</v>
      </c>
      <c r="E553" s="1">
        <v>243346</v>
      </c>
      <c r="F553" s="1">
        <v>243346</v>
      </c>
      <c r="G553" s="8">
        <v>42604</v>
      </c>
      <c r="H553" s="1" t="s">
        <v>42</v>
      </c>
      <c r="I553" s="1">
        <v>2</v>
      </c>
      <c r="J553" s="1">
        <v>3</v>
      </c>
      <c r="K553" s="1">
        <v>0</v>
      </c>
      <c r="L553" s="1" t="s">
        <v>43</v>
      </c>
      <c r="M553" s="1">
        <v>0</v>
      </c>
      <c r="N553" s="1">
        <v>0</v>
      </c>
      <c r="O553" s="1">
        <v>0</v>
      </c>
      <c r="P553" s="11" t="str">
        <f t="shared" si="8"/>
        <v>胜</v>
      </c>
      <c r="Q553" s="11" t="str">
        <f t="shared" si="8"/>
        <v>胜</v>
      </c>
    </row>
    <row r="554" spans="4:17" customFormat="1" hidden="1" x14ac:dyDescent="0.15">
      <c r="D554" t="s">
        <v>6</v>
      </c>
      <c r="E554" s="1">
        <v>243375</v>
      </c>
      <c r="F554" s="1">
        <v>243375</v>
      </c>
      <c r="G554" s="8">
        <v>42604.082638888889</v>
      </c>
      <c r="H554" s="1" t="s">
        <v>53</v>
      </c>
      <c r="I554" s="1">
        <v>1</v>
      </c>
      <c r="J554" s="1">
        <v>2</v>
      </c>
      <c r="K554" s="1">
        <v>0</v>
      </c>
      <c r="L554" s="1" t="s">
        <v>45</v>
      </c>
      <c r="M554" s="1">
        <v>0</v>
      </c>
      <c r="N554" s="1">
        <v>1</v>
      </c>
      <c r="O554" s="1">
        <v>0</v>
      </c>
      <c r="P554" s="11" t="str">
        <f t="shared" si="8"/>
        <v>胜</v>
      </c>
      <c r="Q554" s="11" t="str">
        <f t="shared" si="8"/>
        <v>胜</v>
      </c>
    </row>
    <row r="555" spans="4:17" customFormat="1" hidden="1" x14ac:dyDescent="0.15">
      <c r="D555" t="s">
        <v>6</v>
      </c>
      <c r="E555" s="1">
        <v>245119</v>
      </c>
      <c r="F555" s="1">
        <v>245119</v>
      </c>
      <c r="G555" s="8">
        <v>42609.041666666664</v>
      </c>
      <c r="H555" s="1" t="s">
        <v>43</v>
      </c>
      <c r="I555" s="1">
        <v>1</v>
      </c>
      <c r="J555" s="1">
        <v>2</v>
      </c>
      <c r="K555" s="1">
        <v>0</v>
      </c>
      <c r="L555" s="1" t="s">
        <v>41</v>
      </c>
      <c r="M555" s="1">
        <v>2</v>
      </c>
      <c r="N555" s="1">
        <v>2</v>
      </c>
      <c r="O555" s="1">
        <v>0</v>
      </c>
      <c r="P555" s="11" t="str">
        <f t="shared" si="8"/>
        <v>负</v>
      </c>
      <c r="Q555" s="11" t="str">
        <f t="shared" si="8"/>
        <v>平</v>
      </c>
    </row>
    <row r="556" spans="4:17" customFormat="1" hidden="1" x14ac:dyDescent="0.15">
      <c r="D556" t="s">
        <v>6</v>
      </c>
      <c r="E556" s="1">
        <v>245120</v>
      </c>
      <c r="F556" s="1">
        <v>245120</v>
      </c>
      <c r="G556" s="8">
        <v>42609.895833333336</v>
      </c>
      <c r="H556" s="1" t="s">
        <v>40</v>
      </c>
      <c r="I556" s="1">
        <v>0</v>
      </c>
      <c r="J556" s="1">
        <v>0</v>
      </c>
      <c r="K556" s="1">
        <v>0</v>
      </c>
      <c r="L556" s="1" t="s">
        <v>38</v>
      </c>
      <c r="M556" s="1">
        <v>1</v>
      </c>
      <c r="N556" s="1">
        <v>2</v>
      </c>
      <c r="O556" s="1">
        <v>0</v>
      </c>
      <c r="P556" s="11" t="str">
        <f t="shared" si="8"/>
        <v>负</v>
      </c>
      <c r="Q556" s="11" t="str">
        <f t="shared" si="8"/>
        <v>负</v>
      </c>
    </row>
    <row r="557" spans="4:17" customFormat="1" hidden="1" x14ac:dyDescent="0.15">
      <c r="D557" t="s">
        <v>6</v>
      </c>
      <c r="E557" s="1">
        <v>245121</v>
      </c>
      <c r="F557" s="1">
        <v>245121</v>
      </c>
      <c r="G557" s="8">
        <v>42610</v>
      </c>
      <c r="H557" s="1" t="s">
        <v>48</v>
      </c>
      <c r="I557" s="1">
        <v>2</v>
      </c>
      <c r="J557" s="1">
        <v>3</v>
      </c>
      <c r="K557" s="1">
        <v>0</v>
      </c>
      <c r="L557" s="1" t="s">
        <v>46</v>
      </c>
      <c r="M557" s="1">
        <v>2</v>
      </c>
      <c r="N557" s="1">
        <v>2</v>
      </c>
      <c r="O557" s="1">
        <v>0</v>
      </c>
      <c r="P557" s="11" t="str">
        <f t="shared" si="8"/>
        <v>平</v>
      </c>
      <c r="Q557" s="11" t="str">
        <f t="shared" si="8"/>
        <v>胜</v>
      </c>
    </row>
    <row r="558" spans="4:17" customFormat="1" hidden="1" x14ac:dyDescent="0.15">
      <c r="D558" t="s">
        <v>6</v>
      </c>
      <c r="E558" s="1">
        <v>245122</v>
      </c>
      <c r="F558" s="1">
        <v>245122</v>
      </c>
      <c r="G558" s="8">
        <v>42610.896527777775</v>
      </c>
      <c r="H558" s="1" t="s">
        <v>35</v>
      </c>
      <c r="I558" s="1">
        <v>0</v>
      </c>
      <c r="J558" s="1">
        <v>1</v>
      </c>
      <c r="K558" s="1">
        <v>0</v>
      </c>
      <c r="L558" s="1" t="s">
        <v>42</v>
      </c>
      <c r="M558" s="1">
        <v>0</v>
      </c>
      <c r="N558" s="1">
        <v>1</v>
      </c>
      <c r="O558" s="1">
        <v>0</v>
      </c>
      <c r="P558" s="11" t="str">
        <f t="shared" si="8"/>
        <v>平</v>
      </c>
      <c r="Q558" s="11" t="str">
        <f t="shared" si="8"/>
        <v>平</v>
      </c>
    </row>
    <row r="559" spans="4:17" hidden="1" x14ac:dyDescent="0.15">
      <c r="D559" s="2" t="s">
        <v>6</v>
      </c>
      <c r="E559" s="6">
        <v>245123</v>
      </c>
      <c r="F559" s="6">
        <v>245123</v>
      </c>
      <c r="G559" s="24">
        <v>42610.999305555553</v>
      </c>
      <c r="H559" s="6" t="s">
        <v>32</v>
      </c>
      <c r="I559" s="6">
        <v>0</v>
      </c>
      <c r="J559" s="6">
        <v>2</v>
      </c>
      <c r="K559" s="6">
        <v>0</v>
      </c>
      <c r="L559" s="6" t="s">
        <v>36</v>
      </c>
      <c r="M559" s="6">
        <v>0</v>
      </c>
      <c r="N559" s="6">
        <v>0</v>
      </c>
      <c r="O559" s="6">
        <v>0</v>
      </c>
      <c r="P559" s="11" t="str">
        <f t="shared" si="8"/>
        <v>平</v>
      </c>
      <c r="Q559" s="11" t="str">
        <f t="shared" si="8"/>
        <v>胜</v>
      </c>
    </row>
    <row r="560" spans="4:17" customFormat="1" hidden="1" x14ac:dyDescent="0.15">
      <c r="D560" t="s">
        <v>6</v>
      </c>
      <c r="E560" s="1">
        <v>245124</v>
      </c>
      <c r="F560" s="1">
        <v>245124</v>
      </c>
      <c r="G560" s="8">
        <v>42611</v>
      </c>
      <c r="H560" s="1" t="s">
        <v>37</v>
      </c>
      <c r="I560" s="1">
        <v>1</v>
      </c>
      <c r="J560" s="1">
        <v>3</v>
      </c>
      <c r="K560" s="1">
        <v>0</v>
      </c>
      <c r="L560" s="1" t="s">
        <v>53</v>
      </c>
      <c r="M560" s="1">
        <v>0</v>
      </c>
      <c r="N560" s="1">
        <v>1</v>
      </c>
      <c r="O560" s="1">
        <v>0</v>
      </c>
      <c r="P560" s="11" t="str">
        <f t="shared" si="8"/>
        <v>胜</v>
      </c>
      <c r="Q560" s="11" t="str">
        <f t="shared" si="8"/>
        <v>胜</v>
      </c>
    </row>
    <row r="561" spans="4:17" customFormat="1" hidden="1" x14ac:dyDescent="0.15">
      <c r="D561" t="s">
        <v>6</v>
      </c>
      <c r="E561" s="1">
        <v>245125</v>
      </c>
      <c r="F561" s="1">
        <v>245125</v>
      </c>
      <c r="G561" s="8">
        <v>42611</v>
      </c>
      <c r="H561" s="1" t="s">
        <v>45</v>
      </c>
      <c r="I561" s="1">
        <v>1</v>
      </c>
      <c r="J561" s="1">
        <v>2</v>
      </c>
      <c r="K561" s="1">
        <v>0</v>
      </c>
      <c r="L561" s="1" t="s">
        <v>44</v>
      </c>
      <c r="M561" s="1">
        <v>1</v>
      </c>
      <c r="N561" s="1">
        <v>2</v>
      </c>
      <c r="O561" s="1">
        <v>0</v>
      </c>
      <c r="P561" s="11" t="str">
        <f t="shared" si="8"/>
        <v>平</v>
      </c>
      <c r="Q561" s="11" t="str">
        <f t="shared" si="8"/>
        <v>平</v>
      </c>
    </row>
    <row r="562" spans="4:17" customFormat="1" hidden="1" x14ac:dyDescent="0.15">
      <c r="D562" t="s">
        <v>6</v>
      </c>
      <c r="E562" s="1">
        <v>245126</v>
      </c>
      <c r="F562" s="1">
        <v>245126</v>
      </c>
      <c r="G562" s="8">
        <v>42611.083333333336</v>
      </c>
      <c r="H562" s="1" t="s">
        <v>54</v>
      </c>
      <c r="I562" s="1">
        <v>0</v>
      </c>
      <c r="J562" s="1">
        <v>1</v>
      </c>
      <c r="K562" s="1">
        <v>0</v>
      </c>
      <c r="L562" s="1" t="s">
        <v>49</v>
      </c>
      <c r="M562" s="1">
        <v>1</v>
      </c>
      <c r="N562" s="1">
        <v>2</v>
      </c>
      <c r="O562" s="1">
        <v>0</v>
      </c>
      <c r="P562" s="11" t="str">
        <f t="shared" si="8"/>
        <v>负</v>
      </c>
      <c r="Q562" s="11" t="str">
        <f t="shared" si="8"/>
        <v>负</v>
      </c>
    </row>
    <row r="563" spans="4:17" customFormat="1" x14ac:dyDescent="0.15">
      <c r="D563" t="s">
        <v>6</v>
      </c>
      <c r="E563" s="1">
        <v>247833</v>
      </c>
      <c r="F563" s="1">
        <v>247833</v>
      </c>
      <c r="G563" s="8">
        <v>42623.041666666664</v>
      </c>
      <c r="H563" s="1" t="s">
        <v>36</v>
      </c>
      <c r="I563" s="1">
        <v>1</v>
      </c>
      <c r="J563" s="1">
        <v>1</v>
      </c>
      <c r="K563" s="1">
        <v>0</v>
      </c>
      <c r="L563" s="1" t="s">
        <v>43</v>
      </c>
      <c r="M563" s="1">
        <v>0</v>
      </c>
      <c r="N563" s="1">
        <v>4</v>
      </c>
      <c r="O563" s="1">
        <v>0</v>
      </c>
      <c r="P563" s="11" t="str">
        <f t="shared" si="8"/>
        <v>胜</v>
      </c>
      <c r="Q563" s="11" t="str">
        <f t="shared" si="8"/>
        <v>负</v>
      </c>
    </row>
    <row r="564" spans="4:17" customFormat="1" hidden="1" x14ac:dyDescent="0.15">
      <c r="D564" t="s">
        <v>6</v>
      </c>
      <c r="E564" s="1">
        <v>247834</v>
      </c>
      <c r="F564" s="1">
        <v>247834</v>
      </c>
      <c r="G564" s="8">
        <v>42623.895138888889</v>
      </c>
      <c r="H564" s="1" t="s">
        <v>49</v>
      </c>
      <c r="I564" s="1">
        <v>0</v>
      </c>
      <c r="J564" s="1">
        <v>1</v>
      </c>
      <c r="K564" s="1">
        <v>0</v>
      </c>
      <c r="L564" s="1" t="s">
        <v>40</v>
      </c>
      <c r="M564" s="1">
        <v>0</v>
      </c>
      <c r="N564" s="1">
        <v>1</v>
      </c>
      <c r="O564" s="1">
        <v>0</v>
      </c>
      <c r="P564" s="11" t="str">
        <f t="shared" si="8"/>
        <v>平</v>
      </c>
      <c r="Q564" s="11" t="str">
        <f t="shared" si="8"/>
        <v>平</v>
      </c>
    </row>
    <row r="565" spans="4:17" customFormat="1" hidden="1" x14ac:dyDescent="0.15">
      <c r="D565" t="s">
        <v>6</v>
      </c>
      <c r="E565" s="1">
        <v>247835</v>
      </c>
      <c r="F565" s="1">
        <v>247835</v>
      </c>
      <c r="G565" s="8">
        <v>42624.000694444447</v>
      </c>
      <c r="H565" s="1" t="s">
        <v>46</v>
      </c>
      <c r="I565" s="1">
        <v>0</v>
      </c>
      <c r="J565" s="1">
        <v>0</v>
      </c>
      <c r="K565" s="1">
        <v>0</v>
      </c>
      <c r="L565" s="1" t="s">
        <v>45</v>
      </c>
      <c r="M565" s="1">
        <v>0</v>
      </c>
      <c r="N565" s="1">
        <v>0</v>
      </c>
      <c r="O565" s="1">
        <v>0</v>
      </c>
      <c r="P565" s="11" t="str">
        <f t="shared" si="8"/>
        <v>平</v>
      </c>
      <c r="Q565" s="11" t="str">
        <f t="shared" si="8"/>
        <v>平</v>
      </c>
    </row>
    <row r="566" spans="4:17" customFormat="1" hidden="1" x14ac:dyDescent="0.15">
      <c r="D566" t="s">
        <v>6</v>
      </c>
      <c r="E566" s="1">
        <v>247836</v>
      </c>
      <c r="F566" s="1">
        <v>247836</v>
      </c>
      <c r="G566" s="8">
        <v>42624.895833333336</v>
      </c>
      <c r="H566" s="1" t="s">
        <v>53</v>
      </c>
      <c r="I566" s="1">
        <v>2</v>
      </c>
      <c r="J566" s="1">
        <v>2</v>
      </c>
      <c r="K566" s="1">
        <v>0</v>
      </c>
      <c r="L566" s="1" t="s">
        <v>35</v>
      </c>
      <c r="M566" s="1">
        <v>0</v>
      </c>
      <c r="N566" s="1">
        <v>0</v>
      </c>
      <c r="O566" s="1">
        <v>0</v>
      </c>
      <c r="P566" s="11" t="str">
        <f t="shared" si="8"/>
        <v>胜</v>
      </c>
      <c r="Q566" s="11" t="str">
        <f t="shared" si="8"/>
        <v>胜</v>
      </c>
    </row>
    <row r="567" spans="4:17" customFormat="1" hidden="1" x14ac:dyDescent="0.15">
      <c r="D567" t="s">
        <v>6</v>
      </c>
      <c r="E567" s="1">
        <v>247837</v>
      </c>
      <c r="F567" s="1">
        <v>247837</v>
      </c>
      <c r="G567" s="8">
        <v>42625</v>
      </c>
      <c r="H567" s="1" t="s">
        <v>44</v>
      </c>
      <c r="I567" s="1">
        <v>1</v>
      </c>
      <c r="J567" s="1">
        <v>2</v>
      </c>
      <c r="K567" s="1">
        <v>0</v>
      </c>
      <c r="L567" s="1" t="s">
        <v>54</v>
      </c>
      <c r="M567" s="1">
        <v>1</v>
      </c>
      <c r="N567" s="1">
        <v>4</v>
      </c>
      <c r="O567" s="1">
        <v>0</v>
      </c>
      <c r="P567" s="11" t="str">
        <f t="shared" si="8"/>
        <v>平</v>
      </c>
      <c r="Q567" s="11" t="str">
        <f t="shared" si="8"/>
        <v>负</v>
      </c>
    </row>
    <row r="568" spans="4:17" customFormat="1" hidden="1" x14ac:dyDescent="0.15">
      <c r="D568" t="s">
        <v>6</v>
      </c>
      <c r="E568" s="1">
        <v>247838</v>
      </c>
      <c r="F568" s="1">
        <v>247838</v>
      </c>
      <c r="G568" s="8">
        <v>42625</v>
      </c>
      <c r="H568" s="1" t="s">
        <v>41</v>
      </c>
      <c r="I568" s="1">
        <v>1</v>
      </c>
      <c r="J568" s="1">
        <v>1</v>
      </c>
      <c r="K568" s="1">
        <v>0</v>
      </c>
      <c r="L568" s="1" t="s">
        <v>32</v>
      </c>
      <c r="M568" s="1">
        <v>1</v>
      </c>
      <c r="N568" s="1">
        <v>2</v>
      </c>
      <c r="O568" s="1">
        <v>0</v>
      </c>
      <c r="P568" s="11" t="str">
        <f t="shared" si="8"/>
        <v>平</v>
      </c>
      <c r="Q568" s="11" t="str">
        <f t="shared" si="8"/>
        <v>负</v>
      </c>
    </row>
    <row r="569" spans="4:17" customFormat="1" hidden="1" x14ac:dyDescent="0.15">
      <c r="D569" t="s">
        <v>6</v>
      </c>
      <c r="E569" s="1">
        <v>247839</v>
      </c>
      <c r="F569" s="1">
        <v>247839</v>
      </c>
      <c r="G569" s="8">
        <v>42625.000694444447</v>
      </c>
      <c r="H569" s="1" t="s">
        <v>42</v>
      </c>
      <c r="I569" s="1">
        <v>0</v>
      </c>
      <c r="J569" s="1">
        <v>0</v>
      </c>
      <c r="K569" s="1">
        <v>0</v>
      </c>
      <c r="L569" s="1" t="s">
        <v>37</v>
      </c>
      <c r="M569" s="1">
        <v>0</v>
      </c>
      <c r="N569" s="1">
        <v>2</v>
      </c>
      <c r="O569" s="1">
        <v>0</v>
      </c>
      <c r="P569" s="11" t="str">
        <f t="shared" si="8"/>
        <v>平</v>
      </c>
      <c r="Q569" s="11" t="str">
        <f t="shared" si="8"/>
        <v>负</v>
      </c>
    </row>
    <row r="570" spans="4:17" customFormat="1" hidden="1" x14ac:dyDescent="0.15">
      <c r="D570" t="s">
        <v>6</v>
      </c>
      <c r="E570" s="1">
        <v>247840</v>
      </c>
      <c r="F570" s="1">
        <v>247840</v>
      </c>
      <c r="G570" s="8">
        <v>42625.083333333336</v>
      </c>
      <c r="H570" s="1" t="s">
        <v>38</v>
      </c>
      <c r="I570" s="1">
        <v>0</v>
      </c>
      <c r="J570" s="1">
        <v>0</v>
      </c>
      <c r="K570" s="1">
        <v>0</v>
      </c>
      <c r="L570" s="1" t="s">
        <v>48</v>
      </c>
      <c r="M570" s="1">
        <v>0</v>
      </c>
      <c r="N570" s="1">
        <v>0</v>
      </c>
      <c r="O570" s="1">
        <v>0</v>
      </c>
      <c r="P570" s="11" t="str">
        <f t="shared" si="8"/>
        <v>平</v>
      </c>
      <c r="Q570" s="11" t="str">
        <f t="shared" si="8"/>
        <v>平</v>
      </c>
    </row>
    <row r="571" spans="4:17" customFormat="1" hidden="1" x14ac:dyDescent="0.15">
      <c r="D571" t="s">
        <v>6</v>
      </c>
      <c r="E571" s="1">
        <v>252905</v>
      </c>
      <c r="F571" s="1">
        <v>252905</v>
      </c>
      <c r="G571" s="8">
        <v>42630.040972222225</v>
      </c>
      <c r="H571" s="1" t="s">
        <v>48</v>
      </c>
      <c r="I571" s="1">
        <v>1</v>
      </c>
      <c r="J571" s="1">
        <v>1</v>
      </c>
      <c r="K571" s="1">
        <v>0</v>
      </c>
      <c r="L571" s="1" t="s">
        <v>49</v>
      </c>
      <c r="M571" s="1">
        <v>0</v>
      </c>
      <c r="N571" s="1">
        <v>1</v>
      </c>
      <c r="O571" s="1">
        <v>0</v>
      </c>
      <c r="P571" s="11" t="str">
        <f t="shared" si="8"/>
        <v>胜</v>
      </c>
      <c r="Q571" s="11" t="str">
        <f t="shared" si="8"/>
        <v>平</v>
      </c>
    </row>
    <row r="572" spans="4:17" customFormat="1" hidden="1" x14ac:dyDescent="0.15">
      <c r="D572" t="s">
        <v>6</v>
      </c>
      <c r="E572" s="1">
        <v>252906</v>
      </c>
      <c r="F572" s="1">
        <v>252906</v>
      </c>
      <c r="G572" s="8">
        <v>42630.895833333336</v>
      </c>
      <c r="H572" s="1" t="s">
        <v>53</v>
      </c>
      <c r="I572" s="1">
        <v>1</v>
      </c>
      <c r="J572" s="1">
        <v>2</v>
      </c>
      <c r="K572" s="1">
        <v>0</v>
      </c>
      <c r="L572" s="1" t="s">
        <v>44</v>
      </c>
      <c r="M572" s="1">
        <v>0</v>
      </c>
      <c r="N572" s="1">
        <v>1</v>
      </c>
      <c r="O572" s="1">
        <v>0</v>
      </c>
      <c r="P572" s="11" t="str">
        <f t="shared" si="8"/>
        <v>胜</v>
      </c>
      <c r="Q572" s="11" t="str">
        <f t="shared" si="8"/>
        <v>胜</v>
      </c>
    </row>
    <row r="573" spans="4:17" customFormat="1" hidden="1" x14ac:dyDescent="0.15">
      <c r="D573" t="s">
        <v>6</v>
      </c>
      <c r="E573" s="1">
        <v>252907</v>
      </c>
      <c r="F573" s="1">
        <v>252907</v>
      </c>
      <c r="G573" s="8">
        <v>42631</v>
      </c>
      <c r="H573" s="1" t="s">
        <v>45</v>
      </c>
      <c r="I573" s="1">
        <v>1</v>
      </c>
      <c r="J573" s="1">
        <v>1</v>
      </c>
      <c r="K573" s="1">
        <v>0</v>
      </c>
      <c r="L573" s="1" t="s">
        <v>38</v>
      </c>
      <c r="M573" s="1">
        <v>0</v>
      </c>
      <c r="N573" s="1">
        <v>0</v>
      </c>
      <c r="O573" s="1">
        <v>0</v>
      </c>
      <c r="P573" s="11" t="str">
        <f t="shared" si="8"/>
        <v>胜</v>
      </c>
      <c r="Q573" s="11" t="str">
        <f t="shared" si="8"/>
        <v>胜</v>
      </c>
    </row>
    <row r="574" spans="4:17" customFormat="1" hidden="1" x14ac:dyDescent="0.15">
      <c r="D574" t="s">
        <v>6</v>
      </c>
      <c r="E574" s="1">
        <v>252908</v>
      </c>
      <c r="F574" s="1">
        <v>252908</v>
      </c>
      <c r="G574" s="8">
        <v>42631.895833333336</v>
      </c>
      <c r="H574" s="1" t="s">
        <v>35</v>
      </c>
      <c r="I574" s="1">
        <v>1</v>
      </c>
      <c r="J574" s="1">
        <v>3</v>
      </c>
      <c r="K574" s="1">
        <v>0</v>
      </c>
      <c r="L574" s="1" t="s">
        <v>41</v>
      </c>
      <c r="M574" s="1">
        <v>0</v>
      </c>
      <c r="N574" s="1">
        <v>0</v>
      </c>
      <c r="O574" s="1">
        <v>0</v>
      </c>
      <c r="P574" s="11" t="str">
        <f t="shared" si="8"/>
        <v>胜</v>
      </c>
      <c r="Q574" s="11" t="str">
        <f t="shared" si="8"/>
        <v>胜</v>
      </c>
    </row>
    <row r="575" spans="4:17" customFormat="1" hidden="1" x14ac:dyDescent="0.15">
      <c r="D575" t="s">
        <v>6</v>
      </c>
      <c r="E575" s="1">
        <v>252909</v>
      </c>
      <c r="F575" s="1">
        <v>252909</v>
      </c>
      <c r="G575" s="8">
        <v>42632</v>
      </c>
      <c r="H575" s="1" t="s">
        <v>43</v>
      </c>
      <c r="I575" s="1">
        <v>1</v>
      </c>
      <c r="J575" s="1">
        <v>4</v>
      </c>
      <c r="K575" s="1">
        <v>0</v>
      </c>
      <c r="L575" s="1" t="s">
        <v>40</v>
      </c>
      <c r="M575" s="1">
        <v>1</v>
      </c>
      <c r="N575" s="1">
        <v>2</v>
      </c>
      <c r="O575" s="1">
        <v>0</v>
      </c>
      <c r="P575" s="11" t="str">
        <f t="shared" si="8"/>
        <v>平</v>
      </c>
      <c r="Q575" s="11" t="str">
        <f t="shared" si="8"/>
        <v>胜</v>
      </c>
    </row>
    <row r="576" spans="4:17" hidden="1" x14ac:dyDescent="0.15">
      <c r="D576" s="2" t="s">
        <v>6</v>
      </c>
      <c r="E576" s="6">
        <v>252910</v>
      </c>
      <c r="F576" s="6">
        <v>252910</v>
      </c>
      <c r="G576" s="24">
        <v>42632.003472222219</v>
      </c>
      <c r="H576" s="6" t="s">
        <v>32</v>
      </c>
      <c r="I576" s="6">
        <v>1</v>
      </c>
      <c r="J576" s="6">
        <v>1</v>
      </c>
      <c r="K576" s="6">
        <v>0</v>
      </c>
      <c r="L576" s="6" t="s">
        <v>46</v>
      </c>
      <c r="M576" s="6">
        <v>1</v>
      </c>
      <c r="N576" s="6">
        <v>3</v>
      </c>
      <c r="O576" s="6">
        <v>0</v>
      </c>
      <c r="P576" s="11" t="str">
        <f t="shared" si="8"/>
        <v>平</v>
      </c>
      <c r="Q576" s="11" t="str">
        <f t="shared" si="8"/>
        <v>负</v>
      </c>
    </row>
    <row r="577" spans="4:17" customFormat="1" hidden="1" x14ac:dyDescent="0.15">
      <c r="D577" t="s">
        <v>6</v>
      </c>
      <c r="E577" s="1">
        <v>252911</v>
      </c>
      <c r="F577" s="1">
        <v>252911</v>
      </c>
      <c r="G577" s="8">
        <v>42632</v>
      </c>
      <c r="H577" s="1" t="s">
        <v>54</v>
      </c>
      <c r="I577" s="1">
        <v>0</v>
      </c>
      <c r="J577" s="1">
        <v>0</v>
      </c>
      <c r="K577" s="1">
        <v>0</v>
      </c>
      <c r="L577" s="1" t="s">
        <v>42</v>
      </c>
      <c r="M577" s="1">
        <v>0</v>
      </c>
      <c r="N577" s="1">
        <v>1</v>
      </c>
      <c r="O577" s="1">
        <v>0</v>
      </c>
      <c r="P577" s="11" t="str">
        <f t="shared" si="8"/>
        <v>平</v>
      </c>
      <c r="Q577" s="11" t="str">
        <f t="shared" si="8"/>
        <v>负</v>
      </c>
    </row>
    <row r="578" spans="4:17" customFormat="1" hidden="1" x14ac:dyDescent="0.15">
      <c r="D578" t="s">
        <v>6</v>
      </c>
      <c r="E578" s="1">
        <v>252932</v>
      </c>
      <c r="F578" s="1">
        <v>252932</v>
      </c>
      <c r="G578" s="8">
        <v>42632.099305555559</v>
      </c>
      <c r="H578" s="1" t="s">
        <v>37</v>
      </c>
      <c r="I578" s="1">
        <v>0</v>
      </c>
      <c r="J578" s="1">
        <v>2</v>
      </c>
      <c r="K578" s="1">
        <v>0</v>
      </c>
      <c r="L578" s="1" t="s">
        <v>36</v>
      </c>
      <c r="M578" s="1">
        <v>0</v>
      </c>
      <c r="N578" s="1">
        <v>0</v>
      </c>
      <c r="O578" s="1">
        <v>0</v>
      </c>
      <c r="P578" s="11" t="str">
        <f t="shared" si="8"/>
        <v>平</v>
      </c>
      <c r="Q578" s="11" t="str">
        <f t="shared" si="8"/>
        <v>胜</v>
      </c>
    </row>
    <row r="579" spans="4:17" customFormat="1" hidden="1" x14ac:dyDescent="0.15">
      <c r="D579" t="s">
        <v>6</v>
      </c>
      <c r="E579" s="1">
        <v>255727</v>
      </c>
      <c r="F579" s="1">
        <v>255727</v>
      </c>
      <c r="G579" s="8">
        <v>42637.895833333336</v>
      </c>
      <c r="H579" s="1" t="s">
        <v>41</v>
      </c>
      <c r="I579" s="1">
        <v>1</v>
      </c>
      <c r="J579" s="1">
        <v>1</v>
      </c>
      <c r="K579" s="1">
        <v>0</v>
      </c>
      <c r="L579" s="1" t="s">
        <v>45</v>
      </c>
      <c r="M579" s="1">
        <v>0</v>
      </c>
      <c r="N579" s="1">
        <v>0</v>
      </c>
      <c r="O579" s="1">
        <v>0</v>
      </c>
      <c r="P579" s="11" t="str">
        <f t="shared" si="8"/>
        <v>胜</v>
      </c>
      <c r="Q579" s="11" t="str">
        <f t="shared" si="8"/>
        <v>胜</v>
      </c>
    </row>
    <row r="580" spans="4:17" customFormat="1" hidden="1" x14ac:dyDescent="0.15">
      <c r="D580" t="s">
        <v>6</v>
      </c>
      <c r="E580" s="1">
        <v>255728</v>
      </c>
      <c r="F580" s="1">
        <v>255728</v>
      </c>
      <c r="G580" s="8">
        <v>42638</v>
      </c>
      <c r="H580" s="1" t="s">
        <v>38</v>
      </c>
      <c r="I580" s="1">
        <v>1</v>
      </c>
      <c r="J580" s="1">
        <v>1</v>
      </c>
      <c r="K580" s="1">
        <v>0</v>
      </c>
      <c r="L580" s="1" t="s">
        <v>37</v>
      </c>
      <c r="M580" s="1">
        <v>0</v>
      </c>
      <c r="N580" s="1">
        <v>3</v>
      </c>
      <c r="O580" s="1">
        <v>0</v>
      </c>
      <c r="P580" s="11" t="str">
        <f t="shared" si="8"/>
        <v>胜</v>
      </c>
      <c r="Q580" s="11" t="str">
        <f t="shared" si="8"/>
        <v>负</v>
      </c>
    </row>
    <row r="581" spans="4:17" customFormat="1" hidden="1" x14ac:dyDescent="0.15">
      <c r="D581" t="s">
        <v>6</v>
      </c>
      <c r="E581" s="1">
        <v>255729</v>
      </c>
      <c r="F581" s="1">
        <v>255729</v>
      </c>
      <c r="G581" s="8">
        <v>42638.895833333336</v>
      </c>
      <c r="H581" s="1" t="s">
        <v>44</v>
      </c>
      <c r="I581" s="1">
        <v>0</v>
      </c>
      <c r="J581" s="1">
        <v>1</v>
      </c>
      <c r="K581" s="1">
        <v>0</v>
      </c>
      <c r="L581" s="1" t="s">
        <v>35</v>
      </c>
      <c r="M581" s="1">
        <v>0</v>
      </c>
      <c r="N581" s="1">
        <v>2</v>
      </c>
      <c r="O581" s="1">
        <v>0</v>
      </c>
      <c r="P581" s="11" t="str">
        <f t="shared" si="8"/>
        <v>平</v>
      </c>
      <c r="Q581" s="11" t="str">
        <f t="shared" si="8"/>
        <v>负</v>
      </c>
    </row>
    <row r="582" spans="4:17" customFormat="1" hidden="1" x14ac:dyDescent="0.15">
      <c r="D582" t="s">
        <v>6</v>
      </c>
      <c r="E582" s="1">
        <v>255730</v>
      </c>
      <c r="F582" s="1">
        <v>255730</v>
      </c>
      <c r="G582" s="8">
        <v>42639</v>
      </c>
      <c r="H582" s="1" t="s">
        <v>40</v>
      </c>
      <c r="I582" s="1">
        <v>1</v>
      </c>
      <c r="J582" s="1">
        <v>1</v>
      </c>
      <c r="K582" s="1">
        <v>0</v>
      </c>
      <c r="L582" s="1" t="s">
        <v>54</v>
      </c>
      <c r="M582" s="1">
        <v>1</v>
      </c>
      <c r="N582" s="1">
        <v>1</v>
      </c>
      <c r="O582" s="1">
        <v>0</v>
      </c>
      <c r="P582" s="11" t="str">
        <f t="shared" si="8"/>
        <v>平</v>
      </c>
      <c r="Q582" s="11" t="str">
        <f t="shared" si="8"/>
        <v>平</v>
      </c>
    </row>
    <row r="583" spans="4:17" customFormat="1" x14ac:dyDescent="0.15">
      <c r="D583" t="s">
        <v>6</v>
      </c>
      <c r="E583" s="1">
        <v>255731</v>
      </c>
      <c r="F583" s="1">
        <v>255731</v>
      </c>
      <c r="G583" s="8">
        <v>42639</v>
      </c>
      <c r="H583" s="1" t="s">
        <v>36</v>
      </c>
      <c r="I583" s="1">
        <v>0</v>
      </c>
      <c r="J583" s="1">
        <v>1</v>
      </c>
      <c r="K583" s="1">
        <v>0</v>
      </c>
      <c r="L583" s="1" t="s">
        <v>48</v>
      </c>
      <c r="M583" s="1">
        <v>0</v>
      </c>
      <c r="N583" s="1">
        <v>0</v>
      </c>
      <c r="O583" s="1">
        <v>0</v>
      </c>
      <c r="P583" s="11" t="str">
        <f t="shared" si="8"/>
        <v>平</v>
      </c>
      <c r="Q583" s="11" t="str">
        <f t="shared" si="8"/>
        <v>胜</v>
      </c>
    </row>
    <row r="584" spans="4:17" customFormat="1" hidden="1" x14ac:dyDescent="0.15">
      <c r="D584" t="s">
        <v>6</v>
      </c>
      <c r="E584" s="1">
        <v>255732</v>
      </c>
      <c r="F584" s="1">
        <v>255732</v>
      </c>
      <c r="G584" s="8">
        <v>42638.999305555553</v>
      </c>
      <c r="H584" s="1" t="s">
        <v>49</v>
      </c>
      <c r="I584" s="1">
        <v>0</v>
      </c>
      <c r="J584" s="1">
        <v>0</v>
      </c>
      <c r="K584" s="1">
        <v>0</v>
      </c>
      <c r="L584" s="1" t="s">
        <v>43</v>
      </c>
      <c r="M584" s="1">
        <v>1</v>
      </c>
      <c r="N584" s="1">
        <v>1</v>
      </c>
      <c r="O584" s="1">
        <v>0</v>
      </c>
      <c r="P584" s="11" t="str">
        <f t="shared" si="8"/>
        <v>负</v>
      </c>
      <c r="Q584" s="11" t="str">
        <f t="shared" si="8"/>
        <v>负</v>
      </c>
    </row>
    <row r="585" spans="4:17" customFormat="1" hidden="1" x14ac:dyDescent="0.15">
      <c r="D585" t="s">
        <v>6</v>
      </c>
      <c r="E585" s="1">
        <v>255733</v>
      </c>
      <c r="F585" s="1">
        <v>255733</v>
      </c>
      <c r="G585" s="8">
        <v>42639.083333333336</v>
      </c>
      <c r="H585" s="1" t="s">
        <v>46</v>
      </c>
      <c r="I585" s="1">
        <v>1</v>
      </c>
      <c r="J585" s="1">
        <v>1</v>
      </c>
      <c r="K585" s="1">
        <v>0</v>
      </c>
      <c r="L585" s="1" t="s">
        <v>53</v>
      </c>
      <c r="M585" s="1">
        <v>0</v>
      </c>
      <c r="N585" s="1">
        <v>0</v>
      </c>
      <c r="O585" s="1">
        <v>0</v>
      </c>
      <c r="P585" s="11" t="str">
        <f t="shared" si="8"/>
        <v>胜</v>
      </c>
      <c r="Q585" s="11" t="str">
        <f t="shared" si="8"/>
        <v>胜</v>
      </c>
    </row>
    <row r="586" spans="4:17" customFormat="1" hidden="1" x14ac:dyDescent="0.15">
      <c r="D586" t="s">
        <v>6</v>
      </c>
      <c r="E586" s="1">
        <v>255734</v>
      </c>
      <c r="F586" s="1">
        <v>255734</v>
      </c>
      <c r="G586" s="8">
        <v>42640.041666666664</v>
      </c>
      <c r="H586" s="1" t="s">
        <v>42</v>
      </c>
      <c r="I586" s="1">
        <v>0</v>
      </c>
      <c r="J586" s="1">
        <v>1</v>
      </c>
      <c r="K586" s="1">
        <v>0</v>
      </c>
      <c r="L586" s="1" t="s">
        <v>32</v>
      </c>
      <c r="M586" s="1">
        <v>0</v>
      </c>
      <c r="N586" s="1">
        <v>0</v>
      </c>
      <c r="O586" s="1">
        <v>0</v>
      </c>
      <c r="P586" s="11" t="str">
        <f t="shared" si="8"/>
        <v>平</v>
      </c>
      <c r="Q586" s="11" t="str">
        <f t="shared" si="8"/>
        <v>胜</v>
      </c>
    </row>
    <row r="587" spans="4:17" hidden="1" x14ac:dyDescent="0.15">
      <c r="D587" s="2" t="s">
        <v>6</v>
      </c>
      <c r="E587" s="6">
        <v>258649</v>
      </c>
      <c r="F587" s="6">
        <v>258649</v>
      </c>
      <c r="G587" s="24">
        <v>42644.041666666664</v>
      </c>
      <c r="H587" s="6" t="s">
        <v>32</v>
      </c>
      <c r="I587" s="6">
        <v>0</v>
      </c>
      <c r="J587" s="6">
        <v>4</v>
      </c>
      <c r="K587" s="6">
        <v>0</v>
      </c>
      <c r="L587" s="6" t="s">
        <v>40</v>
      </c>
      <c r="M587" s="6">
        <v>1</v>
      </c>
      <c r="N587" s="6">
        <v>2</v>
      </c>
      <c r="O587" s="6">
        <v>0</v>
      </c>
      <c r="P587" s="11" t="str">
        <f t="shared" si="8"/>
        <v>负</v>
      </c>
      <c r="Q587" s="11" t="str">
        <f t="shared" si="8"/>
        <v>胜</v>
      </c>
    </row>
    <row r="588" spans="4:17" customFormat="1" hidden="1" x14ac:dyDescent="0.15">
      <c r="D588" t="s">
        <v>6</v>
      </c>
      <c r="E588" s="1">
        <v>258650</v>
      </c>
      <c r="F588" s="1">
        <v>258650</v>
      </c>
      <c r="G588" s="8">
        <v>42644.895833333336</v>
      </c>
      <c r="H588" s="1" t="s">
        <v>42</v>
      </c>
      <c r="I588" s="1">
        <v>0</v>
      </c>
      <c r="J588" s="1">
        <v>1</v>
      </c>
      <c r="K588" s="1">
        <v>0</v>
      </c>
      <c r="L588" s="1" t="s">
        <v>44</v>
      </c>
      <c r="M588" s="1">
        <v>1</v>
      </c>
      <c r="N588" s="1">
        <v>2</v>
      </c>
      <c r="O588" s="1">
        <v>0</v>
      </c>
      <c r="P588" s="11" t="str">
        <f t="shared" si="8"/>
        <v>负</v>
      </c>
      <c r="Q588" s="11" t="str">
        <f t="shared" si="8"/>
        <v>负</v>
      </c>
    </row>
    <row r="589" spans="4:17" customFormat="1" hidden="1" x14ac:dyDescent="0.15">
      <c r="D589" t="s">
        <v>6</v>
      </c>
      <c r="E589" s="1">
        <v>258651</v>
      </c>
      <c r="F589" s="1">
        <v>258651</v>
      </c>
      <c r="G589" s="8">
        <v>42645</v>
      </c>
      <c r="H589" s="1" t="s">
        <v>35</v>
      </c>
      <c r="I589" s="1">
        <v>0</v>
      </c>
      <c r="J589" s="1">
        <v>0</v>
      </c>
      <c r="K589" s="1">
        <v>0</v>
      </c>
      <c r="L589" s="1" t="s">
        <v>46</v>
      </c>
      <c r="M589" s="1">
        <v>0</v>
      </c>
      <c r="N589" s="1">
        <v>0</v>
      </c>
      <c r="O589" s="1">
        <v>0</v>
      </c>
      <c r="P589" s="11" t="str">
        <f t="shared" ref="P589:Q652" si="9">IF(I589=M589,"平",IF(I589&gt;M589,"胜","负"))</f>
        <v>平</v>
      </c>
      <c r="Q589" s="11" t="str">
        <f t="shared" si="9"/>
        <v>平</v>
      </c>
    </row>
    <row r="590" spans="4:17" customFormat="1" hidden="1" x14ac:dyDescent="0.15">
      <c r="D590" t="s">
        <v>6</v>
      </c>
      <c r="E590" s="1">
        <v>258652</v>
      </c>
      <c r="F590" s="1">
        <v>258652</v>
      </c>
      <c r="G590" s="8">
        <v>42645.895138888889</v>
      </c>
      <c r="H590" s="1" t="s">
        <v>48</v>
      </c>
      <c r="I590" s="1">
        <v>0</v>
      </c>
      <c r="J590" s="1">
        <v>1</v>
      </c>
      <c r="K590" s="1">
        <v>0</v>
      </c>
      <c r="L590" s="1" t="s">
        <v>41</v>
      </c>
      <c r="M590" s="1">
        <v>0</v>
      </c>
      <c r="N590" s="1">
        <v>1</v>
      </c>
      <c r="O590" s="1">
        <v>0</v>
      </c>
      <c r="P590" s="11" t="str">
        <f t="shared" si="9"/>
        <v>平</v>
      </c>
      <c r="Q590" s="11" t="str">
        <f t="shared" si="9"/>
        <v>平</v>
      </c>
    </row>
    <row r="591" spans="4:17" customFormat="1" hidden="1" x14ac:dyDescent="0.15">
      <c r="D591" t="s">
        <v>6</v>
      </c>
      <c r="E591" s="1">
        <v>258653</v>
      </c>
      <c r="F591" s="1">
        <v>258653</v>
      </c>
      <c r="G591" s="8">
        <v>42645.999305555553</v>
      </c>
      <c r="H591" s="1" t="s">
        <v>43</v>
      </c>
      <c r="I591" s="1">
        <v>0</v>
      </c>
      <c r="J591" s="1">
        <v>1</v>
      </c>
      <c r="K591" s="1">
        <v>0</v>
      </c>
      <c r="L591" s="1" t="s">
        <v>54</v>
      </c>
      <c r="M591" s="1">
        <v>0</v>
      </c>
      <c r="N591" s="1">
        <v>0</v>
      </c>
      <c r="O591" s="1">
        <v>0</v>
      </c>
      <c r="P591" s="11" t="str">
        <f t="shared" si="9"/>
        <v>平</v>
      </c>
      <c r="Q591" s="11" t="str">
        <f t="shared" si="9"/>
        <v>胜</v>
      </c>
    </row>
    <row r="592" spans="4:17" customFormat="1" hidden="1" x14ac:dyDescent="0.15">
      <c r="D592" t="s">
        <v>6</v>
      </c>
      <c r="E592" s="1">
        <v>258654</v>
      </c>
      <c r="F592" s="1">
        <v>258654</v>
      </c>
      <c r="G592" s="8">
        <v>42646</v>
      </c>
      <c r="H592" s="1" t="s">
        <v>37</v>
      </c>
      <c r="I592" s="1">
        <v>3</v>
      </c>
      <c r="J592" s="1">
        <v>3</v>
      </c>
      <c r="K592" s="1">
        <v>0</v>
      </c>
      <c r="L592" s="1" t="s">
        <v>49</v>
      </c>
      <c r="M592" s="1">
        <v>1</v>
      </c>
      <c r="N592" s="1">
        <v>1</v>
      </c>
      <c r="O592" s="1">
        <v>0</v>
      </c>
      <c r="P592" s="11" t="str">
        <f t="shared" si="9"/>
        <v>胜</v>
      </c>
      <c r="Q592" s="11" t="str">
        <f t="shared" si="9"/>
        <v>胜</v>
      </c>
    </row>
    <row r="593" spans="4:17" customFormat="1" hidden="1" x14ac:dyDescent="0.15">
      <c r="D593" t="s">
        <v>6</v>
      </c>
      <c r="E593" s="1">
        <v>258655</v>
      </c>
      <c r="F593" s="1">
        <v>258655</v>
      </c>
      <c r="G593" s="8">
        <v>42645.999305555553</v>
      </c>
      <c r="H593" s="1" t="s">
        <v>53</v>
      </c>
      <c r="I593" s="1">
        <v>0</v>
      </c>
      <c r="J593" s="1">
        <v>0</v>
      </c>
      <c r="K593" s="1">
        <v>0</v>
      </c>
      <c r="L593" s="1" t="s">
        <v>38</v>
      </c>
      <c r="M593" s="1">
        <v>0</v>
      </c>
      <c r="N593" s="1">
        <v>2</v>
      </c>
      <c r="O593" s="1">
        <v>0</v>
      </c>
      <c r="P593" s="11" t="str">
        <f t="shared" si="9"/>
        <v>平</v>
      </c>
      <c r="Q593" s="11" t="str">
        <f t="shared" si="9"/>
        <v>负</v>
      </c>
    </row>
    <row r="594" spans="4:17" customFormat="1" hidden="1" x14ac:dyDescent="0.15">
      <c r="D594" t="s">
        <v>6</v>
      </c>
      <c r="E594" s="1">
        <v>258656</v>
      </c>
      <c r="F594" s="1">
        <v>258656</v>
      </c>
      <c r="G594" s="8">
        <v>42646.083333333336</v>
      </c>
      <c r="H594" s="1" t="s">
        <v>45</v>
      </c>
      <c r="I594" s="1">
        <v>1</v>
      </c>
      <c r="J594" s="1">
        <v>2</v>
      </c>
      <c r="K594" s="1">
        <v>0</v>
      </c>
      <c r="L594" s="1" t="s">
        <v>36</v>
      </c>
      <c r="M594" s="1">
        <v>0</v>
      </c>
      <c r="N594" s="1">
        <v>0</v>
      </c>
      <c r="O594" s="1">
        <v>0</v>
      </c>
      <c r="P594" s="11" t="str">
        <f t="shared" si="9"/>
        <v>胜</v>
      </c>
      <c r="Q594" s="11" t="str">
        <f t="shared" si="9"/>
        <v>胜</v>
      </c>
    </row>
    <row r="595" spans="4:17" customFormat="1" hidden="1" x14ac:dyDescent="0.15">
      <c r="D595" t="s">
        <v>6</v>
      </c>
      <c r="E595" s="1">
        <v>261020</v>
      </c>
      <c r="F595" s="1">
        <v>261020</v>
      </c>
      <c r="G595" s="8">
        <v>42658.041666666664</v>
      </c>
      <c r="H595" s="1" t="s">
        <v>40</v>
      </c>
      <c r="I595" s="1">
        <v>1</v>
      </c>
      <c r="J595" s="1">
        <v>1</v>
      </c>
      <c r="K595" s="1">
        <v>0</v>
      </c>
      <c r="L595" s="1" t="s">
        <v>45</v>
      </c>
      <c r="M595" s="1">
        <v>0</v>
      </c>
      <c r="N595" s="1">
        <v>1</v>
      </c>
      <c r="O595" s="1">
        <v>0</v>
      </c>
      <c r="P595" s="11" t="str">
        <f t="shared" si="9"/>
        <v>胜</v>
      </c>
      <c r="Q595" s="11" t="str">
        <f t="shared" si="9"/>
        <v>平</v>
      </c>
    </row>
    <row r="596" spans="4:17" customFormat="1" hidden="1" x14ac:dyDescent="0.15">
      <c r="D596" t="s">
        <v>6</v>
      </c>
      <c r="E596" s="1">
        <v>261021</v>
      </c>
      <c r="F596" s="1">
        <v>261021</v>
      </c>
      <c r="G596" s="8">
        <v>42658.895833333336</v>
      </c>
      <c r="H596" s="1" t="s">
        <v>43</v>
      </c>
      <c r="I596" s="1">
        <v>0</v>
      </c>
      <c r="J596" s="1">
        <v>1</v>
      </c>
      <c r="K596" s="1">
        <v>0</v>
      </c>
      <c r="L596" s="1" t="s">
        <v>32</v>
      </c>
      <c r="M596" s="1">
        <v>0</v>
      </c>
      <c r="N596" s="1">
        <v>0</v>
      </c>
      <c r="O596" s="1">
        <v>0</v>
      </c>
      <c r="P596" s="11" t="str">
        <f t="shared" si="9"/>
        <v>平</v>
      </c>
      <c r="Q596" s="11" t="str">
        <f t="shared" si="9"/>
        <v>胜</v>
      </c>
    </row>
    <row r="597" spans="4:17" customFormat="1" hidden="1" x14ac:dyDescent="0.15">
      <c r="D597" t="s">
        <v>6</v>
      </c>
      <c r="E597" s="1">
        <v>261022</v>
      </c>
      <c r="F597" s="1">
        <v>261022</v>
      </c>
      <c r="G597" s="8">
        <v>42659</v>
      </c>
      <c r="H597" s="1" t="s">
        <v>41</v>
      </c>
      <c r="I597" s="1">
        <v>1</v>
      </c>
      <c r="J597" s="1">
        <v>2</v>
      </c>
      <c r="K597" s="1">
        <v>0</v>
      </c>
      <c r="L597" s="1" t="s">
        <v>37</v>
      </c>
      <c r="M597" s="1">
        <v>1</v>
      </c>
      <c r="N597" s="1">
        <v>2</v>
      </c>
      <c r="O597" s="1">
        <v>0</v>
      </c>
      <c r="P597" s="11" t="str">
        <f t="shared" si="9"/>
        <v>平</v>
      </c>
      <c r="Q597" s="11" t="str">
        <f t="shared" si="9"/>
        <v>平</v>
      </c>
    </row>
    <row r="598" spans="4:17" customFormat="1" x14ac:dyDescent="0.15">
      <c r="D598" t="s">
        <v>6</v>
      </c>
      <c r="E598" s="1">
        <v>261023</v>
      </c>
      <c r="F598" s="1">
        <v>261023</v>
      </c>
      <c r="G598" s="8">
        <v>42659.895833333336</v>
      </c>
      <c r="H598" s="1" t="s">
        <v>36</v>
      </c>
      <c r="I598" s="1">
        <v>2</v>
      </c>
      <c r="J598" s="1">
        <v>2</v>
      </c>
      <c r="K598" s="1">
        <v>0</v>
      </c>
      <c r="L598" s="1" t="s">
        <v>53</v>
      </c>
      <c r="M598" s="1">
        <v>1</v>
      </c>
      <c r="N598" s="1">
        <v>1</v>
      </c>
      <c r="O598" s="1">
        <v>0</v>
      </c>
      <c r="P598" s="11" t="str">
        <f t="shared" si="9"/>
        <v>胜</v>
      </c>
      <c r="Q598" s="11" t="str">
        <f t="shared" si="9"/>
        <v>胜</v>
      </c>
    </row>
    <row r="599" spans="4:17" customFormat="1" hidden="1" x14ac:dyDescent="0.15">
      <c r="D599" t="s">
        <v>6</v>
      </c>
      <c r="E599" s="1">
        <v>261024</v>
      </c>
      <c r="F599" s="1">
        <v>261024</v>
      </c>
      <c r="G599" s="8">
        <v>42660.000694444447</v>
      </c>
      <c r="H599" s="1" t="s">
        <v>38</v>
      </c>
      <c r="I599" s="1">
        <v>0</v>
      </c>
      <c r="J599" s="1">
        <v>0</v>
      </c>
      <c r="K599" s="1">
        <v>0</v>
      </c>
      <c r="L599" s="1" t="s">
        <v>35</v>
      </c>
      <c r="M599" s="1">
        <v>0</v>
      </c>
      <c r="N599" s="1">
        <v>0</v>
      </c>
      <c r="O599" s="1">
        <v>0</v>
      </c>
      <c r="P599" s="11" t="str">
        <f t="shared" si="9"/>
        <v>平</v>
      </c>
      <c r="Q599" s="11" t="str">
        <f t="shared" si="9"/>
        <v>平</v>
      </c>
    </row>
    <row r="600" spans="4:17" customFormat="1" hidden="1" x14ac:dyDescent="0.15">
      <c r="D600" t="s">
        <v>6</v>
      </c>
      <c r="E600" s="1">
        <v>261025</v>
      </c>
      <c r="F600" s="1">
        <v>261025</v>
      </c>
      <c r="G600" s="8">
        <v>42660</v>
      </c>
      <c r="H600" s="1" t="s">
        <v>54</v>
      </c>
      <c r="I600" s="1">
        <v>2</v>
      </c>
      <c r="J600" s="1">
        <v>2</v>
      </c>
      <c r="K600" s="1">
        <v>0</v>
      </c>
      <c r="L600" s="1" t="s">
        <v>48</v>
      </c>
      <c r="M600" s="1">
        <v>0</v>
      </c>
      <c r="N600" s="1">
        <v>1</v>
      </c>
      <c r="O600" s="1">
        <v>0</v>
      </c>
      <c r="P600" s="11" t="str">
        <f t="shared" si="9"/>
        <v>胜</v>
      </c>
      <c r="Q600" s="11" t="str">
        <f t="shared" si="9"/>
        <v>胜</v>
      </c>
    </row>
    <row r="601" spans="4:17" customFormat="1" hidden="1" x14ac:dyDescent="0.15">
      <c r="D601" t="s">
        <v>6</v>
      </c>
      <c r="E601" s="1">
        <v>261026</v>
      </c>
      <c r="F601" s="1">
        <v>261026</v>
      </c>
      <c r="G601" s="8">
        <v>42660</v>
      </c>
      <c r="H601" s="1" t="s">
        <v>46</v>
      </c>
      <c r="I601" s="1">
        <v>0</v>
      </c>
      <c r="J601" s="1">
        <v>1</v>
      </c>
      <c r="K601" s="1">
        <v>0</v>
      </c>
      <c r="L601" s="1" t="s">
        <v>44</v>
      </c>
      <c r="M601" s="1">
        <v>1</v>
      </c>
      <c r="N601" s="1">
        <v>2</v>
      </c>
      <c r="O601" s="1">
        <v>0</v>
      </c>
      <c r="P601" s="11" t="str">
        <f t="shared" si="9"/>
        <v>负</v>
      </c>
      <c r="Q601" s="11" t="str">
        <f t="shared" si="9"/>
        <v>负</v>
      </c>
    </row>
    <row r="602" spans="4:17" customFormat="1" hidden="1" x14ac:dyDescent="0.15">
      <c r="D602" t="s">
        <v>6</v>
      </c>
      <c r="E602" s="1">
        <v>261027</v>
      </c>
      <c r="F602" s="1">
        <v>261027</v>
      </c>
      <c r="G602" s="8">
        <v>42660.083333333336</v>
      </c>
      <c r="H602" s="1" t="s">
        <v>49</v>
      </c>
      <c r="I602" s="1">
        <v>0</v>
      </c>
      <c r="J602" s="1">
        <v>1</v>
      </c>
      <c r="K602" s="1">
        <v>0</v>
      </c>
      <c r="L602" s="1" t="s">
        <v>42</v>
      </c>
      <c r="M602" s="1">
        <v>1</v>
      </c>
      <c r="N602" s="1">
        <v>1</v>
      </c>
      <c r="O602" s="1">
        <v>0</v>
      </c>
      <c r="P602" s="11" t="str">
        <f t="shared" si="9"/>
        <v>负</v>
      </c>
      <c r="Q602" s="11" t="str">
        <f t="shared" si="9"/>
        <v>平</v>
      </c>
    </row>
    <row r="603" spans="4:17" customFormat="1" hidden="1" x14ac:dyDescent="0.15">
      <c r="D603" t="s">
        <v>6</v>
      </c>
      <c r="E603" s="1">
        <v>265522</v>
      </c>
      <c r="F603" s="1">
        <v>265522</v>
      </c>
      <c r="G603" s="8">
        <v>42665.041666666664</v>
      </c>
      <c r="H603" s="1" t="s">
        <v>45</v>
      </c>
      <c r="I603" s="1">
        <v>1</v>
      </c>
      <c r="J603" s="1">
        <v>2</v>
      </c>
      <c r="K603" s="1">
        <v>0</v>
      </c>
      <c r="L603" s="1" t="s">
        <v>43</v>
      </c>
      <c r="M603" s="1">
        <v>1</v>
      </c>
      <c r="N603" s="1">
        <v>3</v>
      </c>
      <c r="O603" s="1">
        <v>0</v>
      </c>
      <c r="P603" s="11" t="str">
        <f t="shared" si="9"/>
        <v>平</v>
      </c>
      <c r="Q603" s="11" t="str">
        <f t="shared" si="9"/>
        <v>负</v>
      </c>
    </row>
    <row r="604" spans="4:17" customFormat="1" hidden="1" x14ac:dyDescent="0.15">
      <c r="D604" t="s">
        <v>6</v>
      </c>
      <c r="E604" s="1">
        <v>265709</v>
      </c>
      <c r="F604" s="1">
        <v>265709</v>
      </c>
      <c r="G604" s="8">
        <v>42665.895833333336</v>
      </c>
      <c r="H604" s="1" t="s">
        <v>42</v>
      </c>
      <c r="I604" s="1">
        <v>1</v>
      </c>
      <c r="J604" s="1">
        <v>1</v>
      </c>
      <c r="K604" s="1">
        <v>0</v>
      </c>
      <c r="L604" s="1" t="s">
        <v>41</v>
      </c>
      <c r="M604" s="1">
        <v>0</v>
      </c>
      <c r="N604" s="1">
        <v>2</v>
      </c>
      <c r="O604" s="1">
        <v>0</v>
      </c>
      <c r="P604" s="11" t="str">
        <f t="shared" si="9"/>
        <v>胜</v>
      </c>
      <c r="Q604" s="11" t="str">
        <f t="shared" si="9"/>
        <v>负</v>
      </c>
    </row>
    <row r="605" spans="4:17" customFormat="1" hidden="1" x14ac:dyDescent="0.15">
      <c r="D605" t="s">
        <v>6</v>
      </c>
      <c r="E605" s="1">
        <v>265710</v>
      </c>
      <c r="F605" s="1">
        <v>265710</v>
      </c>
      <c r="G605" s="8">
        <v>42666.001388888886</v>
      </c>
      <c r="H605" s="1" t="s">
        <v>46</v>
      </c>
      <c r="I605" s="1">
        <v>1</v>
      </c>
      <c r="J605" s="1">
        <v>2</v>
      </c>
      <c r="K605" s="1">
        <v>0</v>
      </c>
      <c r="L605" s="1" t="s">
        <v>38</v>
      </c>
      <c r="M605" s="1">
        <v>1</v>
      </c>
      <c r="N605" s="1">
        <v>1</v>
      </c>
      <c r="O605" s="1">
        <v>0</v>
      </c>
      <c r="P605" s="11" t="str">
        <f t="shared" si="9"/>
        <v>平</v>
      </c>
      <c r="Q605" s="11" t="str">
        <f t="shared" si="9"/>
        <v>胜</v>
      </c>
    </row>
    <row r="606" spans="4:17" customFormat="1" hidden="1" x14ac:dyDescent="0.15">
      <c r="D606" t="s">
        <v>6</v>
      </c>
      <c r="E606" s="1">
        <v>265711</v>
      </c>
      <c r="F606" s="1">
        <v>265711</v>
      </c>
      <c r="G606" s="8">
        <v>42666.895138888889</v>
      </c>
      <c r="H606" s="1" t="s">
        <v>53</v>
      </c>
      <c r="I606" s="1">
        <v>0</v>
      </c>
      <c r="J606" s="1">
        <v>0</v>
      </c>
      <c r="K606" s="1">
        <v>0</v>
      </c>
      <c r="L606" s="1" t="s">
        <v>49</v>
      </c>
      <c r="M606" s="1">
        <v>0</v>
      </c>
      <c r="N606" s="1">
        <v>3</v>
      </c>
      <c r="O606" s="1">
        <v>0</v>
      </c>
      <c r="P606" s="11" t="str">
        <f t="shared" si="9"/>
        <v>平</v>
      </c>
      <c r="Q606" s="11" t="str">
        <f t="shared" si="9"/>
        <v>负</v>
      </c>
    </row>
    <row r="607" spans="4:17" customFormat="1" hidden="1" x14ac:dyDescent="0.15">
      <c r="D607" t="s">
        <v>6</v>
      </c>
      <c r="E607" s="1">
        <v>265712</v>
      </c>
      <c r="F607" s="1">
        <v>265712</v>
      </c>
      <c r="G607" s="8">
        <v>42666.999305555553</v>
      </c>
      <c r="H607" s="1" t="s">
        <v>48</v>
      </c>
      <c r="I607" s="1">
        <v>1</v>
      </c>
      <c r="J607" s="1">
        <v>2</v>
      </c>
      <c r="K607" s="1">
        <v>0</v>
      </c>
      <c r="L607" s="1" t="s">
        <v>32</v>
      </c>
      <c r="M607" s="1">
        <v>1</v>
      </c>
      <c r="N607" s="1">
        <v>1</v>
      </c>
      <c r="O607" s="1">
        <v>0</v>
      </c>
      <c r="P607" s="11" t="str">
        <f t="shared" si="9"/>
        <v>平</v>
      </c>
      <c r="Q607" s="11" t="str">
        <f t="shared" si="9"/>
        <v>胜</v>
      </c>
    </row>
    <row r="608" spans="4:17" customFormat="1" hidden="1" x14ac:dyDescent="0.15">
      <c r="D608" t="s">
        <v>6</v>
      </c>
      <c r="E608" s="1">
        <v>265713</v>
      </c>
      <c r="F608" s="1">
        <v>265713</v>
      </c>
      <c r="G608" s="8">
        <v>42667.000694444447</v>
      </c>
      <c r="H608" s="1" t="s">
        <v>44</v>
      </c>
      <c r="I608" s="1">
        <v>0</v>
      </c>
      <c r="J608" s="1">
        <v>1</v>
      </c>
      <c r="K608" s="1">
        <v>0</v>
      </c>
      <c r="L608" s="1" t="s">
        <v>36</v>
      </c>
      <c r="M608" s="1">
        <v>1</v>
      </c>
      <c r="N608" s="1">
        <v>1</v>
      </c>
      <c r="O608" s="1">
        <v>0</v>
      </c>
      <c r="P608" s="11" t="str">
        <f t="shared" si="9"/>
        <v>负</v>
      </c>
      <c r="Q608" s="11" t="str">
        <f t="shared" si="9"/>
        <v>平</v>
      </c>
    </row>
    <row r="609" spans="4:17" customFormat="1" hidden="1" x14ac:dyDescent="0.15">
      <c r="D609" t="s">
        <v>6</v>
      </c>
      <c r="E609" s="1">
        <v>265714</v>
      </c>
      <c r="F609" s="1">
        <v>265714</v>
      </c>
      <c r="G609" s="8">
        <v>42667</v>
      </c>
      <c r="H609" s="1" t="s">
        <v>37</v>
      </c>
      <c r="I609" s="1">
        <v>1</v>
      </c>
      <c r="J609" s="1">
        <v>1</v>
      </c>
      <c r="K609" s="1">
        <v>0</v>
      </c>
      <c r="L609" s="1" t="s">
        <v>54</v>
      </c>
      <c r="M609" s="1">
        <v>1</v>
      </c>
      <c r="N609" s="1">
        <v>2</v>
      </c>
      <c r="O609" s="1">
        <v>0</v>
      </c>
      <c r="P609" s="11" t="str">
        <f t="shared" si="9"/>
        <v>平</v>
      </c>
      <c r="Q609" s="11" t="str">
        <f t="shared" si="9"/>
        <v>负</v>
      </c>
    </row>
    <row r="610" spans="4:17" customFormat="1" hidden="1" x14ac:dyDescent="0.15">
      <c r="D610" t="s">
        <v>6</v>
      </c>
      <c r="E610" s="1">
        <v>265715</v>
      </c>
      <c r="F610" s="1">
        <v>265715</v>
      </c>
      <c r="G610" s="8">
        <v>42667.083333333336</v>
      </c>
      <c r="H610" s="1" t="s">
        <v>35</v>
      </c>
      <c r="I610" s="1">
        <v>0</v>
      </c>
      <c r="J610" s="1">
        <v>0</v>
      </c>
      <c r="K610" s="1">
        <v>0</v>
      </c>
      <c r="L610" s="1" t="s">
        <v>40</v>
      </c>
      <c r="M610" s="1">
        <v>0</v>
      </c>
      <c r="N610" s="1">
        <v>1</v>
      </c>
      <c r="O610" s="1">
        <v>0</v>
      </c>
      <c r="P610" s="11" t="str">
        <f t="shared" si="9"/>
        <v>平</v>
      </c>
      <c r="Q610" s="11" t="str">
        <f t="shared" si="9"/>
        <v>负</v>
      </c>
    </row>
    <row r="611" spans="4:17" customFormat="1" hidden="1" x14ac:dyDescent="0.15">
      <c r="D611" t="s">
        <v>6</v>
      </c>
      <c r="E611" s="1">
        <v>268032</v>
      </c>
      <c r="F611" s="1">
        <v>268032</v>
      </c>
      <c r="G611" s="8">
        <v>42674.041666666664</v>
      </c>
      <c r="H611" s="1" t="s">
        <v>40</v>
      </c>
      <c r="I611" s="1">
        <v>0</v>
      </c>
      <c r="J611" s="1">
        <v>2</v>
      </c>
      <c r="K611" s="1">
        <v>0</v>
      </c>
      <c r="L611" s="1" t="s">
        <v>37</v>
      </c>
      <c r="M611" s="1">
        <v>0</v>
      </c>
      <c r="N611" s="1">
        <v>0</v>
      </c>
      <c r="O611" s="1">
        <v>0</v>
      </c>
      <c r="P611" s="11" t="str">
        <f t="shared" si="9"/>
        <v>平</v>
      </c>
      <c r="Q611" s="11" t="str">
        <f t="shared" si="9"/>
        <v>胜</v>
      </c>
    </row>
    <row r="612" spans="4:17" customFormat="1" x14ac:dyDescent="0.15">
      <c r="D612" t="s">
        <v>6</v>
      </c>
      <c r="E612" s="1">
        <v>268033</v>
      </c>
      <c r="F612" s="1">
        <v>268033</v>
      </c>
      <c r="G612" s="8">
        <v>42674.041666666664</v>
      </c>
      <c r="H612" s="1" t="s">
        <v>36</v>
      </c>
      <c r="I612" s="1">
        <v>0</v>
      </c>
      <c r="J612" s="1">
        <v>1</v>
      </c>
      <c r="K612" s="1">
        <v>0</v>
      </c>
      <c r="L612" s="1" t="s">
        <v>46</v>
      </c>
      <c r="M612" s="1">
        <v>0</v>
      </c>
      <c r="N612" s="1">
        <v>2</v>
      </c>
      <c r="O612" s="1">
        <v>0</v>
      </c>
      <c r="P612" s="11" t="str">
        <f t="shared" si="9"/>
        <v>平</v>
      </c>
      <c r="Q612" s="11" t="str">
        <f t="shared" si="9"/>
        <v>负</v>
      </c>
    </row>
    <row r="613" spans="4:17" customFormat="1" hidden="1" x14ac:dyDescent="0.15">
      <c r="D613" t="s">
        <v>6</v>
      </c>
      <c r="E613" s="1">
        <v>268034</v>
      </c>
      <c r="F613" s="1">
        <v>268034</v>
      </c>
      <c r="G613" s="8">
        <v>42674.041666666664</v>
      </c>
      <c r="H613" s="1" t="s">
        <v>54</v>
      </c>
      <c r="I613" s="1">
        <v>0</v>
      </c>
      <c r="J613" s="1">
        <v>3</v>
      </c>
      <c r="K613" s="1">
        <v>0</v>
      </c>
      <c r="L613" s="1" t="s">
        <v>35</v>
      </c>
      <c r="M613" s="1">
        <v>1</v>
      </c>
      <c r="N613" s="1">
        <v>1</v>
      </c>
      <c r="O613" s="1">
        <v>0</v>
      </c>
      <c r="P613" s="11" t="str">
        <f t="shared" si="9"/>
        <v>负</v>
      </c>
      <c r="Q613" s="11" t="str">
        <f t="shared" si="9"/>
        <v>胜</v>
      </c>
    </row>
    <row r="614" spans="4:17" hidden="1" x14ac:dyDescent="0.15">
      <c r="D614" s="2" t="s">
        <v>6</v>
      </c>
      <c r="E614" s="6">
        <v>268035</v>
      </c>
      <c r="F614" s="6">
        <v>268035</v>
      </c>
      <c r="G614" s="24">
        <v>42674.041666666664</v>
      </c>
      <c r="H614" s="6" t="s">
        <v>32</v>
      </c>
      <c r="I614" s="6">
        <v>0</v>
      </c>
      <c r="J614" s="6">
        <v>0</v>
      </c>
      <c r="K614" s="6">
        <v>0</v>
      </c>
      <c r="L614" s="6" t="s">
        <v>45</v>
      </c>
      <c r="M614" s="6">
        <v>1</v>
      </c>
      <c r="N614" s="6">
        <v>2</v>
      </c>
      <c r="O614" s="6">
        <v>0</v>
      </c>
      <c r="P614" s="11" t="str">
        <f t="shared" si="9"/>
        <v>负</v>
      </c>
      <c r="Q614" s="11" t="str">
        <f t="shared" si="9"/>
        <v>负</v>
      </c>
    </row>
    <row r="615" spans="4:17" customFormat="1" hidden="1" x14ac:dyDescent="0.15">
      <c r="D615" t="s">
        <v>6</v>
      </c>
      <c r="E615" s="1">
        <v>268036</v>
      </c>
      <c r="F615" s="1">
        <v>268036</v>
      </c>
      <c r="G615" s="8">
        <v>42674.041666666664</v>
      </c>
      <c r="H615" s="1" t="s">
        <v>49</v>
      </c>
      <c r="I615" s="1">
        <v>0</v>
      </c>
      <c r="J615" s="1">
        <v>1</v>
      </c>
      <c r="K615" s="1">
        <v>0</v>
      </c>
      <c r="L615" s="1" t="s">
        <v>44</v>
      </c>
      <c r="M615" s="1">
        <v>1</v>
      </c>
      <c r="N615" s="1">
        <v>1</v>
      </c>
      <c r="O615" s="1">
        <v>0</v>
      </c>
      <c r="P615" s="11" t="str">
        <f t="shared" si="9"/>
        <v>负</v>
      </c>
      <c r="Q615" s="11" t="str">
        <f t="shared" si="9"/>
        <v>平</v>
      </c>
    </row>
    <row r="616" spans="4:17" customFormat="1" hidden="1" x14ac:dyDescent="0.15">
      <c r="D616" t="s">
        <v>6</v>
      </c>
      <c r="E616" s="1">
        <v>268037</v>
      </c>
      <c r="F616" s="1">
        <v>268037</v>
      </c>
      <c r="G616" s="8">
        <v>42674.041666666664</v>
      </c>
      <c r="H616" s="1" t="s">
        <v>38</v>
      </c>
      <c r="I616" s="1">
        <v>2</v>
      </c>
      <c r="J616" s="1">
        <v>3</v>
      </c>
      <c r="K616" s="1">
        <v>0</v>
      </c>
      <c r="L616" s="1" t="s">
        <v>42</v>
      </c>
      <c r="M616" s="1">
        <v>0</v>
      </c>
      <c r="N616" s="1">
        <v>0</v>
      </c>
      <c r="O616" s="1">
        <v>0</v>
      </c>
      <c r="P616" s="11" t="str">
        <f t="shared" si="9"/>
        <v>胜</v>
      </c>
      <c r="Q616" s="11" t="str">
        <f t="shared" si="9"/>
        <v>胜</v>
      </c>
    </row>
    <row r="617" spans="4:17" customFormat="1" hidden="1" x14ac:dyDescent="0.15">
      <c r="D617" t="s">
        <v>6</v>
      </c>
      <c r="E617" s="1">
        <v>268038</v>
      </c>
      <c r="F617" s="1">
        <v>268038</v>
      </c>
      <c r="G617" s="8">
        <v>42674.042361111111</v>
      </c>
      <c r="H617" s="1" t="s">
        <v>41</v>
      </c>
      <c r="I617" s="1">
        <v>0</v>
      </c>
      <c r="J617" s="1">
        <v>2</v>
      </c>
      <c r="K617" s="1">
        <v>0</v>
      </c>
      <c r="L617" s="1" t="s">
        <v>53</v>
      </c>
      <c r="M617" s="1">
        <v>1</v>
      </c>
      <c r="N617" s="1">
        <v>2</v>
      </c>
      <c r="O617" s="1">
        <v>0</v>
      </c>
      <c r="P617" s="11" t="str">
        <f t="shared" si="9"/>
        <v>负</v>
      </c>
      <c r="Q617" s="11" t="str">
        <f t="shared" si="9"/>
        <v>平</v>
      </c>
    </row>
    <row r="618" spans="4:17" customFormat="1" hidden="1" x14ac:dyDescent="0.15">
      <c r="D618" t="s">
        <v>6</v>
      </c>
      <c r="E618" s="1">
        <v>268039</v>
      </c>
      <c r="F618" s="1">
        <v>268039</v>
      </c>
      <c r="G618" s="8">
        <v>42674.041666666664</v>
      </c>
      <c r="H618" s="1" t="s">
        <v>43</v>
      </c>
      <c r="I618" s="1">
        <v>1</v>
      </c>
      <c r="J618" s="1">
        <v>3</v>
      </c>
      <c r="K618" s="1">
        <v>0</v>
      </c>
      <c r="L618" s="1" t="s">
        <v>48</v>
      </c>
      <c r="M618" s="1">
        <v>2</v>
      </c>
      <c r="N618" s="1">
        <v>3</v>
      </c>
      <c r="O618" s="1">
        <v>0</v>
      </c>
      <c r="P618" s="11" t="str">
        <f t="shared" si="9"/>
        <v>负</v>
      </c>
      <c r="Q618" s="11" t="str">
        <f t="shared" si="9"/>
        <v>平</v>
      </c>
    </row>
    <row r="619" spans="4:17" customFormat="1" hidden="1" x14ac:dyDescent="0.15">
      <c r="D619" t="s">
        <v>6</v>
      </c>
      <c r="E619" s="1">
        <v>270735</v>
      </c>
      <c r="F619" s="1">
        <v>270735</v>
      </c>
      <c r="G619" s="8">
        <v>42681.040972222225</v>
      </c>
      <c r="H619" s="1" t="s">
        <v>48</v>
      </c>
      <c r="I619" s="1">
        <v>1</v>
      </c>
      <c r="J619" s="1">
        <v>1</v>
      </c>
      <c r="K619" s="1">
        <v>0</v>
      </c>
      <c r="L619" s="1" t="s">
        <v>40</v>
      </c>
      <c r="M619" s="1">
        <v>1</v>
      </c>
      <c r="N619" s="1">
        <v>1</v>
      </c>
      <c r="O619" s="1">
        <v>0</v>
      </c>
      <c r="P619" s="11" t="str">
        <f t="shared" si="9"/>
        <v>平</v>
      </c>
      <c r="Q619" s="11" t="str">
        <f t="shared" si="9"/>
        <v>平</v>
      </c>
    </row>
    <row r="620" spans="4:17" customFormat="1" hidden="1" x14ac:dyDescent="0.15">
      <c r="D620" t="s">
        <v>6</v>
      </c>
      <c r="E620" s="1">
        <v>270736</v>
      </c>
      <c r="F620" s="1">
        <v>270736</v>
      </c>
      <c r="G620" s="8">
        <v>42681.041666666664</v>
      </c>
      <c r="H620" s="1" t="s">
        <v>44</v>
      </c>
      <c r="I620" s="1">
        <v>0</v>
      </c>
      <c r="J620" s="1">
        <v>1</v>
      </c>
      <c r="K620" s="1">
        <v>0</v>
      </c>
      <c r="L620" s="1" t="s">
        <v>38</v>
      </c>
      <c r="M620" s="1">
        <v>0</v>
      </c>
      <c r="N620" s="1">
        <v>0</v>
      </c>
      <c r="O620" s="1">
        <v>0</v>
      </c>
      <c r="P620" s="11" t="str">
        <f t="shared" si="9"/>
        <v>平</v>
      </c>
      <c r="Q620" s="11" t="str">
        <f t="shared" si="9"/>
        <v>胜</v>
      </c>
    </row>
    <row r="621" spans="4:17" customFormat="1" hidden="1" x14ac:dyDescent="0.15">
      <c r="D621" t="s">
        <v>6</v>
      </c>
      <c r="E621" s="1">
        <v>270737</v>
      </c>
      <c r="F621" s="1">
        <v>270737</v>
      </c>
      <c r="G621" s="8">
        <v>42681.041666666664</v>
      </c>
      <c r="H621" s="1" t="s">
        <v>42</v>
      </c>
      <c r="I621" s="1">
        <v>2</v>
      </c>
      <c r="J621" s="1">
        <v>3</v>
      </c>
      <c r="K621" s="1">
        <v>0</v>
      </c>
      <c r="L621" s="1" t="s">
        <v>36</v>
      </c>
      <c r="M621" s="1">
        <v>0</v>
      </c>
      <c r="N621" s="1">
        <v>0</v>
      </c>
      <c r="O621" s="1">
        <v>0</v>
      </c>
      <c r="P621" s="11" t="str">
        <f t="shared" si="9"/>
        <v>胜</v>
      </c>
      <c r="Q621" s="11" t="str">
        <f t="shared" si="9"/>
        <v>胜</v>
      </c>
    </row>
    <row r="622" spans="4:17" customFormat="1" hidden="1" x14ac:dyDescent="0.15">
      <c r="D622" t="s">
        <v>6</v>
      </c>
      <c r="E622" s="1">
        <v>270738</v>
      </c>
      <c r="F622" s="1">
        <v>270738</v>
      </c>
      <c r="G622" s="8">
        <v>42681.042361111111</v>
      </c>
      <c r="H622" s="1" t="s">
        <v>46</v>
      </c>
      <c r="I622" s="1">
        <v>2</v>
      </c>
      <c r="J622" s="1">
        <v>2</v>
      </c>
      <c r="K622" s="1">
        <v>0</v>
      </c>
      <c r="L622" s="1" t="s">
        <v>41</v>
      </c>
      <c r="M622" s="1">
        <v>0</v>
      </c>
      <c r="N622" s="1">
        <v>1</v>
      </c>
      <c r="O622" s="1">
        <v>0</v>
      </c>
      <c r="P622" s="11" t="str">
        <f t="shared" si="9"/>
        <v>胜</v>
      </c>
      <c r="Q622" s="11" t="str">
        <f t="shared" si="9"/>
        <v>胜</v>
      </c>
    </row>
    <row r="623" spans="4:17" customFormat="1" hidden="1" x14ac:dyDescent="0.15">
      <c r="D623" t="s">
        <v>6</v>
      </c>
      <c r="E623" s="1">
        <v>270739</v>
      </c>
      <c r="F623" s="1">
        <v>270739</v>
      </c>
      <c r="G623" s="8">
        <v>42681.042361111111</v>
      </c>
      <c r="H623" s="1" t="s">
        <v>35</v>
      </c>
      <c r="I623" s="1">
        <v>2</v>
      </c>
      <c r="J623" s="1">
        <v>2</v>
      </c>
      <c r="K623" s="1">
        <v>0</v>
      </c>
      <c r="L623" s="1" t="s">
        <v>43</v>
      </c>
      <c r="M623" s="1">
        <v>3</v>
      </c>
      <c r="N623" s="1">
        <v>4</v>
      </c>
      <c r="O623" s="1">
        <v>0</v>
      </c>
      <c r="P623" s="11" t="str">
        <f t="shared" si="9"/>
        <v>负</v>
      </c>
      <c r="Q623" s="11" t="str">
        <f t="shared" si="9"/>
        <v>负</v>
      </c>
    </row>
    <row r="624" spans="4:17" customFormat="1" hidden="1" x14ac:dyDescent="0.15">
      <c r="D624" t="s">
        <v>6</v>
      </c>
      <c r="E624" s="1">
        <v>270740</v>
      </c>
      <c r="F624" s="1">
        <v>270740</v>
      </c>
      <c r="G624" s="8">
        <v>42681.041666666664</v>
      </c>
      <c r="H624" s="1" t="s">
        <v>53</v>
      </c>
      <c r="I624" s="1">
        <v>2</v>
      </c>
      <c r="J624" s="1">
        <v>3</v>
      </c>
      <c r="K624" s="1">
        <v>0</v>
      </c>
      <c r="L624" s="1" t="s">
        <v>54</v>
      </c>
      <c r="M624" s="1">
        <v>0</v>
      </c>
      <c r="N624" s="1">
        <v>1</v>
      </c>
      <c r="O624" s="1">
        <v>0</v>
      </c>
      <c r="P624" s="11" t="str">
        <f t="shared" si="9"/>
        <v>胜</v>
      </c>
      <c r="Q624" s="11" t="str">
        <f t="shared" si="9"/>
        <v>胜</v>
      </c>
    </row>
    <row r="625" spans="4:17" customFormat="1" hidden="1" x14ac:dyDescent="0.15">
      <c r="D625" t="s">
        <v>6</v>
      </c>
      <c r="E625" s="1">
        <v>270741</v>
      </c>
      <c r="F625" s="1">
        <v>270741</v>
      </c>
      <c r="G625" s="8">
        <v>42681.042361111111</v>
      </c>
      <c r="H625" s="1" t="s">
        <v>45</v>
      </c>
      <c r="I625" s="1">
        <v>0</v>
      </c>
      <c r="J625" s="1">
        <v>0</v>
      </c>
      <c r="K625" s="1">
        <v>0</v>
      </c>
      <c r="L625" s="1" t="s">
        <v>49</v>
      </c>
      <c r="M625" s="1">
        <v>1</v>
      </c>
      <c r="N625" s="1">
        <v>2</v>
      </c>
      <c r="O625" s="1">
        <v>0</v>
      </c>
      <c r="P625" s="11" t="str">
        <f t="shared" si="9"/>
        <v>负</v>
      </c>
      <c r="Q625" s="11" t="str">
        <f t="shared" si="9"/>
        <v>负</v>
      </c>
    </row>
    <row r="626" spans="4:17" customFormat="1" hidden="1" x14ac:dyDescent="0.15">
      <c r="D626" t="s">
        <v>6</v>
      </c>
      <c r="E626" s="1">
        <v>270742</v>
      </c>
      <c r="F626" s="1">
        <v>270742</v>
      </c>
      <c r="G626" s="8">
        <v>42681.041666666664</v>
      </c>
      <c r="H626" s="1" t="s">
        <v>37</v>
      </c>
      <c r="I626" s="1">
        <v>1</v>
      </c>
      <c r="J626" s="1">
        <v>2</v>
      </c>
      <c r="K626" s="1">
        <v>0</v>
      </c>
      <c r="L626" s="1" t="s">
        <v>32</v>
      </c>
      <c r="M626" s="1">
        <v>0</v>
      </c>
      <c r="N626" s="1">
        <v>1</v>
      </c>
      <c r="O626" s="1">
        <v>0</v>
      </c>
      <c r="P626" s="11" t="str">
        <f t="shared" si="9"/>
        <v>胜</v>
      </c>
      <c r="Q626" s="11" t="str">
        <f t="shared" si="9"/>
        <v>胜</v>
      </c>
    </row>
    <row r="627" spans="4:17" customFormat="1" hidden="1" x14ac:dyDescent="0.15">
      <c r="D627" t="s">
        <v>6</v>
      </c>
      <c r="E627" s="1">
        <v>307979</v>
      </c>
      <c r="F627" s="1">
        <v>307979</v>
      </c>
      <c r="G627" s="8">
        <v>42827.899305555555</v>
      </c>
      <c r="H627" s="1" t="s">
        <v>44</v>
      </c>
      <c r="I627" s="1">
        <v>0</v>
      </c>
      <c r="J627" s="1">
        <v>2</v>
      </c>
      <c r="K627" s="1">
        <v>0</v>
      </c>
      <c r="L627" s="1" t="s">
        <v>52</v>
      </c>
      <c r="M627" s="1">
        <v>1</v>
      </c>
      <c r="N627" s="1">
        <v>1</v>
      </c>
      <c r="O627" s="1">
        <v>0</v>
      </c>
      <c r="P627" s="11" t="str">
        <f t="shared" si="9"/>
        <v>负</v>
      </c>
      <c r="Q627" s="11" t="str">
        <f t="shared" si="9"/>
        <v>胜</v>
      </c>
    </row>
    <row r="628" spans="4:17" customFormat="1" hidden="1" x14ac:dyDescent="0.15">
      <c r="D628" t="s">
        <v>6</v>
      </c>
      <c r="E628" s="1">
        <v>307980</v>
      </c>
      <c r="F628" s="1">
        <v>307980</v>
      </c>
      <c r="G628" s="8">
        <v>42828.001388888886</v>
      </c>
      <c r="H628" s="1" t="s">
        <v>41</v>
      </c>
      <c r="I628" s="1">
        <v>1</v>
      </c>
      <c r="J628" s="1">
        <v>3</v>
      </c>
      <c r="K628" s="1">
        <v>0</v>
      </c>
      <c r="L628" s="1" t="s">
        <v>35</v>
      </c>
      <c r="M628" s="1">
        <v>1</v>
      </c>
      <c r="N628" s="1">
        <v>1</v>
      </c>
      <c r="O628" s="1">
        <v>0</v>
      </c>
      <c r="P628" s="11" t="str">
        <f t="shared" si="9"/>
        <v>平</v>
      </c>
      <c r="Q628" s="11" t="str">
        <f t="shared" si="9"/>
        <v>胜</v>
      </c>
    </row>
    <row r="629" spans="4:17" customFormat="1" hidden="1" x14ac:dyDescent="0.15">
      <c r="D629" t="s">
        <v>6</v>
      </c>
      <c r="E629" s="1">
        <v>307981</v>
      </c>
      <c r="F629" s="1">
        <v>307981</v>
      </c>
      <c r="G629" s="8">
        <v>42828.003472222219</v>
      </c>
      <c r="H629" s="1" t="s">
        <v>42</v>
      </c>
      <c r="I629" s="1">
        <v>2</v>
      </c>
      <c r="J629" s="1">
        <v>3</v>
      </c>
      <c r="K629" s="1">
        <v>0</v>
      </c>
      <c r="L629" s="1" t="s">
        <v>43</v>
      </c>
      <c r="M629" s="1">
        <v>0</v>
      </c>
      <c r="N629" s="1">
        <v>1</v>
      </c>
      <c r="O629" s="1">
        <v>0</v>
      </c>
      <c r="P629" s="11" t="str">
        <f t="shared" si="9"/>
        <v>胜</v>
      </c>
      <c r="Q629" s="11" t="str">
        <f t="shared" si="9"/>
        <v>胜</v>
      </c>
    </row>
    <row r="630" spans="4:17" customFormat="1" hidden="1" x14ac:dyDescent="0.15">
      <c r="D630" t="s">
        <v>6</v>
      </c>
      <c r="E630" s="1">
        <v>307982</v>
      </c>
      <c r="F630" s="1">
        <v>307982</v>
      </c>
      <c r="G630" s="8">
        <v>42828.001388888886</v>
      </c>
      <c r="H630" s="1" t="s">
        <v>40</v>
      </c>
      <c r="I630" s="1">
        <v>1</v>
      </c>
      <c r="J630" s="1">
        <v>3</v>
      </c>
      <c r="K630" s="1">
        <v>0</v>
      </c>
      <c r="L630" s="1" t="s">
        <v>48</v>
      </c>
      <c r="M630" s="1">
        <v>1</v>
      </c>
      <c r="N630" s="1">
        <v>1</v>
      </c>
      <c r="O630" s="1">
        <v>0</v>
      </c>
      <c r="P630" s="11" t="str">
        <f t="shared" si="9"/>
        <v>平</v>
      </c>
      <c r="Q630" s="11" t="str">
        <f t="shared" si="9"/>
        <v>胜</v>
      </c>
    </row>
    <row r="631" spans="4:17" customFormat="1" hidden="1" x14ac:dyDescent="0.15">
      <c r="D631" t="s">
        <v>6</v>
      </c>
      <c r="E631" s="1">
        <v>307983</v>
      </c>
      <c r="F631" s="1">
        <v>307983</v>
      </c>
      <c r="G631" s="8">
        <v>42828.002083333333</v>
      </c>
      <c r="H631" s="1" t="s">
        <v>53</v>
      </c>
      <c r="I631" s="1">
        <v>0</v>
      </c>
      <c r="J631" s="1">
        <v>1</v>
      </c>
      <c r="K631" s="1">
        <v>0</v>
      </c>
      <c r="L631" s="1" t="s">
        <v>46</v>
      </c>
      <c r="M631" s="1">
        <v>0</v>
      </c>
      <c r="N631" s="1">
        <v>1</v>
      </c>
      <c r="O631" s="1">
        <v>0</v>
      </c>
      <c r="P631" s="11" t="str">
        <f t="shared" si="9"/>
        <v>平</v>
      </c>
      <c r="Q631" s="11" t="str">
        <f t="shared" si="9"/>
        <v>平</v>
      </c>
    </row>
    <row r="632" spans="4:17" customFormat="1" hidden="1" x14ac:dyDescent="0.15">
      <c r="D632" t="s">
        <v>6</v>
      </c>
      <c r="E632" s="1">
        <v>307984</v>
      </c>
      <c r="F632" s="1">
        <v>307984</v>
      </c>
      <c r="G632" s="8">
        <v>42828.083333333336</v>
      </c>
      <c r="H632" s="1" t="s">
        <v>37</v>
      </c>
      <c r="I632" s="1">
        <v>0</v>
      </c>
      <c r="J632" s="1">
        <v>3</v>
      </c>
      <c r="K632" s="1">
        <v>0</v>
      </c>
      <c r="L632" s="1" t="s">
        <v>54</v>
      </c>
      <c r="M632" s="1">
        <v>0</v>
      </c>
      <c r="N632" s="1">
        <v>0</v>
      </c>
      <c r="O632" s="1">
        <v>0</v>
      </c>
      <c r="P632" s="11" t="str">
        <f t="shared" si="9"/>
        <v>平</v>
      </c>
      <c r="Q632" s="11" t="str">
        <f t="shared" si="9"/>
        <v>胜</v>
      </c>
    </row>
    <row r="633" spans="4:17" customFormat="1" hidden="1" x14ac:dyDescent="0.15">
      <c r="D633" t="s">
        <v>6</v>
      </c>
      <c r="E633" s="1">
        <v>307985</v>
      </c>
      <c r="F633" s="1">
        <v>307985</v>
      </c>
      <c r="G633" s="8">
        <v>42829.045138888891</v>
      </c>
      <c r="H633" s="1" t="s">
        <v>49</v>
      </c>
      <c r="I633" s="1">
        <v>0</v>
      </c>
      <c r="J633" s="1">
        <v>1</v>
      </c>
      <c r="K633" s="1">
        <v>0</v>
      </c>
      <c r="L633" s="1" t="s">
        <v>45</v>
      </c>
      <c r="M633" s="1">
        <v>0</v>
      </c>
      <c r="N633" s="1">
        <v>0</v>
      </c>
      <c r="O633" s="1">
        <v>0</v>
      </c>
      <c r="P633" s="11" t="str">
        <f t="shared" si="9"/>
        <v>平</v>
      </c>
      <c r="Q633" s="11" t="str">
        <f t="shared" si="9"/>
        <v>胜</v>
      </c>
    </row>
    <row r="634" spans="4:17" customFormat="1" hidden="1" x14ac:dyDescent="0.15">
      <c r="D634" t="s">
        <v>6</v>
      </c>
      <c r="E634" s="1">
        <v>307986</v>
      </c>
      <c r="F634" s="1">
        <v>307986</v>
      </c>
      <c r="G634" s="8">
        <v>42827.001388888886</v>
      </c>
      <c r="H634" s="1" t="s">
        <v>56</v>
      </c>
      <c r="I634" s="1">
        <v>0</v>
      </c>
      <c r="J634" s="1">
        <v>0</v>
      </c>
      <c r="K634" s="1">
        <v>0</v>
      </c>
      <c r="L634" s="1" t="s">
        <v>38</v>
      </c>
      <c r="M634" s="1">
        <v>0</v>
      </c>
      <c r="N634" s="1">
        <v>1</v>
      </c>
      <c r="O634" s="1">
        <v>0</v>
      </c>
      <c r="P634" s="11" t="str">
        <f t="shared" si="9"/>
        <v>平</v>
      </c>
      <c r="Q634" s="11" t="str">
        <f t="shared" si="9"/>
        <v>负</v>
      </c>
    </row>
    <row r="635" spans="4:17" customFormat="1" hidden="1" x14ac:dyDescent="0.15">
      <c r="D635" t="s">
        <v>6</v>
      </c>
      <c r="E635" s="1">
        <v>314294</v>
      </c>
      <c r="F635" s="1">
        <v>314294</v>
      </c>
      <c r="G635" s="8">
        <v>42831.045138888891</v>
      </c>
      <c r="H635" s="1" t="s">
        <v>35</v>
      </c>
      <c r="I635" s="1">
        <v>1</v>
      </c>
      <c r="J635" s="1">
        <v>4</v>
      </c>
      <c r="K635" s="1">
        <v>0</v>
      </c>
      <c r="L635" s="1" t="s">
        <v>42</v>
      </c>
      <c r="M635" s="1">
        <v>0</v>
      </c>
      <c r="N635" s="1">
        <v>1</v>
      </c>
      <c r="O635" s="1">
        <v>0</v>
      </c>
      <c r="P635" s="11" t="str">
        <f t="shared" si="9"/>
        <v>胜</v>
      </c>
      <c r="Q635" s="11" t="str">
        <f t="shared" si="9"/>
        <v>胜</v>
      </c>
    </row>
    <row r="636" spans="4:17" customFormat="1" hidden="1" x14ac:dyDescent="0.15">
      <c r="D636" t="s">
        <v>6</v>
      </c>
      <c r="E636" s="1">
        <v>314295</v>
      </c>
      <c r="F636" s="1">
        <v>314295</v>
      </c>
      <c r="G636" s="8">
        <v>42831.042361111111</v>
      </c>
      <c r="H636" s="1" t="s">
        <v>38</v>
      </c>
      <c r="I636" s="1">
        <v>1</v>
      </c>
      <c r="J636" s="1">
        <v>2</v>
      </c>
      <c r="K636" s="1">
        <v>0</v>
      </c>
      <c r="L636" s="1" t="s">
        <v>44</v>
      </c>
      <c r="M636" s="1">
        <v>0</v>
      </c>
      <c r="N636" s="1">
        <v>1</v>
      </c>
      <c r="O636" s="1">
        <v>0</v>
      </c>
      <c r="P636" s="11" t="str">
        <f t="shared" si="9"/>
        <v>胜</v>
      </c>
      <c r="Q636" s="11" t="str">
        <f t="shared" si="9"/>
        <v>胜</v>
      </c>
    </row>
    <row r="637" spans="4:17" customFormat="1" hidden="1" x14ac:dyDescent="0.15">
      <c r="D637" t="s">
        <v>6</v>
      </c>
      <c r="E637" s="1">
        <v>314296</v>
      </c>
      <c r="F637" s="1">
        <v>314296</v>
      </c>
      <c r="G637" s="8">
        <v>42831.043055555558</v>
      </c>
      <c r="H637" s="1" t="s">
        <v>54</v>
      </c>
      <c r="I637" s="1">
        <v>1</v>
      </c>
      <c r="J637" s="1">
        <v>2</v>
      </c>
      <c r="K637" s="1">
        <v>0</v>
      </c>
      <c r="L637" s="1" t="s">
        <v>56</v>
      </c>
      <c r="M637" s="1">
        <v>0</v>
      </c>
      <c r="N637" s="1">
        <v>0</v>
      </c>
      <c r="O637" s="1">
        <v>0</v>
      </c>
      <c r="P637" s="11" t="str">
        <f t="shared" si="9"/>
        <v>胜</v>
      </c>
      <c r="Q637" s="11" t="str">
        <f t="shared" si="9"/>
        <v>胜</v>
      </c>
    </row>
    <row r="638" spans="4:17" customFormat="1" hidden="1" x14ac:dyDescent="0.15">
      <c r="D638" t="s">
        <v>6</v>
      </c>
      <c r="E638" s="1">
        <v>314297</v>
      </c>
      <c r="F638" s="1">
        <v>314297</v>
      </c>
      <c r="G638" s="8">
        <v>42831.045138888891</v>
      </c>
      <c r="H638" s="1" t="s">
        <v>52</v>
      </c>
      <c r="I638" s="1">
        <v>0</v>
      </c>
      <c r="J638" s="1">
        <v>0</v>
      </c>
      <c r="K638" s="1">
        <v>0</v>
      </c>
      <c r="L638" s="1" t="s">
        <v>37</v>
      </c>
      <c r="M638" s="1">
        <v>0</v>
      </c>
      <c r="N638" s="1">
        <v>3</v>
      </c>
      <c r="O638" s="1">
        <v>0</v>
      </c>
      <c r="P638" s="11" t="str">
        <f t="shared" si="9"/>
        <v>平</v>
      </c>
      <c r="Q638" s="11" t="str">
        <f t="shared" si="9"/>
        <v>负</v>
      </c>
    </row>
    <row r="639" spans="4:17" customFormat="1" hidden="1" x14ac:dyDescent="0.15">
      <c r="D639" t="s">
        <v>6</v>
      </c>
      <c r="E639" s="1">
        <v>314298</v>
      </c>
      <c r="F639" s="1">
        <v>314298</v>
      </c>
      <c r="G639" s="8">
        <v>42831.042361111111</v>
      </c>
      <c r="H639" s="1" t="s">
        <v>43</v>
      </c>
      <c r="I639" s="1">
        <v>1</v>
      </c>
      <c r="J639" s="1">
        <v>1</v>
      </c>
      <c r="K639" s="1">
        <v>0</v>
      </c>
      <c r="L639" s="1" t="s">
        <v>41</v>
      </c>
      <c r="M639" s="1">
        <v>3</v>
      </c>
      <c r="N639" s="1">
        <v>3</v>
      </c>
      <c r="O639" s="1">
        <v>0</v>
      </c>
      <c r="P639" s="11" t="str">
        <f t="shared" si="9"/>
        <v>负</v>
      </c>
      <c r="Q639" s="11" t="str">
        <f t="shared" si="9"/>
        <v>负</v>
      </c>
    </row>
    <row r="640" spans="4:17" customFormat="1" hidden="1" x14ac:dyDescent="0.15">
      <c r="D640" t="s">
        <v>6</v>
      </c>
      <c r="E640" s="1">
        <v>314397</v>
      </c>
      <c r="F640" s="1">
        <v>314397</v>
      </c>
      <c r="G640" s="8">
        <v>42832.043055555558</v>
      </c>
      <c r="H640" s="1" t="s">
        <v>46</v>
      </c>
      <c r="I640" s="1">
        <v>1</v>
      </c>
      <c r="J640" s="1">
        <v>3</v>
      </c>
      <c r="K640" s="1">
        <v>0</v>
      </c>
      <c r="L640" s="1" t="s">
        <v>40</v>
      </c>
      <c r="M640" s="1">
        <v>0</v>
      </c>
      <c r="N640" s="1">
        <v>0</v>
      </c>
      <c r="O640" s="1">
        <v>0</v>
      </c>
      <c r="P640" s="11" t="str">
        <f t="shared" si="9"/>
        <v>胜</v>
      </c>
      <c r="Q640" s="11" t="str">
        <f t="shared" si="9"/>
        <v>胜</v>
      </c>
    </row>
    <row r="641" spans="4:17" customFormat="1" hidden="1" x14ac:dyDescent="0.15">
      <c r="D641" t="s">
        <v>6</v>
      </c>
      <c r="E641" s="1">
        <v>314398</v>
      </c>
      <c r="F641" s="1">
        <v>314398</v>
      </c>
      <c r="G641" s="8">
        <v>42832.045138888891</v>
      </c>
      <c r="H641" s="1" t="s">
        <v>48</v>
      </c>
      <c r="I641" s="1">
        <v>2</v>
      </c>
      <c r="J641" s="1">
        <v>4</v>
      </c>
      <c r="K641" s="1">
        <v>0</v>
      </c>
      <c r="L641" s="1" t="s">
        <v>49</v>
      </c>
      <c r="M641" s="1">
        <v>1</v>
      </c>
      <c r="N641" s="1">
        <v>3</v>
      </c>
      <c r="O641" s="1">
        <v>0</v>
      </c>
      <c r="P641" s="11" t="str">
        <f t="shared" si="9"/>
        <v>胜</v>
      </c>
      <c r="Q641" s="11" t="str">
        <f t="shared" si="9"/>
        <v>胜</v>
      </c>
    </row>
    <row r="642" spans="4:17" customFormat="1" hidden="1" x14ac:dyDescent="0.15">
      <c r="D642" t="s">
        <v>6</v>
      </c>
      <c r="E642" s="1">
        <v>315048</v>
      </c>
      <c r="F642" s="1">
        <v>315048</v>
      </c>
      <c r="G642" s="8">
        <v>42832.041666666664</v>
      </c>
      <c r="H642" s="1" t="s">
        <v>45</v>
      </c>
      <c r="I642" s="1">
        <v>0</v>
      </c>
      <c r="J642" s="1">
        <v>1</v>
      </c>
      <c r="K642" s="1">
        <v>0</v>
      </c>
      <c r="L642" s="1" t="s">
        <v>53</v>
      </c>
      <c r="M642" s="1">
        <v>1</v>
      </c>
      <c r="N642" s="1">
        <v>2</v>
      </c>
      <c r="O642" s="1">
        <v>0</v>
      </c>
      <c r="P642" s="11" t="str">
        <f t="shared" si="9"/>
        <v>负</v>
      </c>
      <c r="Q642" s="11" t="str">
        <f t="shared" si="9"/>
        <v>负</v>
      </c>
    </row>
    <row r="643" spans="4:17" customFormat="1" hidden="1" x14ac:dyDescent="0.15">
      <c r="D643" t="s">
        <v>6</v>
      </c>
      <c r="E643" s="1">
        <v>315296</v>
      </c>
      <c r="F643" s="1">
        <v>315296</v>
      </c>
      <c r="G643" s="8">
        <v>42836.042361111111</v>
      </c>
      <c r="H643" s="1" t="s">
        <v>56</v>
      </c>
      <c r="I643" s="1">
        <v>0</v>
      </c>
      <c r="J643" s="1">
        <v>1</v>
      </c>
      <c r="K643" s="1">
        <v>0</v>
      </c>
      <c r="L643" s="1" t="s">
        <v>46</v>
      </c>
      <c r="M643" s="1">
        <v>0</v>
      </c>
      <c r="N643" s="1">
        <v>0</v>
      </c>
      <c r="O643" s="1">
        <v>0</v>
      </c>
      <c r="P643" s="11" t="str">
        <f t="shared" si="9"/>
        <v>平</v>
      </c>
      <c r="Q643" s="11" t="str">
        <f t="shared" si="9"/>
        <v>胜</v>
      </c>
    </row>
    <row r="644" spans="4:17" customFormat="1" hidden="1" x14ac:dyDescent="0.15">
      <c r="D644" t="s">
        <v>6</v>
      </c>
      <c r="E644" s="1">
        <v>315299</v>
      </c>
      <c r="F644" s="1">
        <v>315299</v>
      </c>
      <c r="G644" s="8">
        <v>42835.003472222219</v>
      </c>
      <c r="H644" s="1" t="s">
        <v>49</v>
      </c>
      <c r="I644" s="1">
        <v>0</v>
      </c>
      <c r="J644" s="1">
        <v>1</v>
      </c>
      <c r="K644" s="1">
        <v>0</v>
      </c>
      <c r="L644" s="1" t="s">
        <v>52</v>
      </c>
      <c r="M644" s="1">
        <v>1</v>
      </c>
      <c r="N644" s="1">
        <v>2</v>
      </c>
      <c r="O644" s="1">
        <v>0</v>
      </c>
      <c r="P644" s="11" t="str">
        <f t="shared" si="9"/>
        <v>负</v>
      </c>
      <c r="Q644" s="11" t="str">
        <f t="shared" si="9"/>
        <v>负</v>
      </c>
    </row>
    <row r="645" spans="4:17" customFormat="1" hidden="1" x14ac:dyDescent="0.15">
      <c r="D645" t="s">
        <v>6</v>
      </c>
      <c r="E645" s="1">
        <v>315300</v>
      </c>
      <c r="F645" s="1">
        <v>315300</v>
      </c>
      <c r="G645" s="8">
        <v>42835.003472222219</v>
      </c>
      <c r="H645" s="1" t="s">
        <v>42</v>
      </c>
      <c r="I645" s="1">
        <v>0</v>
      </c>
      <c r="J645" s="1">
        <v>2</v>
      </c>
      <c r="K645" s="1">
        <v>0</v>
      </c>
      <c r="L645" s="1" t="s">
        <v>54</v>
      </c>
      <c r="M645" s="1">
        <v>0</v>
      </c>
      <c r="N645" s="1">
        <v>0</v>
      </c>
      <c r="O645" s="1">
        <v>0</v>
      </c>
      <c r="P645" s="11" t="str">
        <f t="shared" si="9"/>
        <v>平</v>
      </c>
      <c r="Q645" s="11" t="str">
        <f t="shared" si="9"/>
        <v>胜</v>
      </c>
    </row>
    <row r="646" spans="4:17" customFormat="1" hidden="1" x14ac:dyDescent="0.15">
      <c r="D646" t="s">
        <v>6</v>
      </c>
      <c r="E646" s="1">
        <v>315361</v>
      </c>
      <c r="F646" s="1">
        <v>315361</v>
      </c>
      <c r="G646" s="8">
        <v>42834.003472222219</v>
      </c>
      <c r="H646" s="1" t="s">
        <v>37</v>
      </c>
      <c r="I646" s="1">
        <v>2</v>
      </c>
      <c r="J646" s="1">
        <v>2</v>
      </c>
      <c r="K646" s="1">
        <v>0</v>
      </c>
      <c r="L646" s="1" t="s">
        <v>38</v>
      </c>
      <c r="M646" s="1">
        <v>1</v>
      </c>
      <c r="N646" s="1">
        <v>1</v>
      </c>
      <c r="O646" s="1">
        <v>0</v>
      </c>
      <c r="P646" s="11" t="str">
        <f t="shared" si="9"/>
        <v>胜</v>
      </c>
      <c r="Q646" s="11" t="str">
        <f t="shared" si="9"/>
        <v>胜</v>
      </c>
    </row>
    <row r="647" spans="4:17" customFormat="1" hidden="1" x14ac:dyDescent="0.15">
      <c r="D647" t="s">
        <v>6</v>
      </c>
      <c r="E647" s="1">
        <v>315495</v>
      </c>
      <c r="F647" s="1">
        <v>315495</v>
      </c>
      <c r="G647" s="8">
        <v>42835.000694444447</v>
      </c>
      <c r="H647" s="1" t="s">
        <v>41</v>
      </c>
      <c r="I647" s="1">
        <v>1</v>
      </c>
      <c r="J647" s="1">
        <v>3</v>
      </c>
      <c r="K647" s="1">
        <v>0</v>
      </c>
      <c r="L647" s="1" t="s">
        <v>45</v>
      </c>
      <c r="M647" s="1">
        <v>0</v>
      </c>
      <c r="N647" s="1">
        <v>0</v>
      </c>
      <c r="O647" s="1">
        <v>0</v>
      </c>
      <c r="P647" s="11" t="str">
        <f t="shared" si="9"/>
        <v>胜</v>
      </c>
      <c r="Q647" s="11" t="str">
        <f t="shared" si="9"/>
        <v>胜</v>
      </c>
    </row>
    <row r="648" spans="4:17" customFormat="1" hidden="1" x14ac:dyDescent="0.15">
      <c r="D648" t="s">
        <v>6</v>
      </c>
      <c r="E648" s="1">
        <v>315496</v>
      </c>
      <c r="F648" s="1">
        <v>315496</v>
      </c>
      <c r="G648" s="8">
        <v>42835.001388888886</v>
      </c>
      <c r="H648" s="1" t="s">
        <v>53</v>
      </c>
      <c r="I648" s="1">
        <v>0</v>
      </c>
      <c r="J648" s="1">
        <v>3</v>
      </c>
      <c r="K648" s="1">
        <v>0</v>
      </c>
      <c r="L648" s="1" t="s">
        <v>35</v>
      </c>
      <c r="M648" s="1">
        <v>0</v>
      </c>
      <c r="N648" s="1">
        <v>0</v>
      </c>
      <c r="O648" s="1">
        <v>0</v>
      </c>
      <c r="P648" s="11" t="str">
        <f t="shared" si="9"/>
        <v>平</v>
      </c>
      <c r="Q648" s="11" t="str">
        <f t="shared" si="9"/>
        <v>胜</v>
      </c>
    </row>
    <row r="649" spans="4:17" customFormat="1" hidden="1" x14ac:dyDescent="0.15">
      <c r="D649" t="s">
        <v>6</v>
      </c>
      <c r="E649" s="1">
        <v>315497</v>
      </c>
      <c r="F649" s="1">
        <v>315497</v>
      </c>
      <c r="G649" s="8">
        <v>42835.001388888886</v>
      </c>
      <c r="H649" s="1" t="s">
        <v>44</v>
      </c>
      <c r="I649" s="1">
        <v>0</v>
      </c>
      <c r="J649" s="1">
        <v>0</v>
      </c>
      <c r="K649" s="1">
        <v>0</v>
      </c>
      <c r="L649" s="1" t="s">
        <v>48</v>
      </c>
      <c r="M649" s="1">
        <v>1</v>
      </c>
      <c r="N649" s="1">
        <v>2</v>
      </c>
      <c r="O649" s="1">
        <v>0</v>
      </c>
      <c r="P649" s="11" t="str">
        <f t="shared" si="9"/>
        <v>负</v>
      </c>
      <c r="Q649" s="11" t="str">
        <f t="shared" si="9"/>
        <v>负</v>
      </c>
    </row>
    <row r="650" spans="4:17" customFormat="1" hidden="1" x14ac:dyDescent="0.15">
      <c r="D650" t="s">
        <v>6</v>
      </c>
      <c r="E650" s="1">
        <v>315499</v>
      </c>
      <c r="F650" s="1">
        <v>315499</v>
      </c>
      <c r="G650" s="8">
        <v>42835.083333333336</v>
      </c>
      <c r="H650" s="1" t="s">
        <v>40</v>
      </c>
      <c r="I650" s="1">
        <v>1</v>
      </c>
      <c r="J650" s="1">
        <v>1</v>
      </c>
      <c r="K650" s="1">
        <v>0</v>
      </c>
      <c r="L650" s="1" t="s">
        <v>43</v>
      </c>
      <c r="M650" s="1">
        <v>1</v>
      </c>
      <c r="N650" s="1">
        <v>1</v>
      </c>
      <c r="O650" s="1">
        <v>0</v>
      </c>
      <c r="P650" s="11" t="str">
        <f t="shared" si="9"/>
        <v>平</v>
      </c>
      <c r="Q650" s="11" t="str">
        <f t="shared" si="9"/>
        <v>平</v>
      </c>
    </row>
    <row r="651" spans="4:17" customFormat="1" hidden="1" x14ac:dyDescent="0.15">
      <c r="D651" t="s">
        <v>6</v>
      </c>
      <c r="E651" s="1">
        <v>317330</v>
      </c>
      <c r="F651" s="1">
        <v>317330</v>
      </c>
      <c r="G651" s="8">
        <v>42843</v>
      </c>
      <c r="H651" s="1" t="s">
        <v>43</v>
      </c>
      <c r="I651" s="1">
        <v>2</v>
      </c>
      <c r="J651" s="1">
        <v>3</v>
      </c>
      <c r="K651" s="1">
        <v>0</v>
      </c>
      <c r="L651" s="1" t="s">
        <v>44</v>
      </c>
      <c r="M651" s="1">
        <v>0</v>
      </c>
      <c r="N651" s="1">
        <v>1</v>
      </c>
      <c r="O651" s="1">
        <v>0</v>
      </c>
      <c r="P651" s="11" t="str">
        <f t="shared" si="9"/>
        <v>胜</v>
      </c>
      <c r="Q651" s="11" t="str">
        <f t="shared" si="9"/>
        <v>胜</v>
      </c>
    </row>
    <row r="652" spans="4:17" customFormat="1" hidden="1" x14ac:dyDescent="0.15">
      <c r="D652" t="s">
        <v>6</v>
      </c>
      <c r="E652" s="1">
        <v>317331</v>
      </c>
      <c r="F652" s="1">
        <v>317331</v>
      </c>
      <c r="G652" s="8">
        <v>42843.003472222219</v>
      </c>
      <c r="H652" s="1" t="s">
        <v>38</v>
      </c>
      <c r="I652" s="1">
        <v>3</v>
      </c>
      <c r="J652" s="1">
        <v>4</v>
      </c>
      <c r="K652" s="1">
        <v>0</v>
      </c>
      <c r="L652" s="1" t="s">
        <v>49</v>
      </c>
      <c r="M652" s="1">
        <v>0</v>
      </c>
      <c r="N652" s="1">
        <v>0</v>
      </c>
      <c r="O652" s="1">
        <v>0</v>
      </c>
      <c r="P652" s="11" t="str">
        <f t="shared" si="9"/>
        <v>胜</v>
      </c>
      <c r="Q652" s="11" t="str">
        <f t="shared" si="9"/>
        <v>胜</v>
      </c>
    </row>
    <row r="653" spans="4:17" customFormat="1" hidden="1" x14ac:dyDescent="0.15">
      <c r="D653" t="s">
        <v>6</v>
      </c>
      <c r="E653" s="1">
        <v>317332</v>
      </c>
      <c r="F653" s="1">
        <v>317332</v>
      </c>
      <c r="G653" s="8">
        <v>42842.995833333334</v>
      </c>
      <c r="H653" s="1" t="s">
        <v>52</v>
      </c>
      <c r="I653" s="1">
        <v>0</v>
      </c>
      <c r="J653" s="1">
        <v>2</v>
      </c>
      <c r="K653" s="1">
        <v>0</v>
      </c>
      <c r="L653" s="1" t="s">
        <v>56</v>
      </c>
      <c r="M653" s="1">
        <v>0</v>
      </c>
      <c r="N653" s="1">
        <v>0</v>
      </c>
      <c r="O653" s="1">
        <v>0</v>
      </c>
      <c r="P653" s="11" t="str">
        <f t="shared" ref="P653:Q716" si="10">IF(I653=M653,"平",IF(I653&gt;M653,"胜","负"))</f>
        <v>平</v>
      </c>
      <c r="Q653" s="11" t="str">
        <f t="shared" si="10"/>
        <v>胜</v>
      </c>
    </row>
    <row r="654" spans="4:17" customFormat="1" hidden="1" x14ac:dyDescent="0.15">
      <c r="D654" t="s">
        <v>6</v>
      </c>
      <c r="E654" s="1">
        <v>317333</v>
      </c>
      <c r="F654" s="1">
        <v>317333</v>
      </c>
      <c r="G654" s="8">
        <v>42843.002083333333</v>
      </c>
      <c r="H654" s="1" t="s">
        <v>46</v>
      </c>
      <c r="I654" s="1">
        <v>2</v>
      </c>
      <c r="J654" s="1">
        <v>3</v>
      </c>
      <c r="K654" s="1">
        <v>0</v>
      </c>
      <c r="L654" s="1" t="s">
        <v>48</v>
      </c>
      <c r="M654" s="1">
        <v>0</v>
      </c>
      <c r="N654" s="1">
        <v>1</v>
      </c>
      <c r="O654" s="1">
        <v>0</v>
      </c>
      <c r="P654" s="11" t="str">
        <f t="shared" si="10"/>
        <v>胜</v>
      </c>
      <c r="Q654" s="11" t="str">
        <f t="shared" si="10"/>
        <v>胜</v>
      </c>
    </row>
    <row r="655" spans="4:17" customFormat="1" hidden="1" x14ac:dyDescent="0.15">
      <c r="D655" t="s">
        <v>6</v>
      </c>
      <c r="E655" s="1">
        <v>317334</v>
      </c>
      <c r="F655" s="1">
        <v>317334</v>
      </c>
      <c r="G655" s="8">
        <v>42843.003472222219</v>
      </c>
      <c r="H655" s="1" t="s">
        <v>35</v>
      </c>
      <c r="I655" s="1">
        <v>1</v>
      </c>
      <c r="J655" s="1">
        <v>1</v>
      </c>
      <c r="K655" s="1">
        <v>0</v>
      </c>
      <c r="L655" s="1" t="s">
        <v>40</v>
      </c>
      <c r="M655" s="1">
        <v>1</v>
      </c>
      <c r="N655" s="1">
        <v>1</v>
      </c>
      <c r="O655" s="1">
        <v>0</v>
      </c>
      <c r="P655" s="11" t="str">
        <f t="shared" si="10"/>
        <v>平</v>
      </c>
      <c r="Q655" s="11" t="str">
        <f t="shared" si="10"/>
        <v>平</v>
      </c>
    </row>
    <row r="656" spans="4:17" customFormat="1" hidden="1" x14ac:dyDescent="0.15">
      <c r="D656" t="s">
        <v>6</v>
      </c>
      <c r="E656" s="1">
        <v>317335</v>
      </c>
      <c r="F656" s="1">
        <v>317335</v>
      </c>
      <c r="G656" s="8">
        <v>42843.000694444447</v>
      </c>
      <c r="H656" s="1" t="s">
        <v>42</v>
      </c>
      <c r="I656" s="1">
        <v>1</v>
      </c>
      <c r="J656" s="1">
        <v>3</v>
      </c>
      <c r="K656" s="1">
        <v>0</v>
      </c>
      <c r="L656" s="1" t="s">
        <v>41</v>
      </c>
      <c r="M656" s="1">
        <v>0</v>
      </c>
      <c r="N656" s="1">
        <v>0</v>
      </c>
      <c r="O656" s="1">
        <v>0</v>
      </c>
      <c r="P656" s="11" t="str">
        <f t="shared" si="10"/>
        <v>胜</v>
      </c>
      <c r="Q656" s="11" t="str">
        <f t="shared" si="10"/>
        <v>胜</v>
      </c>
    </row>
    <row r="657" spans="4:17" customFormat="1" hidden="1" x14ac:dyDescent="0.15">
      <c r="D657" t="s">
        <v>6</v>
      </c>
      <c r="E657" s="1">
        <v>317336</v>
      </c>
      <c r="F657" s="1">
        <v>317336</v>
      </c>
      <c r="G657" s="8">
        <v>42843.083333333336</v>
      </c>
      <c r="H657" s="1" t="s">
        <v>54</v>
      </c>
      <c r="I657" s="1">
        <v>1</v>
      </c>
      <c r="J657" s="1">
        <v>1</v>
      </c>
      <c r="K657" s="1">
        <v>0</v>
      </c>
      <c r="L657" s="1" t="s">
        <v>53</v>
      </c>
      <c r="M657" s="1">
        <v>0</v>
      </c>
      <c r="N657" s="1">
        <v>0</v>
      </c>
      <c r="O657" s="1">
        <v>0</v>
      </c>
      <c r="P657" s="11" t="str">
        <f t="shared" si="10"/>
        <v>胜</v>
      </c>
      <c r="Q657" s="11" t="str">
        <f t="shared" si="10"/>
        <v>胜</v>
      </c>
    </row>
    <row r="658" spans="4:17" customFormat="1" hidden="1" x14ac:dyDescent="0.15">
      <c r="D658" t="s">
        <v>6</v>
      </c>
      <c r="E658" s="1">
        <v>317337</v>
      </c>
      <c r="F658" s="1">
        <v>317337</v>
      </c>
      <c r="G658" s="8">
        <v>42843.084722222222</v>
      </c>
      <c r="H658" s="1" t="s">
        <v>45</v>
      </c>
      <c r="I658" s="1">
        <v>0</v>
      </c>
      <c r="J658" s="1">
        <v>0</v>
      </c>
      <c r="K658" s="1">
        <v>0</v>
      </c>
      <c r="L658" s="1" t="s">
        <v>37</v>
      </c>
      <c r="M658" s="1">
        <v>1</v>
      </c>
      <c r="N658" s="1">
        <v>1</v>
      </c>
      <c r="O658" s="1">
        <v>0</v>
      </c>
      <c r="P658" s="11" t="str">
        <f t="shared" si="10"/>
        <v>负</v>
      </c>
      <c r="Q658" s="11" t="str">
        <f t="shared" si="10"/>
        <v>负</v>
      </c>
    </row>
    <row r="659" spans="4:17" customFormat="1" hidden="1" x14ac:dyDescent="0.15">
      <c r="D659" t="s">
        <v>6</v>
      </c>
      <c r="E659" s="1">
        <v>320058</v>
      </c>
      <c r="F659" s="1">
        <v>320058</v>
      </c>
      <c r="G659" s="8">
        <v>42848</v>
      </c>
      <c r="H659" s="1" t="s">
        <v>40</v>
      </c>
      <c r="I659" s="1">
        <v>0</v>
      </c>
      <c r="J659" s="1">
        <v>1</v>
      </c>
      <c r="K659" s="1">
        <v>0</v>
      </c>
      <c r="L659" s="1" t="s">
        <v>52</v>
      </c>
      <c r="M659" s="1">
        <v>0</v>
      </c>
      <c r="N659" s="1">
        <v>0</v>
      </c>
      <c r="O659" s="1">
        <v>0</v>
      </c>
      <c r="P659" s="11" t="str">
        <f t="shared" si="10"/>
        <v>平</v>
      </c>
      <c r="Q659" s="11" t="str">
        <f t="shared" si="10"/>
        <v>胜</v>
      </c>
    </row>
    <row r="660" spans="4:17" customFormat="1" hidden="1" x14ac:dyDescent="0.15">
      <c r="D660" t="s">
        <v>6</v>
      </c>
      <c r="E660" s="1">
        <v>320059</v>
      </c>
      <c r="F660" s="1">
        <v>320059</v>
      </c>
      <c r="G660" s="8">
        <v>42849</v>
      </c>
      <c r="H660" s="1" t="s">
        <v>37</v>
      </c>
      <c r="I660" s="1">
        <v>0</v>
      </c>
      <c r="J660" s="1">
        <v>0</v>
      </c>
      <c r="K660" s="1">
        <v>0</v>
      </c>
      <c r="L660" s="1" t="s">
        <v>43</v>
      </c>
      <c r="M660" s="1">
        <v>0</v>
      </c>
      <c r="N660" s="1">
        <v>0</v>
      </c>
      <c r="O660" s="1">
        <v>0</v>
      </c>
      <c r="P660" s="11" t="str">
        <f t="shared" si="10"/>
        <v>平</v>
      </c>
      <c r="Q660" s="11" t="str">
        <f t="shared" si="10"/>
        <v>平</v>
      </c>
    </row>
    <row r="661" spans="4:17" customFormat="1" hidden="1" x14ac:dyDescent="0.15">
      <c r="D661" t="s">
        <v>6</v>
      </c>
      <c r="E661" s="1">
        <v>320060</v>
      </c>
      <c r="F661" s="1">
        <v>320060</v>
      </c>
      <c r="G661" s="8">
        <v>42849</v>
      </c>
      <c r="H661" s="1" t="s">
        <v>41</v>
      </c>
      <c r="I661" s="1">
        <v>2</v>
      </c>
      <c r="J661" s="1">
        <v>5</v>
      </c>
      <c r="K661" s="1">
        <v>0</v>
      </c>
      <c r="L661" s="1" t="s">
        <v>56</v>
      </c>
      <c r="M661" s="1">
        <v>0</v>
      </c>
      <c r="N661" s="1">
        <v>1</v>
      </c>
      <c r="O661" s="1">
        <v>0</v>
      </c>
      <c r="P661" s="11" t="str">
        <f t="shared" si="10"/>
        <v>胜</v>
      </c>
      <c r="Q661" s="11" t="str">
        <f t="shared" si="10"/>
        <v>胜</v>
      </c>
    </row>
    <row r="662" spans="4:17" customFormat="1" hidden="1" x14ac:dyDescent="0.15">
      <c r="D662" t="s">
        <v>6</v>
      </c>
      <c r="E662" s="1">
        <v>320061</v>
      </c>
      <c r="F662" s="1">
        <v>320061</v>
      </c>
      <c r="G662" s="8">
        <v>42849.000694444447</v>
      </c>
      <c r="H662" s="1" t="s">
        <v>53</v>
      </c>
      <c r="I662" s="1">
        <v>0</v>
      </c>
      <c r="J662" s="1">
        <v>0</v>
      </c>
      <c r="K662" s="1">
        <v>0</v>
      </c>
      <c r="L662" s="1" t="s">
        <v>42</v>
      </c>
      <c r="M662" s="1">
        <v>3</v>
      </c>
      <c r="N662" s="1">
        <v>3</v>
      </c>
      <c r="O662" s="1">
        <v>0</v>
      </c>
      <c r="P662" s="11" t="str">
        <f t="shared" si="10"/>
        <v>负</v>
      </c>
      <c r="Q662" s="11" t="str">
        <f t="shared" si="10"/>
        <v>负</v>
      </c>
    </row>
    <row r="663" spans="4:17" customFormat="1" hidden="1" x14ac:dyDescent="0.15">
      <c r="D663" t="s">
        <v>6</v>
      </c>
      <c r="E663" s="1">
        <v>320062</v>
      </c>
      <c r="F663" s="1">
        <v>320062</v>
      </c>
      <c r="G663" s="8">
        <v>42849.002083333333</v>
      </c>
      <c r="H663" s="1" t="s">
        <v>49</v>
      </c>
      <c r="I663" s="1">
        <v>2</v>
      </c>
      <c r="J663" s="1">
        <v>3</v>
      </c>
      <c r="K663" s="1">
        <v>0</v>
      </c>
      <c r="L663" s="1" t="s">
        <v>35</v>
      </c>
      <c r="M663" s="1">
        <v>0</v>
      </c>
      <c r="N663" s="1">
        <v>0</v>
      </c>
      <c r="O663" s="1">
        <v>0</v>
      </c>
      <c r="P663" s="11" t="str">
        <f t="shared" si="10"/>
        <v>胜</v>
      </c>
      <c r="Q663" s="11" t="str">
        <f t="shared" si="10"/>
        <v>胜</v>
      </c>
    </row>
    <row r="664" spans="4:17" customFormat="1" hidden="1" x14ac:dyDescent="0.15">
      <c r="D664" t="s">
        <v>6</v>
      </c>
      <c r="E664" s="1">
        <v>320063</v>
      </c>
      <c r="F664" s="1">
        <v>320063</v>
      </c>
      <c r="G664" s="8">
        <v>42848.999305555553</v>
      </c>
      <c r="H664" s="1" t="s">
        <v>45</v>
      </c>
      <c r="I664" s="1">
        <v>1</v>
      </c>
      <c r="J664" s="1">
        <v>3</v>
      </c>
      <c r="K664" s="1">
        <v>0</v>
      </c>
      <c r="L664" s="1" t="s">
        <v>54</v>
      </c>
      <c r="M664" s="1">
        <v>0</v>
      </c>
      <c r="N664" s="1">
        <v>0</v>
      </c>
      <c r="O664" s="1">
        <v>0</v>
      </c>
      <c r="P664" s="11" t="str">
        <f t="shared" si="10"/>
        <v>胜</v>
      </c>
      <c r="Q664" s="11" t="str">
        <f t="shared" si="10"/>
        <v>胜</v>
      </c>
    </row>
    <row r="665" spans="4:17" customFormat="1" hidden="1" x14ac:dyDescent="0.15">
      <c r="D665" t="s">
        <v>6</v>
      </c>
      <c r="E665" s="1">
        <v>320064</v>
      </c>
      <c r="F665" s="1">
        <v>320064</v>
      </c>
      <c r="G665" s="8">
        <v>42849.083333333336</v>
      </c>
      <c r="H665" s="1" t="s">
        <v>44</v>
      </c>
      <c r="I665" s="1">
        <v>0</v>
      </c>
      <c r="J665" s="1">
        <v>0</v>
      </c>
      <c r="K665" s="1">
        <v>0</v>
      </c>
      <c r="L665" s="1" t="s">
        <v>46</v>
      </c>
      <c r="M665" s="1">
        <v>0</v>
      </c>
      <c r="N665" s="1">
        <v>2</v>
      </c>
      <c r="O665" s="1">
        <v>0</v>
      </c>
      <c r="P665" s="11" t="str">
        <f t="shared" si="10"/>
        <v>平</v>
      </c>
      <c r="Q665" s="11" t="str">
        <f t="shared" si="10"/>
        <v>负</v>
      </c>
    </row>
    <row r="666" spans="4:17" customFormat="1" hidden="1" x14ac:dyDescent="0.15">
      <c r="D666" t="s">
        <v>6</v>
      </c>
      <c r="E666" s="1">
        <v>320065</v>
      </c>
      <c r="F666" s="1">
        <v>320065</v>
      </c>
      <c r="G666" s="8">
        <v>42850.041666666664</v>
      </c>
      <c r="H666" s="1" t="s">
        <v>48</v>
      </c>
      <c r="I666" s="1">
        <v>0</v>
      </c>
      <c r="J666" s="1">
        <v>0</v>
      </c>
      <c r="K666" s="1">
        <v>0</v>
      </c>
      <c r="L666" s="1" t="s">
        <v>38</v>
      </c>
      <c r="M666" s="1">
        <v>0</v>
      </c>
      <c r="N666" s="1">
        <v>0</v>
      </c>
      <c r="O666" s="1">
        <v>0</v>
      </c>
      <c r="P666" s="11" t="str">
        <f t="shared" si="10"/>
        <v>平</v>
      </c>
      <c r="Q666" s="11" t="str">
        <f t="shared" si="10"/>
        <v>平</v>
      </c>
    </row>
    <row r="667" spans="4:17" customFormat="1" hidden="1" x14ac:dyDescent="0.15">
      <c r="D667" t="s">
        <v>6</v>
      </c>
      <c r="E667" s="1">
        <v>322397</v>
      </c>
      <c r="F667" s="1">
        <v>322397</v>
      </c>
      <c r="G667" s="8">
        <v>42855.011805555558</v>
      </c>
      <c r="H667" s="1" t="s">
        <v>46</v>
      </c>
      <c r="I667" s="1">
        <v>1</v>
      </c>
      <c r="J667" s="1">
        <v>1</v>
      </c>
      <c r="K667" s="1">
        <v>0</v>
      </c>
      <c r="L667" s="1" t="s">
        <v>45</v>
      </c>
      <c r="M667" s="1">
        <v>1</v>
      </c>
      <c r="N667" s="1">
        <v>1</v>
      </c>
      <c r="O667" s="1">
        <v>0</v>
      </c>
      <c r="P667" s="11" t="str">
        <f t="shared" si="10"/>
        <v>平</v>
      </c>
      <c r="Q667" s="11" t="str">
        <f t="shared" si="10"/>
        <v>平</v>
      </c>
    </row>
    <row r="668" spans="4:17" customFormat="1" hidden="1" x14ac:dyDescent="0.15">
      <c r="D668" t="s">
        <v>6</v>
      </c>
      <c r="E668" s="1">
        <v>322398</v>
      </c>
      <c r="F668" s="1">
        <v>322398</v>
      </c>
      <c r="G668" s="8">
        <v>42856.003472222219</v>
      </c>
      <c r="H668" s="1" t="s">
        <v>43</v>
      </c>
      <c r="I668" s="1">
        <v>0</v>
      </c>
      <c r="J668" s="1">
        <v>3</v>
      </c>
      <c r="K668" s="1">
        <v>0</v>
      </c>
      <c r="L668" s="1" t="s">
        <v>53</v>
      </c>
      <c r="M668" s="1">
        <v>1</v>
      </c>
      <c r="N668" s="1">
        <v>1</v>
      </c>
      <c r="O668" s="1">
        <v>0</v>
      </c>
      <c r="P668" s="11" t="str">
        <f t="shared" si="10"/>
        <v>负</v>
      </c>
      <c r="Q668" s="11" t="str">
        <f t="shared" si="10"/>
        <v>胜</v>
      </c>
    </row>
    <row r="669" spans="4:17" customFormat="1" hidden="1" x14ac:dyDescent="0.15">
      <c r="D669" t="s">
        <v>6</v>
      </c>
      <c r="E669" s="1">
        <v>322399</v>
      </c>
      <c r="F669" s="1">
        <v>322399</v>
      </c>
      <c r="G669" s="8">
        <v>42856.003472222219</v>
      </c>
      <c r="H669" s="1" t="s">
        <v>56</v>
      </c>
      <c r="I669" s="1">
        <v>0</v>
      </c>
      <c r="J669" s="1">
        <v>2</v>
      </c>
      <c r="K669" s="1">
        <v>0</v>
      </c>
      <c r="L669" s="1" t="s">
        <v>40</v>
      </c>
      <c r="M669" s="1">
        <v>0</v>
      </c>
      <c r="N669" s="1">
        <v>0</v>
      </c>
      <c r="O669" s="1">
        <v>0</v>
      </c>
      <c r="P669" s="11" t="str">
        <f t="shared" si="10"/>
        <v>平</v>
      </c>
      <c r="Q669" s="11" t="str">
        <f t="shared" si="10"/>
        <v>胜</v>
      </c>
    </row>
    <row r="670" spans="4:17" customFormat="1" hidden="1" x14ac:dyDescent="0.15">
      <c r="D670" t="s">
        <v>6</v>
      </c>
      <c r="E670" s="1">
        <v>322400</v>
      </c>
      <c r="F670" s="1">
        <v>322400</v>
      </c>
      <c r="G670" s="8">
        <v>42856.003472222219</v>
      </c>
      <c r="H670" s="1" t="s">
        <v>52</v>
      </c>
      <c r="I670" s="1">
        <v>1</v>
      </c>
      <c r="J670" s="1">
        <v>3</v>
      </c>
      <c r="K670" s="1">
        <v>0</v>
      </c>
      <c r="L670" s="1" t="s">
        <v>38</v>
      </c>
      <c r="M670" s="1">
        <v>0</v>
      </c>
      <c r="N670" s="1">
        <v>3</v>
      </c>
      <c r="O670" s="1">
        <v>0</v>
      </c>
      <c r="P670" s="11" t="str">
        <f t="shared" si="10"/>
        <v>胜</v>
      </c>
      <c r="Q670" s="11" t="str">
        <f t="shared" si="10"/>
        <v>平</v>
      </c>
    </row>
    <row r="671" spans="4:17" customFormat="1" hidden="1" x14ac:dyDescent="0.15">
      <c r="D671" t="s">
        <v>6</v>
      </c>
      <c r="E671" s="1">
        <v>322401</v>
      </c>
      <c r="F671" s="1">
        <v>322401</v>
      </c>
      <c r="G671" s="8">
        <v>42856.003472222219</v>
      </c>
      <c r="H671" s="1" t="s">
        <v>35</v>
      </c>
      <c r="I671" s="1">
        <v>0</v>
      </c>
      <c r="J671" s="1">
        <v>0</v>
      </c>
      <c r="K671" s="1">
        <v>0</v>
      </c>
      <c r="L671" s="1" t="s">
        <v>44</v>
      </c>
      <c r="M671" s="1">
        <v>0</v>
      </c>
      <c r="N671" s="1">
        <v>1</v>
      </c>
      <c r="O671" s="1">
        <v>0</v>
      </c>
      <c r="P671" s="11" t="str">
        <f t="shared" si="10"/>
        <v>平</v>
      </c>
      <c r="Q671" s="11" t="str">
        <f t="shared" si="10"/>
        <v>负</v>
      </c>
    </row>
    <row r="672" spans="4:17" customFormat="1" hidden="1" x14ac:dyDescent="0.15">
      <c r="D672" t="s">
        <v>6</v>
      </c>
      <c r="E672" s="1">
        <v>322402</v>
      </c>
      <c r="F672" s="1">
        <v>322402</v>
      </c>
      <c r="G672" s="8">
        <v>42856.003472222219</v>
      </c>
      <c r="H672" s="1" t="s">
        <v>42</v>
      </c>
      <c r="I672" s="1">
        <v>0</v>
      </c>
      <c r="J672" s="1">
        <v>0</v>
      </c>
      <c r="K672" s="1">
        <v>0</v>
      </c>
      <c r="L672" s="1" t="s">
        <v>48</v>
      </c>
      <c r="M672" s="1">
        <v>1</v>
      </c>
      <c r="N672" s="1">
        <v>3</v>
      </c>
      <c r="O672" s="1">
        <v>0</v>
      </c>
      <c r="P672" s="11" t="str">
        <f t="shared" si="10"/>
        <v>负</v>
      </c>
      <c r="Q672" s="11" t="str">
        <f t="shared" si="10"/>
        <v>负</v>
      </c>
    </row>
    <row r="673" spans="4:17" customFormat="1" hidden="1" x14ac:dyDescent="0.15">
      <c r="D673" t="s">
        <v>6</v>
      </c>
      <c r="E673" s="1">
        <v>322403</v>
      </c>
      <c r="F673" s="1">
        <v>322403</v>
      </c>
      <c r="G673" s="8">
        <v>42856.086805555555</v>
      </c>
      <c r="H673" s="1" t="s">
        <v>54</v>
      </c>
      <c r="I673" s="1">
        <v>2</v>
      </c>
      <c r="J673" s="1">
        <v>2</v>
      </c>
      <c r="K673" s="1">
        <v>0</v>
      </c>
      <c r="L673" s="1" t="s">
        <v>49</v>
      </c>
      <c r="M673" s="1">
        <v>0</v>
      </c>
      <c r="N673" s="1">
        <v>1</v>
      </c>
      <c r="O673" s="1">
        <v>0</v>
      </c>
      <c r="P673" s="11" t="str">
        <f t="shared" si="10"/>
        <v>胜</v>
      </c>
      <c r="Q673" s="11" t="str">
        <f t="shared" si="10"/>
        <v>胜</v>
      </c>
    </row>
    <row r="674" spans="4:17" customFormat="1" hidden="1" x14ac:dyDescent="0.15">
      <c r="D674" t="s">
        <v>6</v>
      </c>
      <c r="E674" s="1">
        <v>322425</v>
      </c>
      <c r="F674" s="1">
        <v>322425</v>
      </c>
      <c r="G674" s="8">
        <v>42857.041666666664</v>
      </c>
      <c r="H674" s="1" t="s">
        <v>41</v>
      </c>
      <c r="I674" s="1">
        <v>0</v>
      </c>
      <c r="J674" s="1">
        <v>1</v>
      </c>
      <c r="K674" s="1">
        <v>0</v>
      </c>
      <c r="L674" s="1" t="s">
        <v>37</v>
      </c>
      <c r="M674" s="1">
        <v>1</v>
      </c>
      <c r="N674" s="1">
        <v>2</v>
      </c>
      <c r="O674" s="1">
        <v>0</v>
      </c>
      <c r="P674" s="11" t="str">
        <f t="shared" si="10"/>
        <v>负</v>
      </c>
      <c r="Q674" s="11" t="str">
        <f t="shared" si="10"/>
        <v>负</v>
      </c>
    </row>
    <row r="675" spans="4:17" customFormat="1" hidden="1" x14ac:dyDescent="0.15">
      <c r="D675" t="s">
        <v>6</v>
      </c>
      <c r="E675" s="1">
        <v>325156</v>
      </c>
      <c r="F675" s="1">
        <v>325156</v>
      </c>
      <c r="G675" s="8">
        <v>42862.003472222219</v>
      </c>
      <c r="H675" s="1" t="s">
        <v>38</v>
      </c>
      <c r="I675" s="1">
        <v>0</v>
      </c>
      <c r="J675" s="1">
        <v>0</v>
      </c>
      <c r="K675" s="1">
        <v>0</v>
      </c>
      <c r="L675" s="1" t="s">
        <v>43</v>
      </c>
      <c r="M675" s="1">
        <v>1</v>
      </c>
      <c r="N675" s="1">
        <v>1</v>
      </c>
      <c r="O675" s="1">
        <v>0</v>
      </c>
      <c r="P675" s="11" t="str">
        <f t="shared" si="10"/>
        <v>负</v>
      </c>
      <c r="Q675" s="11" t="str">
        <f t="shared" si="10"/>
        <v>负</v>
      </c>
    </row>
    <row r="676" spans="4:17" customFormat="1" hidden="1" x14ac:dyDescent="0.15">
      <c r="D676" t="s">
        <v>6</v>
      </c>
      <c r="E676" s="1">
        <v>325157</v>
      </c>
      <c r="F676" s="1">
        <v>325157</v>
      </c>
      <c r="G676" s="8">
        <v>42863.000694444447</v>
      </c>
      <c r="H676" s="1" t="s">
        <v>48</v>
      </c>
      <c r="I676" s="1">
        <v>0</v>
      </c>
      <c r="J676" s="1">
        <v>0</v>
      </c>
      <c r="K676" s="1">
        <v>0</v>
      </c>
      <c r="L676" s="1" t="s">
        <v>35</v>
      </c>
      <c r="M676" s="1">
        <v>0</v>
      </c>
      <c r="N676" s="1">
        <v>0</v>
      </c>
      <c r="O676" s="1">
        <v>0</v>
      </c>
      <c r="P676" s="11" t="str">
        <f t="shared" si="10"/>
        <v>平</v>
      </c>
      <c r="Q676" s="11" t="str">
        <f t="shared" si="10"/>
        <v>平</v>
      </c>
    </row>
    <row r="677" spans="4:17" customFormat="1" hidden="1" x14ac:dyDescent="0.15">
      <c r="D677" t="s">
        <v>6</v>
      </c>
      <c r="E677" s="1">
        <v>325197</v>
      </c>
      <c r="F677" s="1">
        <v>325197</v>
      </c>
      <c r="G677" s="8">
        <v>42863.002083333333</v>
      </c>
      <c r="H677" s="1" t="s">
        <v>45</v>
      </c>
      <c r="I677" s="1">
        <v>0</v>
      </c>
      <c r="J677" s="1">
        <v>0</v>
      </c>
      <c r="K677" s="1">
        <v>0</v>
      </c>
      <c r="L677" s="1" t="s">
        <v>52</v>
      </c>
      <c r="M677" s="1">
        <v>0</v>
      </c>
      <c r="N677" s="1">
        <v>2</v>
      </c>
      <c r="O677" s="1">
        <v>0</v>
      </c>
      <c r="P677" s="11" t="str">
        <f t="shared" si="10"/>
        <v>平</v>
      </c>
      <c r="Q677" s="11" t="str">
        <f t="shared" si="10"/>
        <v>负</v>
      </c>
    </row>
    <row r="678" spans="4:17" customFormat="1" hidden="1" x14ac:dyDescent="0.15">
      <c r="D678" t="s">
        <v>6</v>
      </c>
      <c r="E678" s="1">
        <v>325198</v>
      </c>
      <c r="F678" s="1">
        <v>325198</v>
      </c>
      <c r="G678" s="8">
        <v>42863.003472222219</v>
      </c>
      <c r="H678" s="1" t="s">
        <v>49</v>
      </c>
      <c r="I678" s="1">
        <v>0</v>
      </c>
      <c r="J678" s="1">
        <v>1</v>
      </c>
      <c r="K678" s="1">
        <v>0</v>
      </c>
      <c r="L678" s="1" t="s">
        <v>42</v>
      </c>
      <c r="M678" s="1">
        <v>1</v>
      </c>
      <c r="N678" s="1">
        <v>1</v>
      </c>
      <c r="O678" s="1">
        <v>0</v>
      </c>
      <c r="P678" s="11" t="str">
        <f t="shared" si="10"/>
        <v>负</v>
      </c>
      <c r="Q678" s="11" t="str">
        <f t="shared" si="10"/>
        <v>平</v>
      </c>
    </row>
    <row r="679" spans="4:17" customFormat="1" hidden="1" x14ac:dyDescent="0.15">
      <c r="D679" t="s">
        <v>6</v>
      </c>
      <c r="E679" s="1">
        <v>325199</v>
      </c>
      <c r="F679" s="1">
        <v>325199</v>
      </c>
      <c r="G679" s="8">
        <v>42863.000694444447</v>
      </c>
      <c r="H679" s="1" t="s">
        <v>40</v>
      </c>
      <c r="I679" s="1">
        <v>1</v>
      </c>
      <c r="J679" s="1">
        <v>1</v>
      </c>
      <c r="K679" s="1">
        <v>0</v>
      </c>
      <c r="L679" s="1" t="s">
        <v>41</v>
      </c>
      <c r="M679" s="1">
        <v>1</v>
      </c>
      <c r="N679" s="1">
        <v>1</v>
      </c>
      <c r="O679" s="1">
        <v>0</v>
      </c>
      <c r="P679" s="11" t="str">
        <f t="shared" si="10"/>
        <v>平</v>
      </c>
      <c r="Q679" s="11" t="str">
        <f t="shared" si="10"/>
        <v>平</v>
      </c>
    </row>
    <row r="680" spans="4:17" customFormat="1" hidden="1" x14ac:dyDescent="0.15">
      <c r="D680" t="s">
        <v>6</v>
      </c>
      <c r="E680" s="1">
        <v>325200</v>
      </c>
      <c r="F680" s="1">
        <v>325200</v>
      </c>
      <c r="G680" s="8">
        <v>42863.000694444447</v>
      </c>
      <c r="H680" s="1" t="s">
        <v>53</v>
      </c>
      <c r="I680" s="1">
        <v>1</v>
      </c>
      <c r="J680" s="1">
        <v>1</v>
      </c>
      <c r="K680" s="1">
        <v>0</v>
      </c>
      <c r="L680" s="1" t="s">
        <v>56</v>
      </c>
      <c r="M680" s="1">
        <v>1</v>
      </c>
      <c r="N680" s="1">
        <v>1</v>
      </c>
      <c r="O680" s="1">
        <v>0</v>
      </c>
      <c r="P680" s="11" t="str">
        <f t="shared" si="10"/>
        <v>平</v>
      </c>
      <c r="Q680" s="11" t="str">
        <f t="shared" si="10"/>
        <v>平</v>
      </c>
    </row>
    <row r="681" spans="4:17" customFormat="1" hidden="1" x14ac:dyDescent="0.15">
      <c r="D681" t="s">
        <v>6</v>
      </c>
      <c r="E681" s="1">
        <v>325201</v>
      </c>
      <c r="F681" s="1">
        <v>325201</v>
      </c>
      <c r="G681" s="8">
        <v>42863.086805555555</v>
      </c>
      <c r="H681" s="1" t="s">
        <v>37</v>
      </c>
      <c r="I681" s="1">
        <v>1</v>
      </c>
      <c r="J681" s="1">
        <v>2</v>
      </c>
      <c r="K681" s="1">
        <v>0</v>
      </c>
      <c r="L681" s="1" t="s">
        <v>46</v>
      </c>
      <c r="M681" s="1">
        <v>0</v>
      </c>
      <c r="N681" s="1">
        <v>1</v>
      </c>
      <c r="O681" s="1">
        <v>0</v>
      </c>
      <c r="P681" s="11" t="str">
        <f t="shared" si="10"/>
        <v>胜</v>
      </c>
      <c r="Q681" s="11" t="str">
        <f t="shared" si="10"/>
        <v>胜</v>
      </c>
    </row>
    <row r="682" spans="4:17" customFormat="1" hidden="1" x14ac:dyDescent="0.15">
      <c r="D682" t="s">
        <v>6</v>
      </c>
      <c r="E682" s="1">
        <v>325202</v>
      </c>
      <c r="F682" s="1">
        <v>325202</v>
      </c>
      <c r="G682" s="8">
        <v>42864.042361111111</v>
      </c>
      <c r="H682" s="1" t="s">
        <v>44</v>
      </c>
      <c r="I682" s="1">
        <v>0</v>
      </c>
      <c r="J682" s="1">
        <v>0</v>
      </c>
      <c r="K682" s="1">
        <v>0</v>
      </c>
      <c r="L682" s="1" t="s">
        <v>54</v>
      </c>
      <c r="M682" s="1">
        <v>0</v>
      </c>
      <c r="N682" s="1">
        <v>1</v>
      </c>
      <c r="O682" s="1">
        <v>0</v>
      </c>
      <c r="P682" s="11" t="str">
        <f t="shared" si="10"/>
        <v>平</v>
      </c>
      <c r="Q682" s="11" t="str">
        <f t="shared" si="10"/>
        <v>负</v>
      </c>
    </row>
    <row r="683" spans="4:17" customFormat="1" hidden="1" x14ac:dyDescent="0.15">
      <c r="D683" t="s">
        <v>6</v>
      </c>
      <c r="E683" s="1">
        <v>327815</v>
      </c>
      <c r="F683" s="1">
        <v>327815</v>
      </c>
      <c r="G683" s="8">
        <v>42868.044444444444</v>
      </c>
      <c r="H683" s="1" t="s">
        <v>43</v>
      </c>
      <c r="I683" s="1">
        <v>0</v>
      </c>
      <c r="J683" s="1">
        <v>0</v>
      </c>
      <c r="K683" s="1">
        <v>0</v>
      </c>
      <c r="L683" s="1" t="s">
        <v>49</v>
      </c>
      <c r="M683" s="1">
        <v>1</v>
      </c>
      <c r="N683" s="1">
        <v>1</v>
      </c>
      <c r="O683" s="1">
        <v>0</v>
      </c>
      <c r="P683" s="11" t="str">
        <f t="shared" si="10"/>
        <v>负</v>
      </c>
      <c r="Q683" s="11" t="str">
        <f t="shared" si="10"/>
        <v>负</v>
      </c>
    </row>
    <row r="684" spans="4:17" customFormat="1" hidden="1" x14ac:dyDescent="0.15">
      <c r="D684" t="s">
        <v>6</v>
      </c>
      <c r="E684" s="1">
        <v>327816</v>
      </c>
      <c r="F684" s="1">
        <v>327816</v>
      </c>
      <c r="G684" s="8">
        <v>42868.918055555558</v>
      </c>
      <c r="H684" s="1" t="s">
        <v>42</v>
      </c>
      <c r="I684" s="1">
        <v>0</v>
      </c>
      <c r="J684" s="1">
        <v>0</v>
      </c>
      <c r="K684" s="1">
        <v>0</v>
      </c>
      <c r="L684" s="1" t="s">
        <v>37</v>
      </c>
      <c r="M684" s="1">
        <v>0</v>
      </c>
      <c r="N684" s="1">
        <v>0</v>
      </c>
      <c r="O684" s="1">
        <v>0</v>
      </c>
      <c r="P684" s="11" t="str">
        <f t="shared" si="10"/>
        <v>平</v>
      </c>
      <c r="Q684" s="11" t="str">
        <f t="shared" si="10"/>
        <v>平</v>
      </c>
    </row>
    <row r="685" spans="4:17" customFormat="1" hidden="1" x14ac:dyDescent="0.15">
      <c r="D685" t="s">
        <v>6</v>
      </c>
      <c r="E685" s="1">
        <v>327817</v>
      </c>
      <c r="F685" s="1">
        <v>327817</v>
      </c>
      <c r="G685" s="8">
        <v>42869.003472222219</v>
      </c>
      <c r="H685" s="1" t="s">
        <v>56</v>
      </c>
      <c r="I685" s="1">
        <v>0</v>
      </c>
      <c r="J685" s="1">
        <v>1</v>
      </c>
      <c r="K685" s="1">
        <v>0</v>
      </c>
      <c r="L685" s="1" t="s">
        <v>44</v>
      </c>
      <c r="M685" s="1">
        <v>0</v>
      </c>
      <c r="N685" s="1">
        <v>1</v>
      </c>
      <c r="O685" s="1">
        <v>0</v>
      </c>
      <c r="P685" s="11" t="str">
        <f t="shared" si="10"/>
        <v>平</v>
      </c>
      <c r="Q685" s="11" t="str">
        <f t="shared" si="10"/>
        <v>平</v>
      </c>
    </row>
    <row r="686" spans="4:17" customFormat="1" hidden="1" x14ac:dyDescent="0.15">
      <c r="D686" t="s">
        <v>6</v>
      </c>
      <c r="E686" s="1">
        <v>327840</v>
      </c>
      <c r="F686" s="1">
        <v>327840</v>
      </c>
      <c r="G686" s="8">
        <v>42869.001388888886</v>
      </c>
      <c r="H686" s="1" t="s">
        <v>54</v>
      </c>
      <c r="I686" s="1">
        <v>0</v>
      </c>
      <c r="J686" s="1">
        <v>2</v>
      </c>
      <c r="K686" s="1">
        <v>0</v>
      </c>
      <c r="L686" s="1" t="s">
        <v>40</v>
      </c>
      <c r="M686" s="1">
        <v>0</v>
      </c>
      <c r="N686" s="1">
        <v>0</v>
      </c>
      <c r="O686" s="1">
        <v>0</v>
      </c>
      <c r="P686" s="11" t="str">
        <f t="shared" si="10"/>
        <v>平</v>
      </c>
      <c r="Q686" s="11" t="str">
        <f t="shared" si="10"/>
        <v>胜</v>
      </c>
    </row>
    <row r="687" spans="4:17" customFormat="1" hidden="1" x14ac:dyDescent="0.15">
      <c r="D687" t="s">
        <v>6</v>
      </c>
      <c r="E687" s="1">
        <v>327841</v>
      </c>
      <c r="F687" s="1">
        <v>327841</v>
      </c>
      <c r="G687" s="8">
        <v>42869.001388888886</v>
      </c>
      <c r="H687" s="1" t="s">
        <v>35</v>
      </c>
      <c r="I687" s="1">
        <v>2</v>
      </c>
      <c r="J687" s="1">
        <v>4</v>
      </c>
      <c r="K687" s="1">
        <v>0</v>
      </c>
      <c r="L687" s="1" t="s">
        <v>45</v>
      </c>
      <c r="M687" s="1">
        <v>0</v>
      </c>
      <c r="N687" s="1">
        <v>0</v>
      </c>
      <c r="O687" s="1">
        <v>0</v>
      </c>
      <c r="P687" s="11" t="str">
        <f t="shared" si="10"/>
        <v>胜</v>
      </c>
      <c r="Q687" s="11" t="str">
        <f t="shared" si="10"/>
        <v>胜</v>
      </c>
    </row>
    <row r="688" spans="4:17" customFormat="1" hidden="1" x14ac:dyDescent="0.15">
      <c r="D688" t="s">
        <v>6</v>
      </c>
      <c r="E688" s="1">
        <v>327842</v>
      </c>
      <c r="F688" s="1">
        <v>327842</v>
      </c>
      <c r="G688" s="8">
        <v>42869.000694444447</v>
      </c>
      <c r="H688" s="1" t="s">
        <v>52</v>
      </c>
      <c r="I688" s="1">
        <v>0</v>
      </c>
      <c r="J688" s="1">
        <v>2</v>
      </c>
      <c r="K688" s="1">
        <v>0</v>
      </c>
      <c r="L688" s="1" t="s">
        <v>48</v>
      </c>
      <c r="M688" s="1">
        <v>0</v>
      </c>
      <c r="N688" s="1">
        <v>0</v>
      </c>
      <c r="O688" s="1">
        <v>0</v>
      </c>
      <c r="P688" s="11" t="str">
        <f t="shared" si="10"/>
        <v>平</v>
      </c>
      <c r="Q688" s="11" t="str">
        <f t="shared" si="10"/>
        <v>胜</v>
      </c>
    </row>
    <row r="689" spans="4:17" customFormat="1" hidden="1" x14ac:dyDescent="0.15">
      <c r="D689" t="s">
        <v>6</v>
      </c>
      <c r="E689" s="1">
        <v>327843</v>
      </c>
      <c r="F689" s="1">
        <v>327843</v>
      </c>
      <c r="G689" s="8">
        <v>42869.000694444447</v>
      </c>
      <c r="H689" s="1" t="s">
        <v>41</v>
      </c>
      <c r="I689" s="1">
        <v>0</v>
      </c>
      <c r="J689" s="1">
        <v>1</v>
      </c>
      <c r="K689" s="1">
        <v>0</v>
      </c>
      <c r="L689" s="1" t="s">
        <v>53</v>
      </c>
      <c r="M689" s="1">
        <v>0</v>
      </c>
      <c r="N689" s="1">
        <v>1</v>
      </c>
      <c r="O689" s="1">
        <v>0</v>
      </c>
      <c r="P689" s="11" t="str">
        <f t="shared" si="10"/>
        <v>平</v>
      </c>
      <c r="Q689" s="11" t="str">
        <f t="shared" si="10"/>
        <v>平</v>
      </c>
    </row>
    <row r="690" spans="4:17" customFormat="1" hidden="1" x14ac:dyDescent="0.15">
      <c r="D690" t="s">
        <v>6</v>
      </c>
      <c r="E690" s="1">
        <v>327844</v>
      </c>
      <c r="F690" s="1">
        <v>327844</v>
      </c>
      <c r="G690" s="8">
        <v>42869.086805555555</v>
      </c>
      <c r="H690" s="1" t="s">
        <v>46</v>
      </c>
      <c r="I690" s="1">
        <v>1</v>
      </c>
      <c r="J690" s="1">
        <v>4</v>
      </c>
      <c r="K690" s="1">
        <v>0</v>
      </c>
      <c r="L690" s="1" t="s">
        <v>38</v>
      </c>
      <c r="M690" s="1">
        <v>1</v>
      </c>
      <c r="N690" s="1">
        <v>1</v>
      </c>
      <c r="O690" s="1">
        <v>0</v>
      </c>
      <c r="P690" s="11" t="str">
        <f t="shared" si="10"/>
        <v>平</v>
      </c>
      <c r="Q690" s="11" t="str">
        <f t="shared" si="10"/>
        <v>胜</v>
      </c>
    </row>
    <row r="691" spans="4:17" customFormat="1" hidden="1" x14ac:dyDescent="0.15">
      <c r="D691" t="s">
        <v>6</v>
      </c>
      <c r="E691" s="1">
        <v>330240</v>
      </c>
      <c r="F691" s="1">
        <v>330240</v>
      </c>
      <c r="G691" s="8">
        <v>42872.000694444447</v>
      </c>
      <c r="H691" s="1" t="s">
        <v>48</v>
      </c>
      <c r="I691" s="1">
        <v>0</v>
      </c>
      <c r="J691" s="1">
        <v>0</v>
      </c>
      <c r="K691" s="1">
        <v>0</v>
      </c>
      <c r="L691" s="1" t="s">
        <v>54</v>
      </c>
      <c r="M691" s="1">
        <v>1</v>
      </c>
      <c r="N691" s="1">
        <v>2</v>
      </c>
      <c r="O691" s="1">
        <v>0</v>
      </c>
      <c r="P691" s="11" t="str">
        <f t="shared" si="10"/>
        <v>负</v>
      </c>
      <c r="Q691" s="11" t="str">
        <f t="shared" si="10"/>
        <v>负</v>
      </c>
    </row>
    <row r="692" spans="4:17" customFormat="1" hidden="1" x14ac:dyDescent="0.15">
      <c r="D692" t="s">
        <v>6</v>
      </c>
      <c r="E692" s="1">
        <v>330241</v>
      </c>
      <c r="F692" s="1">
        <v>330241</v>
      </c>
      <c r="G692" s="8">
        <v>42872.002083333333</v>
      </c>
      <c r="H692" s="1" t="s">
        <v>44</v>
      </c>
      <c r="I692" s="1">
        <v>0</v>
      </c>
      <c r="J692" s="1">
        <v>1</v>
      </c>
      <c r="K692" s="1">
        <v>0</v>
      </c>
      <c r="L692" s="1" t="s">
        <v>41</v>
      </c>
      <c r="M692" s="1">
        <v>1</v>
      </c>
      <c r="N692" s="1">
        <v>2</v>
      </c>
      <c r="O692" s="1">
        <v>0</v>
      </c>
      <c r="P692" s="11" t="str">
        <f t="shared" si="10"/>
        <v>负</v>
      </c>
      <c r="Q692" s="11" t="str">
        <f t="shared" si="10"/>
        <v>负</v>
      </c>
    </row>
    <row r="693" spans="4:17" customFormat="1" hidden="1" x14ac:dyDescent="0.15">
      <c r="D693" t="s">
        <v>6</v>
      </c>
      <c r="E693" s="1">
        <v>330242</v>
      </c>
      <c r="F693" s="1">
        <v>330242</v>
      </c>
      <c r="G693" s="8">
        <v>42872.000694444447</v>
      </c>
      <c r="H693" s="1" t="s">
        <v>38</v>
      </c>
      <c r="I693" s="1">
        <v>0</v>
      </c>
      <c r="J693" s="1">
        <v>1</v>
      </c>
      <c r="K693" s="1">
        <v>0</v>
      </c>
      <c r="L693" s="1" t="s">
        <v>35</v>
      </c>
      <c r="M693" s="1">
        <v>0</v>
      </c>
      <c r="N693" s="1">
        <v>2</v>
      </c>
      <c r="O693" s="1">
        <v>0</v>
      </c>
      <c r="P693" s="11" t="str">
        <f t="shared" si="10"/>
        <v>平</v>
      </c>
      <c r="Q693" s="11" t="str">
        <f t="shared" si="10"/>
        <v>负</v>
      </c>
    </row>
    <row r="694" spans="4:17" customFormat="1" hidden="1" x14ac:dyDescent="0.15">
      <c r="D694" t="s">
        <v>6</v>
      </c>
      <c r="E694" s="1">
        <v>330243</v>
      </c>
      <c r="F694" s="1">
        <v>330243</v>
      </c>
      <c r="G694" s="8">
        <v>42872.003472222219</v>
      </c>
      <c r="H694" s="1" t="s">
        <v>46</v>
      </c>
      <c r="I694" s="1">
        <v>4</v>
      </c>
      <c r="J694" s="1">
        <v>5</v>
      </c>
      <c r="K694" s="1">
        <v>0</v>
      </c>
      <c r="L694" s="1" t="s">
        <v>52</v>
      </c>
      <c r="M694" s="1">
        <v>0</v>
      </c>
      <c r="N694" s="1">
        <v>0</v>
      </c>
      <c r="O694" s="1">
        <v>0</v>
      </c>
      <c r="P694" s="11" t="str">
        <f t="shared" si="10"/>
        <v>胜</v>
      </c>
      <c r="Q694" s="11" t="str">
        <f t="shared" si="10"/>
        <v>胜</v>
      </c>
    </row>
    <row r="695" spans="4:17" customFormat="1" hidden="1" x14ac:dyDescent="0.15">
      <c r="D695" t="s">
        <v>6</v>
      </c>
      <c r="E695" s="1">
        <v>330244</v>
      </c>
      <c r="F695" s="1">
        <v>330244</v>
      </c>
      <c r="G695" s="8">
        <v>42872.001388888886</v>
      </c>
      <c r="H695" s="1" t="s">
        <v>49</v>
      </c>
      <c r="I695" s="1">
        <v>0</v>
      </c>
      <c r="J695" s="1">
        <v>1</v>
      </c>
      <c r="K695" s="1">
        <v>0</v>
      </c>
      <c r="L695" s="1" t="s">
        <v>56</v>
      </c>
      <c r="M695" s="1">
        <v>0</v>
      </c>
      <c r="N695" s="1">
        <v>0</v>
      </c>
      <c r="O695" s="1">
        <v>0</v>
      </c>
      <c r="P695" s="11" t="str">
        <f t="shared" si="10"/>
        <v>平</v>
      </c>
      <c r="Q695" s="11" t="str">
        <f t="shared" si="10"/>
        <v>胜</v>
      </c>
    </row>
    <row r="696" spans="4:17" customFormat="1" hidden="1" x14ac:dyDescent="0.15">
      <c r="D696" t="s">
        <v>6</v>
      </c>
      <c r="E696" s="1">
        <v>330245</v>
      </c>
      <c r="F696" s="1">
        <v>330245</v>
      </c>
      <c r="G696" s="8">
        <v>42871.999305555553</v>
      </c>
      <c r="H696" s="1" t="s">
        <v>45</v>
      </c>
      <c r="I696" s="1">
        <v>1</v>
      </c>
      <c r="J696" s="1">
        <v>1</v>
      </c>
      <c r="K696" s="1">
        <v>0</v>
      </c>
      <c r="L696" s="1" t="s">
        <v>43</v>
      </c>
      <c r="M696" s="1">
        <v>1</v>
      </c>
      <c r="N696" s="1">
        <v>2</v>
      </c>
      <c r="O696" s="1">
        <v>0</v>
      </c>
      <c r="P696" s="11" t="str">
        <f t="shared" si="10"/>
        <v>平</v>
      </c>
      <c r="Q696" s="11" t="str">
        <f t="shared" si="10"/>
        <v>负</v>
      </c>
    </row>
    <row r="697" spans="4:17" customFormat="1" hidden="1" x14ac:dyDescent="0.15">
      <c r="D697" t="s">
        <v>6</v>
      </c>
      <c r="E697" s="1">
        <v>330246</v>
      </c>
      <c r="F697" s="1">
        <v>330246</v>
      </c>
      <c r="G697" s="8">
        <v>42872.084722222222</v>
      </c>
      <c r="H697" s="1" t="s">
        <v>37</v>
      </c>
      <c r="I697" s="1">
        <v>1</v>
      </c>
      <c r="J697" s="1">
        <v>1</v>
      </c>
      <c r="K697" s="1">
        <v>0</v>
      </c>
      <c r="L697" s="1" t="s">
        <v>53</v>
      </c>
      <c r="M697" s="1">
        <v>1</v>
      </c>
      <c r="N697" s="1">
        <v>2</v>
      </c>
      <c r="O697" s="1">
        <v>0</v>
      </c>
      <c r="P697" s="11" t="str">
        <f t="shared" si="10"/>
        <v>平</v>
      </c>
      <c r="Q697" s="11" t="str">
        <f t="shared" si="10"/>
        <v>负</v>
      </c>
    </row>
    <row r="698" spans="4:17" customFormat="1" hidden="1" x14ac:dyDescent="0.15">
      <c r="D698" t="s">
        <v>6</v>
      </c>
      <c r="E698" s="1">
        <v>330247</v>
      </c>
      <c r="F698" s="1">
        <v>330247</v>
      </c>
      <c r="G698" s="8">
        <v>42872.084027777775</v>
      </c>
      <c r="H698" s="1" t="s">
        <v>40</v>
      </c>
      <c r="I698" s="1">
        <v>1</v>
      </c>
      <c r="J698" s="1">
        <v>1</v>
      </c>
      <c r="K698" s="1">
        <v>0</v>
      </c>
      <c r="L698" s="1" t="s">
        <v>42</v>
      </c>
      <c r="M698" s="1">
        <v>1</v>
      </c>
      <c r="N698" s="1">
        <v>2</v>
      </c>
      <c r="O698" s="1">
        <v>0</v>
      </c>
      <c r="P698" s="11" t="str">
        <f t="shared" si="10"/>
        <v>平</v>
      </c>
      <c r="Q698" s="11" t="str">
        <f t="shared" si="10"/>
        <v>负</v>
      </c>
    </row>
    <row r="699" spans="4:17" customFormat="1" hidden="1" x14ac:dyDescent="0.15">
      <c r="D699" t="s">
        <v>6</v>
      </c>
      <c r="E699" s="1">
        <v>331130</v>
      </c>
      <c r="F699" s="1">
        <v>331130</v>
      </c>
      <c r="G699" s="8">
        <v>42875.895833333336</v>
      </c>
      <c r="H699" s="1" t="s">
        <v>37</v>
      </c>
      <c r="I699" s="1">
        <v>0</v>
      </c>
      <c r="J699" s="1">
        <v>1</v>
      </c>
      <c r="K699" s="1">
        <v>0</v>
      </c>
      <c r="L699" s="1" t="s">
        <v>44</v>
      </c>
      <c r="M699" s="1">
        <v>0</v>
      </c>
      <c r="N699" s="1">
        <v>1</v>
      </c>
      <c r="O699" s="1">
        <v>0</v>
      </c>
      <c r="P699" s="11" t="str">
        <f t="shared" si="10"/>
        <v>平</v>
      </c>
      <c r="Q699" s="11" t="str">
        <f t="shared" si="10"/>
        <v>平</v>
      </c>
    </row>
    <row r="700" spans="4:17" customFormat="1" hidden="1" x14ac:dyDescent="0.15">
      <c r="D700" t="s">
        <v>6</v>
      </c>
      <c r="E700" s="1">
        <v>331153</v>
      </c>
      <c r="F700" s="1">
        <v>331153</v>
      </c>
      <c r="G700" s="8">
        <v>42876.000694444447</v>
      </c>
      <c r="H700" s="1" t="s">
        <v>35</v>
      </c>
      <c r="I700" s="1">
        <v>1</v>
      </c>
      <c r="J700" s="1">
        <v>2</v>
      </c>
      <c r="K700" s="1">
        <v>0</v>
      </c>
      <c r="L700" s="1" t="s">
        <v>46</v>
      </c>
      <c r="M700" s="1">
        <v>0</v>
      </c>
      <c r="N700" s="1">
        <v>3</v>
      </c>
      <c r="O700" s="1">
        <v>0</v>
      </c>
      <c r="P700" s="11" t="str">
        <f t="shared" si="10"/>
        <v>胜</v>
      </c>
      <c r="Q700" s="11" t="str">
        <f t="shared" si="10"/>
        <v>负</v>
      </c>
    </row>
    <row r="701" spans="4:17" customFormat="1" hidden="1" x14ac:dyDescent="0.15">
      <c r="D701" t="s">
        <v>6</v>
      </c>
      <c r="E701" s="1">
        <v>331154</v>
      </c>
      <c r="F701" s="1">
        <v>331154</v>
      </c>
      <c r="G701" s="8">
        <v>42877.003472222219</v>
      </c>
      <c r="H701" s="1" t="s">
        <v>43</v>
      </c>
      <c r="I701" s="1">
        <v>2</v>
      </c>
      <c r="J701" s="1">
        <v>2</v>
      </c>
      <c r="K701" s="1">
        <v>0</v>
      </c>
      <c r="L701" s="1" t="s">
        <v>52</v>
      </c>
      <c r="M701" s="1">
        <v>0</v>
      </c>
      <c r="N701" s="1">
        <v>0</v>
      </c>
      <c r="O701" s="1">
        <v>0</v>
      </c>
      <c r="P701" s="11" t="str">
        <f t="shared" si="10"/>
        <v>胜</v>
      </c>
      <c r="Q701" s="11" t="str">
        <f t="shared" si="10"/>
        <v>胜</v>
      </c>
    </row>
    <row r="702" spans="4:17" customFormat="1" hidden="1" x14ac:dyDescent="0.15">
      <c r="D702" t="s">
        <v>6</v>
      </c>
      <c r="E702" s="1">
        <v>331155</v>
      </c>
      <c r="F702" s="1">
        <v>331155</v>
      </c>
      <c r="G702" s="8">
        <v>42877.003472222219</v>
      </c>
      <c r="H702" s="1" t="s">
        <v>56</v>
      </c>
      <c r="I702" s="1">
        <v>0</v>
      </c>
      <c r="J702" s="1">
        <v>3</v>
      </c>
      <c r="K702" s="1">
        <v>0</v>
      </c>
      <c r="L702" s="1" t="s">
        <v>48</v>
      </c>
      <c r="M702" s="1">
        <v>0</v>
      </c>
      <c r="N702" s="1">
        <v>2</v>
      </c>
      <c r="O702" s="1">
        <v>0</v>
      </c>
      <c r="P702" s="11" t="str">
        <f t="shared" si="10"/>
        <v>平</v>
      </c>
      <c r="Q702" s="11" t="str">
        <f t="shared" si="10"/>
        <v>胜</v>
      </c>
    </row>
    <row r="703" spans="4:17" customFormat="1" hidden="1" x14ac:dyDescent="0.15">
      <c r="D703" t="s">
        <v>6</v>
      </c>
      <c r="E703" s="1">
        <v>331156</v>
      </c>
      <c r="F703" s="1">
        <v>331156</v>
      </c>
      <c r="G703" s="8">
        <v>42877.001388888886</v>
      </c>
      <c r="H703" s="1" t="s">
        <v>41</v>
      </c>
      <c r="I703" s="1">
        <v>2</v>
      </c>
      <c r="J703" s="1">
        <v>2</v>
      </c>
      <c r="K703" s="1">
        <v>0</v>
      </c>
      <c r="L703" s="1" t="s">
        <v>49</v>
      </c>
      <c r="M703" s="1">
        <v>0</v>
      </c>
      <c r="N703" s="1">
        <v>0</v>
      </c>
      <c r="O703" s="1">
        <v>0</v>
      </c>
      <c r="P703" s="11" t="str">
        <f t="shared" si="10"/>
        <v>胜</v>
      </c>
      <c r="Q703" s="11" t="str">
        <f t="shared" si="10"/>
        <v>胜</v>
      </c>
    </row>
    <row r="704" spans="4:17" customFormat="1" hidden="1" x14ac:dyDescent="0.15">
      <c r="D704" t="s">
        <v>6</v>
      </c>
      <c r="E704" s="1">
        <v>331157</v>
      </c>
      <c r="F704" s="1">
        <v>331157</v>
      </c>
      <c r="G704" s="8">
        <v>42877.001388888886</v>
      </c>
      <c r="H704" s="1" t="s">
        <v>53</v>
      </c>
      <c r="I704" s="1">
        <v>1</v>
      </c>
      <c r="J704" s="1">
        <v>1</v>
      </c>
      <c r="K704" s="1">
        <v>0</v>
      </c>
      <c r="L704" s="1" t="s">
        <v>40</v>
      </c>
      <c r="M704" s="1">
        <v>0</v>
      </c>
      <c r="N704" s="1">
        <v>1</v>
      </c>
      <c r="O704" s="1">
        <v>0</v>
      </c>
      <c r="P704" s="11" t="str">
        <f t="shared" si="10"/>
        <v>胜</v>
      </c>
      <c r="Q704" s="11" t="str">
        <f t="shared" si="10"/>
        <v>平</v>
      </c>
    </row>
    <row r="705" spans="4:17" customFormat="1" hidden="1" x14ac:dyDescent="0.15">
      <c r="D705" t="s">
        <v>6</v>
      </c>
      <c r="E705" s="1">
        <v>331158</v>
      </c>
      <c r="F705" s="1">
        <v>331158</v>
      </c>
      <c r="G705" s="8">
        <v>42877.084027777775</v>
      </c>
      <c r="H705" s="1" t="s">
        <v>54</v>
      </c>
      <c r="I705" s="1">
        <v>0</v>
      </c>
      <c r="J705" s="1">
        <v>1</v>
      </c>
      <c r="K705" s="1">
        <v>0</v>
      </c>
      <c r="L705" s="1" t="s">
        <v>38</v>
      </c>
      <c r="M705" s="1">
        <v>0</v>
      </c>
      <c r="N705" s="1">
        <v>2</v>
      </c>
      <c r="O705" s="1">
        <v>0</v>
      </c>
      <c r="P705" s="11" t="str">
        <f t="shared" si="10"/>
        <v>平</v>
      </c>
      <c r="Q705" s="11" t="str">
        <f t="shared" si="10"/>
        <v>负</v>
      </c>
    </row>
    <row r="706" spans="4:17" customFormat="1" hidden="1" x14ac:dyDescent="0.15">
      <c r="D706" t="s">
        <v>6</v>
      </c>
      <c r="E706" s="1">
        <v>331159</v>
      </c>
      <c r="F706" s="1">
        <v>331159</v>
      </c>
      <c r="G706" s="8">
        <v>42878.045138888891</v>
      </c>
      <c r="H706" s="1" t="s">
        <v>42</v>
      </c>
      <c r="I706" s="1">
        <v>0</v>
      </c>
      <c r="J706" s="1">
        <v>1</v>
      </c>
      <c r="K706" s="1">
        <v>0</v>
      </c>
      <c r="L706" s="1" t="s">
        <v>45</v>
      </c>
      <c r="M706" s="1">
        <v>1</v>
      </c>
      <c r="N706" s="1">
        <v>1</v>
      </c>
      <c r="O706" s="1">
        <v>0</v>
      </c>
      <c r="P706" s="11" t="str">
        <f t="shared" si="10"/>
        <v>负</v>
      </c>
      <c r="Q706" s="11" t="str">
        <f t="shared" si="10"/>
        <v>平</v>
      </c>
    </row>
    <row r="707" spans="4:17" customFormat="1" hidden="1" x14ac:dyDescent="0.15">
      <c r="D707" t="s">
        <v>6</v>
      </c>
      <c r="E707" s="1">
        <v>332903</v>
      </c>
      <c r="F707" s="1">
        <v>332903</v>
      </c>
      <c r="G707" s="8">
        <v>42883.001388888886</v>
      </c>
      <c r="H707" s="1" t="s">
        <v>52</v>
      </c>
      <c r="I707" s="1">
        <v>0</v>
      </c>
      <c r="J707" s="1">
        <v>0</v>
      </c>
      <c r="K707" s="1">
        <v>0</v>
      </c>
      <c r="L707" s="1" t="s">
        <v>54</v>
      </c>
      <c r="M707" s="1">
        <v>0</v>
      </c>
      <c r="N707" s="1">
        <v>0</v>
      </c>
      <c r="O707" s="1">
        <v>0</v>
      </c>
      <c r="P707" s="11" t="str">
        <f t="shared" si="10"/>
        <v>平</v>
      </c>
      <c r="Q707" s="11" t="str">
        <f t="shared" si="10"/>
        <v>平</v>
      </c>
    </row>
    <row r="708" spans="4:17" customFormat="1" hidden="1" x14ac:dyDescent="0.15">
      <c r="D708" t="s">
        <v>6</v>
      </c>
      <c r="E708" s="1">
        <v>332904</v>
      </c>
      <c r="F708" s="1">
        <v>332904</v>
      </c>
      <c r="G708" s="8">
        <v>42883.999305555553</v>
      </c>
      <c r="H708" s="1" t="s">
        <v>48</v>
      </c>
      <c r="I708" s="1">
        <v>0</v>
      </c>
      <c r="J708" s="1">
        <v>0</v>
      </c>
      <c r="K708" s="1">
        <v>0</v>
      </c>
      <c r="L708" s="1" t="s">
        <v>41</v>
      </c>
      <c r="M708" s="1">
        <v>0</v>
      </c>
      <c r="N708" s="1">
        <v>0</v>
      </c>
      <c r="O708" s="1">
        <v>0</v>
      </c>
      <c r="P708" s="11" t="str">
        <f t="shared" si="10"/>
        <v>平</v>
      </c>
      <c r="Q708" s="11" t="str">
        <f t="shared" si="10"/>
        <v>平</v>
      </c>
    </row>
    <row r="709" spans="4:17" customFormat="1" hidden="1" x14ac:dyDescent="0.15">
      <c r="D709" t="s">
        <v>6</v>
      </c>
      <c r="E709" s="1">
        <v>332905</v>
      </c>
      <c r="F709" s="1">
        <v>332905</v>
      </c>
      <c r="G709" s="8">
        <v>42884</v>
      </c>
      <c r="H709" s="1" t="s">
        <v>56</v>
      </c>
      <c r="I709" s="1">
        <v>1</v>
      </c>
      <c r="J709" s="1">
        <v>1</v>
      </c>
      <c r="K709" s="1">
        <v>0</v>
      </c>
      <c r="L709" s="1" t="s">
        <v>35</v>
      </c>
      <c r="M709" s="1">
        <v>0</v>
      </c>
      <c r="N709" s="1">
        <v>1</v>
      </c>
      <c r="O709" s="1">
        <v>0</v>
      </c>
      <c r="P709" s="11" t="str">
        <f t="shared" si="10"/>
        <v>胜</v>
      </c>
      <c r="Q709" s="11" t="str">
        <f t="shared" si="10"/>
        <v>平</v>
      </c>
    </row>
    <row r="710" spans="4:17" customFormat="1" hidden="1" x14ac:dyDescent="0.15">
      <c r="D710" t="s">
        <v>6</v>
      </c>
      <c r="E710" s="1">
        <v>332906</v>
      </c>
      <c r="F710" s="1">
        <v>332906</v>
      </c>
      <c r="G710" s="8">
        <v>42884.000694444447</v>
      </c>
      <c r="H710" s="1" t="s">
        <v>44</v>
      </c>
      <c r="I710" s="1">
        <v>1</v>
      </c>
      <c r="J710" s="1">
        <v>4</v>
      </c>
      <c r="K710" s="1">
        <v>0</v>
      </c>
      <c r="L710" s="1" t="s">
        <v>53</v>
      </c>
      <c r="M710" s="1">
        <v>1</v>
      </c>
      <c r="N710" s="1">
        <v>1</v>
      </c>
      <c r="O710" s="1">
        <v>0</v>
      </c>
      <c r="P710" s="11" t="str">
        <f t="shared" si="10"/>
        <v>平</v>
      </c>
      <c r="Q710" s="11" t="str">
        <f t="shared" si="10"/>
        <v>胜</v>
      </c>
    </row>
    <row r="711" spans="4:17" customFormat="1" hidden="1" x14ac:dyDescent="0.15">
      <c r="D711" t="s">
        <v>6</v>
      </c>
      <c r="E711" s="1">
        <v>332907</v>
      </c>
      <c r="F711" s="1">
        <v>332907</v>
      </c>
      <c r="G711" s="8">
        <v>42884</v>
      </c>
      <c r="H711" s="1" t="s">
        <v>38</v>
      </c>
      <c r="I711" s="1">
        <v>2</v>
      </c>
      <c r="J711" s="1">
        <v>3</v>
      </c>
      <c r="K711" s="1">
        <v>0</v>
      </c>
      <c r="L711" s="1" t="s">
        <v>42</v>
      </c>
      <c r="M711" s="1">
        <v>0</v>
      </c>
      <c r="N711" s="1">
        <v>1</v>
      </c>
      <c r="O711" s="1">
        <v>0</v>
      </c>
      <c r="P711" s="11" t="str">
        <f t="shared" si="10"/>
        <v>胜</v>
      </c>
      <c r="Q711" s="11" t="str">
        <f t="shared" si="10"/>
        <v>胜</v>
      </c>
    </row>
    <row r="712" spans="4:17" customFormat="1" hidden="1" x14ac:dyDescent="0.15">
      <c r="D712" t="s">
        <v>6</v>
      </c>
      <c r="E712" s="1">
        <v>332908</v>
      </c>
      <c r="F712" s="1">
        <v>332908</v>
      </c>
      <c r="G712" s="8">
        <v>42884.000694444447</v>
      </c>
      <c r="H712" s="1" t="s">
        <v>46</v>
      </c>
      <c r="I712" s="1">
        <v>1</v>
      </c>
      <c r="J712" s="1">
        <v>1</v>
      </c>
      <c r="K712" s="1">
        <v>0</v>
      </c>
      <c r="L712" s="1" t="s">
        <v>43</v>
      </c>
      <c r="M712" s="1">
        <v>0</v>
      </c>
      <c r="N712" s="1">
        <v>1</v>
      </c>
      <c r="O712" s="1">
        <v>0</v>
      </c>
      <c r="P712" s="11" t="str">
        <f t="shared" si="10"/>
        <v>胜</v>
      </c>
      <c r="Q712" s="11" t="str">
        <f t="shared" si="10"/>
        <v>平</v>
      </c>
    </row>
    <row r="713" spans="4:17" customFormat="1" hidden="1" x14ac:dyDescent="0.15">
      <c r="D713" t="s">
        <v>6</v>
      </c>
      <c r="E713" s="1">
        <v>332909</v>
      </c>
      <c r="F713" s="1">
        <v>332909</v>
      </c>
      <c r="G713" s="8">
        <v>42884.083333333336</v>
      </c>
      <c r="H713" s="1" t="s">
        <v>49</v>
      </c>
      <c r="I713" s="1">
        <v>0</v>
      </c>
      <c r="J713" s="1">
        <v>1</v>
      </c>
      <c r="K713" s="1">
        <v>0</v>
      </c>
      <c r="L713" s="1" t="s">
        <v>37</v>
      </c>
      <c r="M713" s="1">
        <v>1</v>
      </c>
      <c r="N713" s="1">
        <v>1</v>
      </c>
      <c r="O713" s="1">
        <v>0</v>
      </c>
      <c r="P713" s="11" t="str">
        <f t="shared" si="10"/>
        <v>负</v>
      </c>
      <c r="Q713" s="11" t="str">
        <f t="shared" si="10"/>
        <v>平</v>
      </c>
    </row>
    <row r="714" spans="4:17" customFormat="1" hidden="1" x14ac:dyDescent="0.15">
      <c r="D714" t="s">
        <v>6</v>
      </c>
      <c r="E714" s="1">
        <v>332910</v>
      </c>
      <c r="F714" s="1">
        <v>332910</v>
      </c>
      <c r="G714" s="8">
        <v>42885.041666666664</v>
      </c>
      <c r="H714" s="1" t="s">
        <v>40</v>
      </c>
      <c r="I714" s="1">
        <v>2</v>
      </c>
      <c r="J714" s="1">
        <v>4</v>
      </c>
      <c r="K714" s="1">
        <v>0</v>
      </c>
      <c r="L714" s="1" t="s">
        <v>45</v>
      </c>
      <c r="M714" s="1">
        <v>0</v>
      </c>
      <c r="N714" s="1">
        <v>2</v>
      </c>
      <c r="O714" s="1">
        <v>0</v>
      </c>
      <c r="P714" s="11" t="str">
        <f t="shared" si="10"/>
        <v>胜</v>
      </c>
      <c r="Q714" s="11" t="str">
        <f t="shared" si="10"/>
        <v>胜</v>
      </c>
    </row>
    <row r="715" spans="4:17" customFormat="1" hidden="1" x14ac:dyDescent="0.15">
      <c r="D715" t="s">
        <v>6</v>
      </c>
      <c r="E715" s="1">
        <v>335137</v>
      </c>
      <c r="F715" s="1">
        <v>335137</v>
      </c>
      <c r="G715" s="8">
        <v>42889.899305555555</v>
      </c>
      <c r="H715" s="1" t="s">
        <v>53</v>
      </c>
      <c r="I715" s="1">
        <v>0</v>
      </c>
      <c r="J715" s="1">
        <v>2</v>
      </c>
      <c r="K715" s="1">
        <v>0</v>
      </c>
      <c r="L715" s="1" t="s">
        <v>49</v>
      </c>
      <c r="M715" s="1">
        <v>4</v>
      </c>
      <c r="N715" s="1">
        <v>4</v>
      </c>
      <c r="O715" s="1">
        <v>0</v>
      </c>
      <c r="P715" s="11" t="str">
        <f t="shared" si="10"/>
        <v>负</v>
      </c>
      <c r="Q715" s="11" t="str">
        <f t="shared" si="10"/>
        <v>负</v>
      </c>
    </row>
    <row r="716" spans="4:17" customFormat="1" hidden="1" x14ac:dyDescent="0.15">
      <c r="D716" t="s">
        <v>6</v>
      </c>
      <c r="E716" s="1">
        <v>335138</v>
      </c>
      <c r="F716" s="1">
        <v>335138</v>
      </c>
      <c r="G716" s="8">
        <v>42890.003472222219</v>
      </c>
      <c r="H716" s="1" t="s">
        <v>42</v>
      </c>
      <c r="I716" s="1">
        <v>1</v>
      </c>
      <c r="J716" s="1">
        <v>2</v>
      </c>
      <c r="K716" s="1">
        <v>0</v>
      </c>
      <c r="L716" s="1" t="s">
        <v>44</v>
      </c>
      <c r="M716" s="1">
        <v>1</v>
      </c>
      <c r="N716" s="1">
        <v>4</v>
      </c>
      <c r="O716" s="1">
        <v>0</v>
      </c>
      <c r="P716" s="11" t="str">
        <f t="shared" si="10"/>
        <v>平</v>
      </c>
      <c r="Q716" s="11" t="str">
        <f t="shared" si="10"/>
        <v>负</v>
      </c>
    </row>
    <row r="717" spans="4:17" customFormat="1" hidden="1" x14ac:dyDescent="0.15">
      <c r="D717" t="s">
        <v>6</v>
      </c>
      <c r="E717" s="1">
        <v>335139</v>
      </c>
      <c r="F717" s="1">
        <v>335139</v>
      </c>
      <c r="G717" s="8">
        <v>42890.999305555553</v>
      </c>
      <c r="H717" s="1" t="s">
        <v>35</v>
      </c>
      <c r="I717" s="1">
        <v>2</v>
      </c>
      <c r="J717" s="1">
        <v>3</v>
      </c>
      <c r="K717" s="1">
        <v>0</v>
      </c>
      <c r="L717" s="1" t="s">
        <v>52</v>
      </c>
      <c r="M717" s="1">
        <v>2</v>
      </c>
      <c r="N717" s="1">
        <v>2</v>
      </c>
      <c r="O717" s="1">
        <v>0</v>
      </c>
      <c r="P717" s="11" t="str">
        <f t="shared" ref="P717:Q780" si="11">IF(I717=M717,"平",IF(I717&gt;M717,"胜","负"))</f>
        <v>平</v>
      </c>
      <c r="Q717" s="11" t="str">
        <f t="shared" si="11"/>
        <v>胜</v>
      </c>
    </row>
    <row r="718" spans="4:17" customFormat="1" hidden="1" x14ac:dyDescent="0.15">
      <c r="D718" t="s">
        <v>6</v>
      </c>
      <c r="E718" s="1">
        <v>335140</v>
      </c>
      <c r="F718" s="1">
        <v>335140</v>
      </c>
      <c r="G718" s="8">
        <v>42891.001388888886</v>
      </c>
      <c r="H718" s="1" t="s">
        <v>45</v>
      </c>
      <c r="I718" s="1">
        <v>0</v>
      </c>
      <c r="J718" s="1">
        <v>2</v>
      </c>
      <c r="K718" s="1">
        <v>0</v>
      </c>
      <c r="L718" s="1" t="s">
        <v>56</v>
      </c>
      <c r="M718" s="1">
        <v>0</v>
      </c>
      <c r="N718" s="1">
        <v>1</v>
      </c>
      <c r="O718" s="1">
        <v>0</v>
      </c>
      <c r="P718" s="11" t="str">
        <f t="shared" si="11"/>
        <v>平</v>
      </c>
      <c r="Q718" s="11" t="str">
        <f t="shared" si="11"/>
        <v>胜</v>
      </c>
    </row>
    <row r="719" spans="4:17" customFormat="1" hidden="1" x14ac:dyDescent="0.15">
      <c r="D719" t="s">
        <v>6</v>
      </c>
      <c r="E719" s="1">
        <v>335141</v>
      </c>
      <c r="F719" s="1">
        <v>335141</v>
      </c>
      <c r="G719" s="8">
        <v>42891.003472222219</v>
      </c>
      <c r="H719" s="1" t="s">
        <v>37</v>
      </c>
      <c r="I719" s="1">
        <v>2</v>
      </c>
      <c r="J719" s="1">
        <v>3</v>
      </c>
      <c r="K719" s="1">
        <v>0</v>
      </c>
      <c r="L719" s="1" t="s">
        <v>40</v>
      </c>
      <c r="M719" s="1">
        <v>0</v>
      </c>
      <c r="N719" s="1">
        <v>1</v>
      </c>
      <c r="O719" s="1">
        <v>0</v>
      </c>
      <c r="P719" s="11" t="str">
        <f t="shared" si="11"/>
        <v>胜</v>
      </c>
      <c r="Q719" s="11" t="str">
        <f t="shared" si="11"/>
        <v>胜</v>
      </c>
    </row>
    <row r="720" spans="4:17" customFormat="1" hidden="1" x14ac:dyDescent="0.15">
      <c r="D720" t="s">
        <v>6</v>
      </c>
      <c r="E720" s="1">
        <v>335142</v>
      </c>
      <c r="F720" s="1">
        <v>335142</v>
      </c>
      <c r="G720" s="8">
        <v>42891.00277777778</v>
      </c>
      <c r="H720" s="1" t="s">
        <v>41</v>
      </c>
      <c r="I720" s="1">
        <v>0</v>
      </c>
      <c r="J720" s="1">
        <v>1</v>
      </c>
      <c r="K720" s="1">
        <v>0</v>
      </c>
      <c r="L720" s="1" t="s">
        <v>38</v>
      </c>
      <c r="M720" s="1">
        <v>0</v>
      </c>
      <c r="N720" s="1">
        <v>0</v>
      </c>
      <c r="O720" s="1">
        <v>0</v>
      </c>
      <c r="P720" s="11" t="str">
        <f t="shared" si="11"/>
        <v>平</v>
      </c>
      <c r="Q720" s="11" t="str">
        <f t="shared" si="11"/>
        <v>胜</v>
      </c>
    </row>
    <row r="721" spans="4:17" customFormat="1" hidden="1" x14ac:dyDescent="0.15">
      <c r="D721" t="s">
        <v>6</v>
      </c>
      <c r="E721" s="1">
        <v>335143</v>
      </c>
      <c r="F721" s="1">
        <v>335143</v>
      </c>
      <c r="G721" s="8">
        <v>42891.000694444447</v>
      </c>
      <c r="H721" s="1" t="s">
        <v>43</v>
      </c>
      <c r="I721" s="1">
        <v>0</v>
      </c>
      <c r="J721" s="1">
        <v>0</v>
      </c>
      <c r="K721" s="1">
        <v>0</v>
      </c>
      <c r="L721" s="1" t="s">
        <v>48</v>
      </c>
      <c r="M721" s="1">
        <v>1</v>
      </c>
      <c r="N721" s="1">
        <v>1</v>
      </c>
      <c r="O721" s="1">
        <v>0</v>
      </c>
      <c r="P721" s="11" t="str">
        <f t="shared" si="11"/>
        <v>负</v>
      </c>
      <c r="Q721" s="11" t="str">
        <f t="shared" si="11"/>
        <v>负</v>
      </c>
    </row>
    <row r="722" spans="4:17" customFormat="1" hidden="1" x14ac:dyDescent="0.15">
      <c r="D722" t="s">
        <v>6</v>
      </c>
      <c r="E722" s="1">
        <v>335144</v>
      </c>
      <c r="F722" s="1">
        <v>335144</v>
      </c>
      <c r="G722" s="8">
        <v>42891.083333333336</v>
      </c>
      <c r="H722" s="1" t="s">
        <v>54</v>
      </c>
      <c r="I722" s="1">
        <v>0</v>
      </c>
      <c r="J722" s="1">
        <v>0</v>
      </c>
      <c r="K722" s="1">
        <v>0</v>
      </c>
      <c r="L722" s="1" t="s">
        <v>46</v>
      </c>
      <c r="M722" s="1">
        <v>0</v>
      </c>
      <c r="N722" s="1">
        <v>0</v>
      </c>
      <c r="O722" s="1">
        <v>0</v>
      </c>
      <c r="P722" s="11" t="str">
        <f t="shared" si="11"/>
        <v>平</v>
      </c>
      <c r="Q722" s="11" t="str">
        <f t="shared" si="11"/>
        <v>平</v>
      </c>
    </row>
    <row r="723" spans="4:17" customFormat="1" hidden="1" x14ac:dyDescent="0.15">
      <c r="D723" t="s">
        <v>6</v>
      </c>
      <c r="E723" s="1">
        <v>337060</v>
      </c>
      <c r="F723" s="1">
        <v>337060</v>
      </c>
      <c r="G723" s="8">
        <v>42904</v>
      </c>
      <c r="H723" s="1" t="s">
        <v>56</v>
      </c>
      <c r="I723" s="1">
        <v>0</v>
      </c>
      <c r="J723" s="1">
        <v>1</v>
      </c>
      <c r="K723" s="1">
        <v>0</v>
      </c>
      <c r="L723" s="1" t="s">
        <v>43</v>
      </c>
      <c r="M723" s="1">
        <v>1</v>
      </c>
      <c r="N723" s="1">
        <v>1</v>
      </c>
      <c r="O723" s="1">
        <v>0</v>
      </c>
      <c r="P723" s="11" t="str">
        <f t="shared" si="11"/>
        <v>负</v>
      </c>
      <c r="Q723" s="11" t="str">
        <f t="shared" si="11"/>
        <v>平</v>
      </c>
    </row>
    <row r="724" spans="4:17" customFormat="1" hidden="1" x14ac:dyDescent="0.15">
      <c r="D724" t="s">
        <v>6</v>
      </c>
      <c r="E724" s="1">
        <v>337061</v>
      </c>
      <c r="F724" s="1">
        <v>337061</v>
      </c>
      <c r="G724" s="8">
        <v>42905</v>
      </c>
      <c r="H724" s="1" t="s">
        <v>48</v>
      </c>
      <c r="I724" s="1">
        <v>1</v>
      </c>
      <c r="J724" s="1">
        <v>1</v>
      </c>
      <c r="K724" s="1">
        <v>0</v>
      </c>
      <c r="L724" s="1" t="s">
        <v>37</v>
      </c>
      <c r="M724" s="1">
        <v>0</v>
      </c>
      <c r="N724" s="1">
        <v>0</v>
      </c>
      <c r="O724" s="1">
        <v>0</v>
      </c>
      <c r="P724" s="11" t="str">
        <f t="shared" si="11"/>
        <v>胜</v>
      </c>
      <c r="Q724" s="11" t="str">
        <f t="shared" si="11"/>
        <v>胜</v>
      </c>
    </row>
    <row r="725" spans="4:17" customFormat="1" hidden="1" x14ac:dyDescent="0.15">
      <c r="D725" t="s">
        <v>6</v>
      </c>
      <c r="E725" s="1">
        <v>337062</v>
      </c>
      <c r="F725" s="1">
        <v>337062</v>
      </c>
      <c r="G725" s="8">
        <v>42905.000694444447</v>
      </c>
      <c r="H725" s="1" t="s">
        <v>44</v>
      </c>
      <c r="I725" s="1">
        <v>0</v>
      </c>
      <c r="J725" s="1">
        <v>1</v>
      </c>
      <c r="K725" s="1">
        <v>0</v>
      </c>
      <c r="L725" s="1" t="s">
        <v>45</v>
      </c>
      <c r="M725" s="1">
        <v>0</v>
      </c>
      <c r="N725" s="1">
        <v>0</v>
      </c>
      <c r="O725" s="1">
        <v>0</v>
      </c>
      <c r="P725" s="11" t="str">
        <f t="shared" si="11"/>
        <v>平</v>
      </c>
      <c r="Q725" s="11" t="str">
        <f t="shared" si="11"/>
        <v>胜</v>
      </c>
    </row>
    <row r="726" spans="4:17" customFormat="1" hidden="1" x14ac:dyDescent="0.15">
      <c r="D726" t="s">
        <v>6</v>
      </c>
      <c r="E726" s="1">
        <v>337063</v>
      </c>
      <c r="F726" s="1">
        <v>337063</v>
      </c>
      <c r="G726" s="8">
        <v>42905</v>
      </c>
      <c r="H726" s="1" t="s">
        <v>38</v>
      </c>
      <c r="I726" s="1">
        <v>0</v>
      </c>
      <c r="J726" s="1">
        <v>3</v>
      </c>
      <c r="K726" s="1">
        <v>0</v>
      </c>
      <c r="L726" s="1" t="s">
        <v>53</v>
      </c>
      <c r="M726" s="1">
        <v>0</v>
      </c>
      <c r="N726" s="1">
        <v>0</v>
      </c>
      <c r="O726" s="1">
        <v>0</v>
      </c>
      <c r="P726" s="11" t="str">
        <f t="shared" si="11"/>
        <v>平</v>
      </c>
      <c r="Q726" s="11" t="str">
        <f t="shared" si="11"/>
        <v>胜</v>
      </c>
    </row>
    <row r="727" spans="4:17" customFormat="1" hidden="1" x14ac:dyDescent="0.15">
      <c r="D727" t="s">
        <v>6</v>
      </c>
      <c r="E727" s="1">
        <v>337064</v>
      </c>
      <c r="F727" s="1">
        <v>337064</v>
      </c>
      <c r="G727" s="8">
        <v>42905</v>
      </c>
      <c r="H727" s="1" t="s">
        <v>52</v>
      </c>
      <c r="I727" s="1">
        <v>1</v>
      </c>
      <c r="J727" s="1">
        <v>1</v>
      </c>
      <c r="K727" s="1">
        <v>0</v>
      </c>
      <c r="L727" s="1" t="s">
        <v>41</v>
      </c>
      <c r="M727" s="1">
        <v>0</v>
      </c>
      <c r="N727" s="1">
        <v>0</v>
      </c>
      <c r="O727" s="1">
        <v>0</v>
      </c>
      <c r="P727" s="11" t="str">
        <f t="shared" si="11"/>
        <v>胜</v>
      </c>
      <c r="Q727" s="11" t="str">
        <f t="shared" si="11"/>
        <v>胜</v>
      </c>
    </row>
    <row r="728" spans="4:17" customFormat="1" hidden="1" x14ac:dyDescent="0.15">
      <c r="D728" t="s">
        <v>6</v>
      </c>
      <c r="E728" s="1">
        <v>337065</v>
      </c>
      <c r="F728" s="1">
        <v>337065</v>
      </c>
      <c r="G728" s="8">
        <v>42905</v>
      </c>
      <c r="H728" s="1" t="s">
        <v>35</v>
      </c>
      <c r="I728" s="1">
        <v>0</v>
      </c>
      <c r="J728" s="1">
        <v>0</v>
      </c>
      <c r="K728" s="1">
        <v>0</v>
      </c>
      <c r="L728" s="1" t="s">
        <v>54</v>
      </c>
      <c r="M728" s="1">
        <v>0</v>
      </c>
      <c r="N728" s="1">
        <v>0</v>
      </c>
      <c r="O728" s="1">
        <v>0</v>
      </c>
      <c r="P728" s="11" t="str">
        <f t="shared" si="11"/>
        <v>平</v>
      </c>
      <c r="Q728" s="11" t="str">
        <f t="shared" si="11"/>
        <v>平</v>
      </c>
    </row>
    <row r="729" spans="4:17" customFormat="1" hidden="1" x14ac:dyDescent="0.15">
      <c r="D729" t="s">
        <v>6</v>
      </c>
      <c r="E729" s="1">
        <v>337066</v>
      </c>
      <c r="F729" s="1">
        <v>337066</v>
      </c>
      <c r="G729" s="8">
        <v>42906.045138888891</v>
      </c>
      <c r="H729" s="1" t="s">
        <v>46</v>
      </c>
      <c r="I729" s="1">
        <v>3</v>
      </c>
      <c r="J729" s="1">
        <v>5</v>
      </c>
      <c r="K729" s="1">
        <v>0</v>
      </c>
      <c r="L729" s="1" t="s">
        <v>42</v>
      </c>
      <c r="M729" s="1">
        <v>0</v>
      </c>
      <c r="N729" s="1">
        <v>0</v>
      </c>
      <c r="O729" s="1">
        <v>0</v>
      </c>
      <c r="P729" s="11" t="str">
        <f t="shared" si="11"/>
        <v>胜</v>
      </c>
      <c r="Q729" s="11" t="str">
        <f t="shared" si="11"/>
        <v>胜</v>
      </c>
    </row>
    <row r="730" spans="4:17" customFormat="1" hidden="1" x14ac:dyDescent="0.15">
      <c r="D730" t="s">
        <v>6</v>
      </c>
      <c r="E730" s="1">
        <v>337067</v>
      </c>
      <c r="F730" s="1">
        <v>337067</v>
      </c>
      <c r="G730" s="8">
        <v>42905.083333333336</v>
      </c>
      <c r="H730" s="1" t="s">
        <v>49</v>
      </c>
      <c r="I730" s="1">
        <v>1</v>
      </c>
      <c r="J730" s="1">
        <v>1</v>
      </c>
      <c r="K730" s="1">
        <v>0</v>
      </c>
      <c r="L730" s="1" t="s">
        <v>40</v>
      </c>
      <c r="M730" s="1">
        <v>1</v>
      </c>
      <c r="N730" s="1">
        <v>1</v>
      </c>
      <c r="O730" s="1">
        <v>0</v>
      </c>
      <c r="P730" s="11" t="str">
        <f t="shared" si="11"/>
        <v>平</v>
      </c>
      <c r="Q730" s="11" t="str">
        <f t="shared" si="11"/>
        <v>平</v>
      </c>
    </row>
    <row r="731" spans="4:17" customFormat="1" hidden="1" x14ac:dyDescent="0.15">
      <c r="D731" t="s">
        <v>6</v>
      </c>
      <c r="E731" s="1">
        <v>340169</v>
      </c>
      <c r="F731" s="1">
        <v>340169</v>
      </c>
      <c r="G731" s="8">
        <v>42911.001388888886</v>
      </c>
      <c r="H731" s="1" t="s">
        <v>49</v>
      </c>
      <c r="I731" s="1">
        <v>2</v>
      </c>
      <c r="J731" s="1">
        <v>3</v>
      </c>
      <c r="K731" s="1">
        <v>0</v>
      </c>
      <c r="L731" s="1" t="s">
        <v>44</v>
      </c>
      <c r="M731" s="1">
        <v>1</v>
      </c>
      <c r="N731" s="1">
        <v>1</v>
      </c>
      <c r="O731" s="1">
        <v>0</v>
      </c>
      <c r="P731" s="11" t="str">
        <f t="shared" si="11"/>
        <v>胜</v>
      </c>
      <c r="Q731" s="11" t="str">
        <f t="shared" si="11"/>
        <v>胜</v>
      </c>
    </row>
    <row r="732" spans="4:17" customFormat="1" hidden="1" x14ac:dyDescent="0.15">
      <c r="D732" t="s">
        <v>6</v>
      </c>
      <c r="E732" s="1">
        <v>340170</v>
      </c>
      <c r="F732" s="1">
        <v>340170</v>
      </c>
      <c r="G732" s="8">
        <v>42912.004166666666</v>
      </c>
      <c r="H732" s="1" t="s">
        <v>43</v>
      </c>
      <c r="I732" s="1">
        <v>3</v>
      </c>
      <c r="J732" s="1">
        <v>5</v>
      </c>
      <c r="K732" s="1">
        <v>0</v>
      </c>
      <c r="L732" s="1" t="s">
        <v>54</v>
      </c>
      <c r="M732" s="1">
        <v>1</v>
      </c>
      <c r="N732" s="1">
        <v>1</v>
      </c>
      <c r="O732" s="1">
        <v>0</v>
      </c>
      <c r="P732" s="11" t="str">
        <f t="shared" si="11"/>
        <v>胜</v>
      </c>
      <c r="Q732" s="11" t="str">
        <f t="shared" si="11"/>
        <v>胜</v>
      </c>
    </row>
    <row r="733" spans="4:17" customFormat="1" hidden="1" x14ac:dyDescent="0.15">
      <c r="D733" t="s">
        <v>6</v>
      </c>
      <c r="E733" s="1">
        <v>340171</v>
      </c>
      <c r="F733" s="1">
        <v>340171</v>
      </c>
      <c r="G733" s="8">
        <v>42912.000694444447</v>
      </c>
      <c r="H733" s="1" t="s">
        <v>37</v>
      </c>
      <c r="I733" s="1">
        <v>0</v>
      </c>
      <c r="J733" s="1">
        <v>3</v>
      </c>
      <c r="K733" s="1">
        <v>0</v>
      </c>
      <c r="L733" s="1" t="s">
        <v>35</v>
      </c>
      <c r="M733" s="1">
        <v>0</v>
      </c>
      <c r="N733" s="1">
        <v>0</v>
      </c>
      <c r="O733" s="1">
        <v>0</v>
      </c>
      <c r="P733" s="11" t="str">
        <f t="shared" si="11"/>
        <v>平</v>
      </c>
      <c r="Q733" s="11" t="str">
        <f t="shared" si="11"/>
        <v>胜</v>
      </c>
    </row>
    <row r="734" spans="4:17" customFormat="1" hidden="1" x14ac:dyDescent="0.15">
      <c r="D734" t="s">
        <v>6</v>
      </c>
      <c r="E734" s="1">
        <v>340172</v>
      </c>
      <c r="F734" s="1">
        <v>340172</v>
      </c>
      <c r="G734" s="8">
        <v>42912.004166666666</v>
      </c>
      <c r="H734" s="1" t="s">
        <v>41</v>
      </c>
      <c r="I734" s="1">
        <v>1</v>
      </c>
      <c r="J734" s="1">
        <v>1</v>
      </c>
      <c r="K734" s="1">
        <v>0</v>
      </c>
      <c r="L734" s="1" t="s">
        <v>46</v>
      </c>
      <c r="M734" s="1">
        <v>0</v>
      </c>
      <c r="N734" s="1">
        <v>1</v>
      </c>
      <c r="O734" s="1">
        <v>0</v>
      </c>
      <c r="P734" s="11" t="str">
        <f t="shared" si="11"/>
        <v>胜</v>
      </c>
      <c r="Q734" s="11" t="str">
        <f t="shared" si="11"/>
        <v>平</v>
      </c>
    </row>
    <row r="735" spans="4:17" customFormat="1" hidden="1" x14ac:dyDescent="0.15">
      <c r="D735" t="s">
        <v>6</v>
      </c>
      <c r="E735" s="1">
        <v>340173</v>
      </c>
      <c r="F735" s="1">
        <v>340173</v>
      </c>
      <c r="G735" s="8">
        <v>42912</v>
      </c>
      <c r="H735" s="1" t="s">
        <v>42</v>
      </c>
      <c r="I735" s="1">
        <v>0</v>
      </c>
      <c r="J735" s="1">
        <v>1</v>
      </c>
      <c r="K735" s="1">
        <v>0</v>
      </c>
      <c r="L735" s="1" t="s">
        <v>56</v>
      </c>
      <c r="M735" s="1">
        <v>1</v>
      </c>
      <c r="N735" s="1">
        <v>4</v>
      </c>
      <c r="O735" s="1">
        <v>0</v>
      </c>
      <c r="P735" s="11" t="str">
        <f t="shared" si="11"/>
        <v>负</v>
      </c>
      <c r="Q735" s="11" t="str">
        <f t="shared" si="11"/>
        <v>负</v>
      </c>
    </row>
    <row r="736" spans="4:17" customFormat="1" hidden="1" x14ac:dyDescent="0.15">
      <c r="D736" t="s">
        <v>6</v>
      </c>
      <c r="E736" s="1">
        <v>340174</v>
      </c>
      <c r="F736" s="1">
        <v>340174</v>
      </c>
      <c r="G736" s="8">
        <v>42912.004166666666</v>
      </c>
      <c r="H736" s="1" t="s">
        <v>53</v>
      </c>
      <c r="I736" s="1">
        <v>1</v>
      </c>
      <c r="J736" s="1">
        <v>1</v>
      </c>
      <c r="K736" s="1">
        <v>0</v>
      </c>
      <c r="L736" s="1" t="s">
        <v>52</v>
      </c>
      <c r="M736" s="1">
        <v>1</v>
      </c>
      <c r="N736" s="1">
        <v>1</v>
      </c>
      <c r="O736" s="1">
        <v>0</v>
      </c>
      <c r="P736" s="11" t="str">
        <f t="shared" si="11"/>
        <v>平</v>
      </c>
      <c r="Q736" s="11" t="str">
        <f t="shared" si="11"/>
        <v>平</v>
      </c>
    </row>
    <row r="737" spans="4:17" customFormat="1" hidden="1" x14ac:dyDescent="0.15">
      <c r="D737" t="s">
        <v>6</v>
      </c>
      <c r="E737" s="1">
        <v>340175</v>
      </c>
      <c r="F737" s="1">
        <v>340175</v>
      </c>
      <c r="G737" s="8">
        <v>42912.084027777775</v>
      </c>
      <c r="H737" s="1" t="s">
        <v>45</v>
      </c>
      <c r="I737" s="1">
        <v>1</v>
      </c>
      <c r="J737" s="1">
        <v>1</v>
      </c>
      <c r="K737" s="1">
        <v>0</v>
      </c>
      <c r="L737" s="1" t="s">
        <v>48</v>
      </c>
      <c r="M737" s="1">
        <v>0</v>
      </c>
      <c r="N737" s="1">
        <v>1</v>
      </c>
      <c r="O737" s="1">
        <v>0</v>
      </c>
      <c r="P737" s="11" t="str">
        <f t="shared" si="11"/>
        <v>胜</v>
      </c>
      <c r="Q737" s="11" t="str">
        <f t="shared" si="11"/>
        <v>平</v>
      </c>
    </row>
    <row r="738" spans="4:17" customFormat="1" hidden="1" x14ac:dyDescent="0.15">
      <c r="D738" t="s">
        <v>6</v>
      </c>
      <c r="E738" s="1">
        <v>340176</v>
      </c>
      <c r="F738" s="1">
        <v>340176</v>
      </c>
      <c r="G738" s="8">
        <v>42913.042361111111</v>
      </c>
      <c r="H738" s="1" t="s">
        <v>40</v>
      </c>
      <c r="I738" s="1">
        <v>0</v>
      </c>
      <c r="J738" s="1">
        <v>1</v>
      </c>
      <c r="K738" s="1">
        <v>0</v>
      </c>
      <c r="L738" s="1" t="s">
        <v>38</v>
      </c>
      <c r="M738" s="1">
        <v>1</v>
      </c>
      <c r="N738" s="1">
        <v>1</v>
      </c>
      <c r="O738" s="1">
        <v>0</v>
      </c>
      <c r="P738" s="11" t="str">
        <f t="shared" si="11"/>
        <v>负</v>
      </c>
      <c r="Q738" s="11" t="str">
        <f t="shared" si="11"/>
        <v>平</v>
      </c>
    </row>
    <row r="739" spans="4:17" customFormat="1" hidden="1" x14ac:dyDescent="0.15">
      <c r="D739" t="s">
        <v>6</v>
      </c>
      <c r="E739" s="1">
        <v>341808</v>
      </c>
      <c r="F739" s="1">
        <v>341808</v>
      </c>
      <c r="G739" s="8">
        <v>42918.004166666666</v>
      </c>
      <c r="H739" s="1" t="s">
        <v>44</v>
      </c>
      <c r="I739" s="1">
        <v>2</v>
      </c>
      <c r="J739" s="1">
        <v>2</v>
      </c>
      <c r="K739" s="1">
        <v>0</v>
      </c>
      <c r="L739" s="1" t="s">
        <v>40</v>
      </c>
      <c r="M739" s="1">
        <v>0</v>
      </c>
      <c r="N739" s="1">
        <v>0</v>
      </c>
      <c r="O739" s="1">
        <v>0</v>
      </c>
      <c r="P739" s="11" t="str">
        <f t="shared" si="11"/>
        <v>胜</v>
      </c>
      <c r="Q739" s="11" t="str">
        <f t="shared" si="11"/>
        <v>胜</v>
      </c>
    </row>
    <row r="740" spans="4:17" customFormat="1" hidden="1" x14ac:dyDescent="0.15">
      <c r="D740" t="s">
        <v>6</v>
      </c>
      <c r="E740" s="1">
        <v>341809</v>
      </c>
      <c r="F740" s="1">
        <v>341809</v>
      </c>
      <c r="G740" s="8">
        <v>42918.094444444447</v>
      </c>
      <c r="H740" s="1" t="s">
        <v>35</v>
      </c>
      <c r="I740" s="1">
        <v>1</v>
      </c>
      <c r="J740" s="1">
        <v>1</v>
      </c>
      <c r="K740" s="1">
        <v>0</v>
      </c>
      <c r="L740" s="1" t="s">
        <v>43</v>
      </c>
      <c r="M740" s="1">
        <v>0</v>
      </c>
      <c r="N740" s="1">
        <v>0</v>
      </c>
      <c r="O740" s="1">
        <v>0</v>
      </c>
      <c r="P740" s="11" t="str">
        <f t="shared" si="11"/>
        <v>胜</v>
      </c>
      <c r="Q740" s="11" t="str">
        <f t="shared" si="11"/>
        <v>胜</v>
      </c>
    </row>
    <row r="741" spans="4:17" customFormat="1" hidden="1" x14ac:dyDescent="0.15">
      <c r="D741" t="s">
        <v>6</v>
      </c>
      <c r="E741" s="1">
        <v>341810</v>
      </c>
      <c r="F741" s="1">
        <v>341810</v>
      </c>
      <c r="G741" s="8">
        <v>42919</v>
      </c>
      <c r="H741" s="1" t="s">
        <v>48</v>
      </c>
      <c r="I741" s="1">
        <v>1</v>
      </c>
      <c r="J741" s="1">
        <v>2</v>
      </c>
      <c r="K741" s="1">
        <v>0</v>
      </c>
      <c r="L741" s="1" t="s">
        <v>53</v>
      </c>
      <c r="M741" s="1">
        <v>0</v>
      </c>
      <c r="N741" s="1">
        <v>0</v>
      </c>
      <c r="O741" s="1">
        <v>0</v>
      </c>
      <c r="P741" s="11" t="str">
        <f t="shared" si="11"/>
        <v>胜</v>
      </c>
      <c r="Q741" s="11" t="str">
        <f t="shared" si="11"/>
        <v>胜</v>
      </c>
    </row>
    <row r="742" spans="4:17" customFormat="1" hidden="1" x14ac:dyDescent="0.15">
      <c r="D742" t="s">
        <v>6</v>
      </c>
      <c r="E742" s="1">
        <v>341811</v>
      </c>
      <c r="F742" s="1">
        <v>341811</v>
      </c>
      <c r="G742" s="8">
        <v>42919</v>
      </c>
      <c r="H742" s="1" t="s">
        <v>38</v>
      </c>
      <c r="I742" s="1">
        <v>2</v>
      </c>
      <c r="J742" s="1">
        <v>3</v>
      </c>
      <c r="K742" s="1">
        <v>0</v>
      </c>
      <c r="L742" s="1" t="s">
        <v>45</v>
      </c>
      <c r="M742" s="1">
        <v>0</v>
      </c>
      <c r="N742" s="1">
        <v>2</v>
      </c>
      <c r="O742" s="1">
        <v>0</v>
      </c>
      <c r="P742" s="11" t="str">
        <f t="shared" si="11"/>
        <v>胜</v>
      </c>
      <c r="Q742" s="11" t="str">
        <f t="shared" si="11"/>
        <v>胜</v>
      </c>
    </row>
    <row r="743" spans="4:17" customFormat="1" hidden="1" x14ac:dyDescent="0.15">
      <c r="D743" t="s">
        <v>6</v>
      </c>
      <c r="E743" s="1">
        <v>341812</v>
      </c>
      <c r="F743" s="1">
        <v>341812</v>
      </c>
      <c r="G743" s="8">
        <v>42919.000694444447</v>
      </c>
      <c r="H743" s="1" t="s">
        <v>54</v>
      </c>
      <c r="I743" s="1">
        <v>0</v>
      </c>
      <c r="J743" s="1">
        <v>0</v>
      </c>
      <c r="K743" s="1">
        <v>0</v>
      </c>
      <c r="L743" s="1" t="s">
        <v>41</v>
      </c>
      <c r="M743" s="1">
        <v>0</v>
      </c>
      <c r="N743" s="1">
        <v>0</v>
      </c>
      <c r="O743" s="1">
        <v>0</v>
      </c>
      <c r="P743" s="11" t="str">
        <f t="shared" si="11"/>
        <v>平</v>
      </c>
      <c r="Q743" s="11" t="str">
        <f t="shared" si="11"/>
        <v>平</v>
      </c>
    </row>
    <row r="744" spans="4:17" customFormat="1" hidden="1" x14ac:dyDescent="0.15">
      <c r="D744" t="s">
        <v>6</v>
      </c>
      <c r="E744" s="1">
        <v>341813</v>
      </c>
      <c r="F744" s="1">
        <v>341813</v>
      </c>
      <c r="G744" s="8">
        <v>42919.003472222219</v>
      </c>
      <c r="H744" s="1" t="s">
        <v>52</v>
      </c>
      <c r="I744" s="1">
        <v>0</v>
      </c>
      <c r="J744" s="1">
        <v>1</v>
      </c>
      <c r="K744" s="1">
        <v>0</v>
      </c>
      <c r="L744" s="1" t="s">
        <v>42</v>
      </c>
      <c r="M744" s="1">
        <v>0</v>
      </c>
      <c r="N744" s="1">
        <v>2</v>
      </c>
      <c r="O744" s="1">
        <v>0</v>
      </c>
      <c r="P744" s="11" t="str">
        <f t="shared" si="11"/>
        <v>平</v>
      </c>
      <c r="Q744" s="11" t="str">
        <f t="shared" si="11"/>
        <v>负</v>
      </c>
    </row>
    <row r="745" spans="4:17" customFormat="1" hidden="1" x14ac:dyDescent="0.15">
      <c r="D745" t="s">
        <v>6</v>
      </c>
      <c r="E745" s="1">
        <v>341814</v>
      </c>
      <c r="F745" s="1">
        <v>341814</v>
      </c>
      <c r="G745" s="8">
        <v>42919.09375</v>
      </c>
      <c r="H745" s="1" t="s">
        <v>46</v>
      </c>
      <c r="I745" s="1">
        <v>0</v>
      </c>
      <c r="J745" s="1">
        <v>0</v>
      </c>
      <c r="K745" s="1">
        <v>0</v>
      </c>
      <c r="L745" s="1" t="s">
        <v>49</v>
      </c>
      <c r="M745" s="1">
        <v>0</v>
      </c>
      <c r="N745" s="1">
        <v>0</v>
      </c>
      <c r="O745" s="1">
        <v>0</v>
      </c>
      <c r="P745" s="11" t="str">
        <f t="shared" si="11"/>
        <v>平</v>
      </c>
      <c r="Q745" s="11" t="str">
        <f t="shared" si="11"/>
        <v>平</v>
      </c>
    </row>
    <row r="746" spans="4:17" customFormat="1" hidden="1" x14ac:dyDescent="0.15">
      <c r="D746" t="s">
        <v>6</v>
      </c>
      <c r="E746" s="1">
        <v>341815</v>
      </c>
      <c r="F746" s="1">
        <v>341815</v>
      </c>
      <c r="G746" s="8">
        <v>42920.043055555558</v>
      </c>
      <c r="H746" s="1" t="s">
        <v>56</v>
      </c>
      <c r="I746" s="1">
        <v>0</v>
      </c>
      <c r="J746" s="1">
        <v>3</v>
      </c>
      <c r="K746" s="1">
        <v>0</v>
      </c>
      <c r="L746" s="1" t="s">
        <v>37</v>
      </c>
      <c r="M746" s="1">
        <v>2</v>
      </c>
      <c r="N746" s="1">
        <v>3</v>
      </c>
      <c r="O746" s="1">
        <v>0</v>
      </c>
      <c r="P746" s="11" t="str">
        <f t="shared" si="11"/>
        <v>负</v>
      </c>
      <c r="Q746" s="11" t="str">
        <f t="shared" si="11"/>
        <v>平</v>
      </c>
    </row>
    <row r="747" spans="4:17" customFormat="1" hidden="1" x14ac:dyDescent="0.15">
      <c r="D747" t="s">
        <v>6</v>
      </c>
      <c r="E747" s="1">
        <v>343518</v>
      </c>
      <c r="F747" s="1">
        <v>343518</v>
      </c>
      <c r="G747" s="8">
        <v>42924.895833333336</v>
      </c>
      <c r="H747" s="1" t="s">
        <v>37</v>
      </c>
      <c r="I747" s="1">
        <v>4</v>
      </c>
      <c r="J747" s="1">
        <v>5</v>
      </c>
      <c r="K747" s="1">
        <v>0</v>
      </c>
      <c r="L747" s="1" t="s">
        <v>52</v>
      </c>
      <c r="M747" s="1">
        <v>0</v>
      </c>
      <c r="N747" s="1">
        <v>1</v>
      </c>
      <c r="O747" s="1">
        <v>0</v>
      </c>
      <c r="P747" s="11" t="str">
        <f t="shared" si="11"/>
        <v>胜</v>
      </c>
      <c r="Q747" s="11" t="str">
        <f t="shared" si="11"/>
        <v>胜</v>
      </c>
    </row>
    <row r="748" spans="4:17" customFormat="1" hidden="1" x14ac:dyDescent="0.15">
      <c r="D748" t="s">
        <v>6</v>
      </c>
      <c r="E748" s="1">
        <v>343519</v>
      </c>
      <c r="F748" s="1">
        <v>343519</v>
      </c>
      <c r="G748" s="8">
        <v>42925.001388888886</v>
      </c>
      <c r="H748" s="1" t="s">
        <v>43</v>
      </c>
      <c r="I748" s="1">
        <v>0</v>
      </c>
      <c r="J748" s="1">
        <v>0</v>
      </c>
      <c r="K748" s="1">
        <v>0</v>
      </c>
      <c r="L748" s="1" t="s">
        <v>38</v>
      </c>
      <c r="M748" s="1">
        <v>1</v>
      </c>
      <c r="N748" s="1">
        <v>3</v>
      </c>
      <c r="O748" s="1">
        <v>0</v>
      </c>
      <c r="P748" s="11" t="str">
        <f t="shared" si="11"/>
        <v>负</v>
      </c>
      <c r="Q748" s="11" t="str">
        <f t="shared" si="11"/>
        <v>负</v>
      </c>
    </row>
    <row r="749" spans="4:17" customFormat="1" hidden="1" x14ac:dyDescent="0.15">
      <c r="D749" t="s">
        <v>6</v>
      </c>
      <c r="E749" s="1">
        <v>343520</v>
      </c>
      <c r="F749" s="1">
        <v>343520</v>
      </c>
      <c r="G749" s="8">
        <v>42926.001388888886</v>
      </c>
      <c r="H749" s="1" t="s">
        <v>40</v>
      </c>
      <c r="I749" s="1">
        <v>4</v>
      </c>
      <c r="J749" s="1">
        <v>4</v>
      </c>
      <c r="K749" s="1">
        <v>0</v>
      </c>
      <c r="L749" s="1" t="s">
        <v>56</v>
      </c>
      <c r="M749" s="1">
        <v>0</v>
      </c>
      <c r="N749" s="1">
        <v>2</v>
      </c>
      <c r="O749" s="1">
        <v>0</v>
      </c>
      <c r="P749" s="11" t="str">
        <f t="shared" si="11"/>
        <v>胜</v>
      </c>
      <c r="Q749" s="11" t="str">
        <f t="shared" si="11"/>
        <v>胜</v>
      </c>
    </row>
    <row r="750" spans="4:17" customFormat="1" hidden="1" x14ac:dyDescent="0.15">
      <c r="D750" t="s">
        <v>6</v>
      </c>
      <c r="E750" s="1">
        <v>343521</v>
      </c>
      <c r="F750" s="1">
        <v>343521</v>
      </c>
      <c r="G750" s="8">
        <v>42926.000694444447</v>
      </c>
      <c r="H750" s="1" t="s">
        <v>45</v>
      </c>
      <c r="I750" s="1">
        <v>0</v>
      </c>
      <c r="J750" s="1">
        <v>1</v>
      </c>
      <c r="K750" s="1">
        <v>0</v>
      </c>
      <c r="L750" s="1" t="s">
        <v>35</v>
      </c>
      <c r="M750" s="1">
        <v>0</v>
      </c>
      <c r="N750" s="1">
        <v>1</v>
      </c>
      <c r="O750" s="1">
        <v>0</v>
      </c>
      <c r="P750" s="11" t="str">
        <f t="shared" si="11"/>
        <v>平</v>
      </c>
      <c r="Q750" s="11" t="str">
        <f t="shared" si="11"/>
        <v>平</v>
      </c>
    </row>
    <row r="751" spans="4:17" customFormat="1" hidden="1" x14ac:dyDescent="0.15">
      <c r="D751" t="s">
        <v>6</v>
      </c>
      <c r="E751" s="1">
        <v>343522</v>
      </c>
      <c r="F751" s="1">
        <v>343522</v>
      </c>
      <c r="G751" s="8">
        <v>42926.084027777775</v>
      </c>
      <c r="H751" s="1" t="s">
        <v>42</v>
      </c>
      <c r="I751" s="1">
        <v>1</v>
      </c>
      <c r="J751" s="1">
        <v>2</v>
      </c>
      <c r="K751" s="1">
        <v>0</v>
      </c>
      <c r="L751" s="1" t="s">
        <v>46</v>
      </c>
      <c r="M751" s="1">
        <v>0</v>
      </c>
      <c r="N751" s="1">
        <v>0</v>
      </c>
      <c r="O751" s="1">
        <v>0</v>
      </c>
      <c r="P751" s="11" t="str">
        <f t="shared" si="11"/>
        <v>胜</v>
      </c>
      <c r="Q751" s="11" t="str">
        <f t="shared" si="11"/>
        <v>胜</v>
      </c>
    </row>
    <row r="752" spans="4:17" customFormat="1" hidden="1" x14ac:dyDescent="0.15">
      <c r="D752" t="s">
        <v>6</v>
      </c>
      <c r="E752" s="1">
        <v>343523</v>
      </c>
      <c r="F752" s="1">
        <v>343523</v>
      </c>
      <c r="G752" s="8">
        <v>42927.041666666664</v>
      </c>
      <c r="H752" s="1" t="s">
        <v>41</v>
      </c>
      <c r="I752" s="1">
        <v>2</v>
      </c>
      <c r="J752" s="1">
        <v>3</v>
      </c>
      <c r="K752" s="1">
        <v>0</v>
      </c>
      <c r="L752" s="1" t="s">
        <v>44</v>
      </c>
      <c r="M752" s="1">
        <v>1</v>
      </c>
      <c r="N752" s="1">
        <v>3</v>
      </c>
      <c r="O752" s="1">
        <v>0</v>
      </c>
      <c r="P752" s="11" t="str">
        <f t="shared" si="11"/>
        <v>胜</v>
      </c>
      <c r="Q752" s="11" t="str">
        <f t="shared" si="11"/>
        <v>平</v>
      </c>
    </row>
    <row r="753" spans="4:17" customFormat="1" hidden="1" x14ac:dyDescent="0.15">
      <c r="D753" t="s">
        <v>6</v>
      </c>
      <c r="E753" s="1">
        <v>345345</v>
      </c>
      <c r="F753" s="1">
        <v>345345</v>
      </c>
      <c r="G753" s="8">
        <v>42931.896527777775</v>
      </c>
      <c r="H753" s="1" t="s">
        <v>35</v>
      </c>
      <c r="I753" s="1">
        <v>0</v>
      </c>
      <c r="J753" s="1">
        <v>0</v>
      </c>
      <c r="K753" s="1">
        <v>0</v>
      </c>
      <c r="L753" s="1" t="s">
        <v>37</v>
      </c>
      <c r="M753" s="1">
        <v>1</v>
      </c>
      <c r="N753" s="1">
        <v>3</v>
      </c>
      <c r="O753" s="1">
        <v>0</v>
      </c>
      <c r="P753" s="11" t="str">
        <f t="shared" si="11"/>
        <v>负</v>
      </c>
      <c r="Q753" s="11" t="str">
        <f t="shared" si="11"/>
        <v>负</v>
      </c>
    </row>
    <row r="754" spans="4:17" customFormat="1" hidden="1" x14ac:dyDescent="0.15">
      <c r="D754" t="s">
        <v>6</v>
      </c>
      <c r="E754" s="1">
        <v>345346</v>
      </c>
      <c r="F754" s="1">
        <v>345346</v>
      </c>
      <c r="G754" s="8">
        <v>42932.002083333333</v>
      </c>
      <c r="H754" s="1" t="s">
        <v>44</v>
      </c>
      <c r="I754" s="1">
        <v>0</v>
      </c>
      <c r="J754" s="1">
        <v>2</v>
      </c>
      <c r="K754" s="1">
        <v>0</v>
      </c>
      <c r="L754" s="1" t="s">
        <v>42</v>
      </c>
      <c r="M754" s="1">
        <v>2</v>
      </c>
      <c r="N754" s="1">
        <v>2</v>
      </c>
      <c r="O754" s="1">
        <v>0</v>
      </c>
      <c r="P754" s="11" t="str">
        <f t="shared" si="11"/>
        <v>负</v>
      </c>
      <c r="Q754" s="11" t="str">
        <f t="shared" si="11"/>
        <v>平</v>
      </c>
    </row>
    <row r="755" spans="4:17" customFormat="1" hidden="1" x14ac:dyDescent="0.15">
      <c r="D755" t="s">
        <v>6</v>
      </c>
      <c r="E755" s="1">
        <v>345347</v>
      </c>
      <c r="F755" s="1">
        <v>345347</v>
      </c>
      <c r="G755" s="8">
        <v>42933.000694444447</v>
      </c>
      <c r="H755" s="1" t="s">
        <v>48</v>
      </c>
      <c r="I755" s="1">
        <v>0</v>
      </c>
      <c r="J755" s="1">
        <v>2</v>
      </c>
      <c r="K755" s="1">
        <v>0</v>
      </c>
      <c r="L755" s="1" t="s">
        <v>43</v>
      </c>
      <c r="M755" s="1">
        <v>0</v>
      </c>
      <c r="N755" s="1">
        <v>0</v>
      </c>
      <c r="O755" s="1">
        <v>0</v>
      </c>
      <c r="P755" s="11" t="str">
        <f t="shared" si="11"/>
        <v>平</v>
      </c>
      <c r="Q755" s="11" t="str">
        <f t="shared" si="11"/>
        <v>胜</v>
      </c>
    </row>
    <row r="756" spans="4:17" customFormat="1" hidden="1" x14ac:dyDescent="0.15">
      <c r="D756" t="s">
        <v>6</v>
      </c>
      <c r="E756" s="1">
        <v>345348</v>
      </c>
      <c r="F756" s="1">
        <v>345348</v>
      </c>
      <c r="G756" s="8">
        <v>42933.003472222219</v>
      </c>
      <c r="H756" s="1" t="s">
        <v>38</v>
      </c>
      <c r="I756" s="1">
        <v>0</v>
      </c>
      <c r="J756" s="1">
        <v>0</v>
      </c>
      <c r="K756" s="1">
        <v>0</v>
      </c>
      <c r="L756" s="1" t="s">
        <v>40</v>
      </c>
      <c r="M756" s="1">
        <v>0</v>
      </c>
      <c r="N756" s="1">
        <v>0</v>
      </c>
      <c r="O756" s="1">
        <v>0</v>
      </c>
      <c r="P756" s="11" t="str">
        <f t="shared" si="11"/>
        <v>平</v>
      </c>
      <c r="Q756" s="11" t="str">
        <f t="shared" si="11"/>
        <v>平</v>
      </c>
    </row>
    <row r="757" spans="4:17" customFormat="1" hidden="1" x14ac:dyDescent="0.15">
      <c r="D757" t="s">
        <v>6</v>
      </c>
      <c r="E757" s="1">
        <v>345349</v>
      </c>
      <c r="F757" s="1">
        <v>345349</v>
      </c>
      <c r="G757" s="8">
        <v>42933.00277777778</v>
      </c>
      <c r="H757" s="1" t="s">
        <v>54</v>
      </c>
      <c r="I757" s="1">
        <v>0</v>
      </c>
      <c r="J757" s="1">
        <v>0</v>
      </c>
      <c r="K757" s="1">
        <v>0</v>
      </c>
      <c r="L757" s="1" t="s">
        <v>45</v>
      </c>
      <c r="M757" s="1">
        <v>2</v>
      </c>
      <c r="N757" s="1">
        <v>2</v>
      </c>
      <c r="O757" s="1">
        <v>0</v>
      </c>
      <c r="P757" s="11" t="str">
        <f t="shared" si="11"/>
        <v>负</v>
      </c>
      <c r="Q757" s="11" t="str">
        <f t="shared" si="11"/>
        <v>负</v>
      </c>
    </row>
    <row r="758" spans="4:17" customFormat="1" hidden="1" x14ac:dyDescent="0.15">
      <c r="D758" t="s">
        <v>6</v>
      </c>
      <c r="E758" s="1">
        <v>345350</v>
      </c>
      <c r="F758" s="1">
        <v>345350</v>
      </c>
      <c r="G758" s="8">
        <v>42933.001388888886</v>
      </c>
      <c r="H758" s="1" t="s">
        <v>52</v>
      </c>
      <c r="I758" s="1">
        <v>2</v>
      </c>
      <c r="J758" s="1">
        <v>3</v>
      </c>
      <c r="K758" s="1">
        <v>0</v>
      </c>
      <c r="L758" s="1" t="s">
        <v>53</v>
      </c>
      <c r="M758" s="1">
        <v>0</v>
      </c>
      <c r="N758" s="1">
        <v>0</v>
      </c>
      <c r="O758" s="1">
        <v>0</v>
      </c>
      <c r="P758" s="11" t="str">
        <f t="shared" si="11"/>
        <v>胜</v>
      </c>
      <c r="Q758" s="11" t="str">
        <f t="shared" si="11"/>
        <v>胜</v>
      </c>
    </row>
    <row r="759" spans="4:17" customFormat="1" hidden="1" x14ac:dyDescent="0.15">
      <c r="D759" t="s">
        <v>6</v>
      </c>
      <c r="E759" s="1">
        <v>345351</v>
      </c>
      <c r="F759" s="1">
        <v>345351</v>
      </c>
      <c r="G759" s="8">
        <v>42933.084027777775</v>
      </c>
      <c r="H759" s="1" t="s">
        <v>46</v>
      </c>
      <c r="I759" s="1">
        <v>0</v>
      </c>
      <c r="J759" s="1">
        <v>0</v>
      </c>
      <c r="K759" s="1">
        <v>0</v>
      </c>
      <c r="L759" s="1" t="s">
        <v>41</v>
      </c>
      <c r="M759" s="1">
        <v>0</v>
      </c>
      <c r="N759" s="1">
        <v>1</v>
      </c>
      <c r="O759" s="1">
        <v>0</v>
      </c>
      <c r="P759" s="11" t="str">
        <f t="shared" si="11"/>
        <v>平</v>
      </c>
      <c r="Q759" s="11" t="str">
        <f t="shared" si="11"/>
        <v>负</v>
      </c>
    </row>
    <row r="760" spans="4:17" customFormat="1" hidden="1" x14ac:dyDescent="0.15">
      <c r="D760" t="s">
        <v>6</v>
      </c>
      <c r="E760" s="1">
        <v>345352</v>
      </c>
      <c r="F760" s="1">
        <v>345352</v>
      </c>
      <c r="G760" s="8">
        <v>42934.043055555558</v>
      </c>
      <c r="H760" s="1" t="s">
        <v>56</v>
      </c>
      <c r="I760" s="1">
        <v>1</v>
      </c>
      <c r="J760" s="1">
        <v>1</v>
      </c>
      <c r="K760" s="1">
        <v>0</v>
      </c>
      <c r="L760" s="1" t="s">
        <v>49</v>
      </c>
      <c r="M760" s="1">
        <v>0</v>
      </c>
      <c r="N760" s="1">
        <v>1</v>
      </c>
      <c r="O760" s="1">
        <v>0</v>
      </c>
      <c r="P760" s="11" t="str">
        <f t="shared" si="11"/>
        <v>胜</v>
      </c>
      <c r="Q760" s="11" t="str">
        <f t="shared" si="11"/>
        <v>平</v>
      </c>
    </row>
    <row r="761" spans="4:17" customFormat="1" hidden="1" x14ac:dyDescent="0.15">
      <c r="D761" t="s">
        <v>6</v>
      </c>
      <c r="E761" s="1">
        <v>347293</v>
      </c>
      <c r="F761" s="1">
        <v>347293</v>
      </c>
      <c r="G761" s="8">
        <v>42953</v>
      </c>
      <c r="H761" s="1" t="s">
        <v>37</v>
      </c>
      <c r="I761" s="1">
        <v>2</v>
      </c>
      <c r="J761" s="1">
        <v>4</v>
      </c>
      <c r="K761" s="1">
        <v>0</v>
      </c>
      <c r="L761" s="1" t="s">
        <v>56</v>
      </c>
      <c r="M761" s="1">
        <v>0</v>
      </c>
      <c r="N761" s="1">
        <v>1</v>
      </c>
      <c r="O761" s="1">
        <v>0</v>
      </c>
      <c r="P761" s="11" t="str">
        <f t="shared" si="11"/>
        <v>胜</v>
      </c>
      <c r="Q761" s="11" t="str">
        <f t="shared" si="11"/>
        <v>胜</v>
      </c>
    </row>
    <row r="762" spans="4:17" customFormat="1" hidden="1" x14ac:dyDescent="0.15">
      <c r="D762" t="s">
        <v>6</v>
      </c>
      <c r="E762" s="1">
        <v>347294</v>
      </c>
      <c r="F762" s="1">
        <v>347294</v>
      </c>
      <c r="G762" s="8">
        <v>42954</v>
      </c>
      <c r="H762" s="1" t="s">
        <v>42</v>
      </c>
      <c r="I762" s="1">
        <v>0</v>
      </c>
      <c r="J762" s="1">
        <v>1</v>
      </c>
      <c r="K762" s="1">
        <v>0</v>
      </c>
      <c r="L762" s="1" t="s">
        <v>52</v>
      </c>
      <c r="M762" s="1">
        <v>1</v>
      </c>
      <c r="N762" s="1">
        <v>3</v>
      </c>
      <c r="O762" s="1">
        <v>0</v>
      </c>
      <c r="P762" s="11" t="str">
        <f t="shared" si="11"/>
        <v>负</v>
      </c>
      <c r="Q762" s="11" t="str">
        <f t="shared" si="11"/>
        <v>负</v>
      </c>
    </row>
    <row r="763" spans="4:17" customFormat="1" hidden="1" x14ac:dyDescent="0.15">
      <c r="D763" t="s">
        <v>6</v>
      </c>
      <c r="E763" s="1">
        <v>347295</v>
      </c>
      <c r="F763" s="1">
        <v>347295</v>
      </c>
      <c r="G763" s="8">
        <v>42954</v>
      </c>
      <c r="H763" s="1" t="s">
        <v>54</v>
      </c>
      <c r="I763" s="1">
        <v>2</v>
      </c>
      <c r="J763" s="1">
        <v>2</v>
      </c>
      <c r="K763" s="1">
        <v>0</v>
      </c>
      <c r="L763" s="1" t="s">
        <v>35</v>
      </c>
      <c r="M763" s="1">
        <v>0</v>
      </c>
      <c r="N763" s="1">
        <v>1</v>
      </c>
      <c r="O763" s="1">
        <v>0</v>
      </c>
      <c r="P763" s="11" t="str">
        <f t="shared" si="11"/>
        <v>胜</v>
      </c>
      <c r="Q763" s="11" t="str">
        <f t="shared" si="11"/>
        <v>胜</v>
      </c>
    </row>
    <row r="764" spans="4:17" customFormat="1" hidden="1" x14ac:dyDescent="0.15">
      <c r="D764" t="s">
        <v>6</v>
      </c>
      <c r="E764" s="1">
        <v>347296</v>
      </c>
      <c r="F764" s="1">
        <v>347296</v>
      </c>
      <c r="G764" s="8">
        <v>42954</v>
      </c>
      <c r="H764" s="1" t="s">
        <v>53</v>
      </c>
      <c r="I764" s="1">
        <v>1</v>
      </c>
      <c r="J764" s="1">
        <v>1</v>
      </c>
      <c r="K764" s="1">
        <v>0</v>
      </c>
      <c r="L764" s="1" t="s">
        <v>38</v>
      </c>
      <c r="M764" s="1">
        <v>1</v>
      </c>
      <c r="N764" s="1">
        <v>2</v>
      </c>
      <c r="O764" s="1">
        <v>0</v>
      </c>
      <c r="P764" s="11" t="str">
        <f t="shared" si="11"/>
        <v>平</v>
      </c>
      <c r="Q764" s="11" t="str">
        <f t="shared" si="11"/>
        <v>负</v>
      </c>
    </row>
    <row r="765" spans="4:17" customFormat="1" hidden="1" x14ac:dyDescent="0.15">
      <c r="D765" t="s">
        <v>6</v>
      </c>
      <c r="E765" s="1">
        <v>347297</v>
      </c>
      <c r="F765" s="1">
        <v>347297</v>
      </c>
      <c r="G765" s="8">
        <v>42954</v>
      </c>
      <c r="H765" s="1" t="s">
        <v>45</v>
      </c>
      <c r="I765" s="1">
        <v>0</v>
      </c>
      <c r="J765" s="1">
        <v>2</v>
      </c>
      <c r="K765" s="1">
        <v>0</v>
      </c>
      <c r="L765" s="1" t="s">
        <v>44</v>
      </c>
      <c r="M765" s="1">
        <v>2</v>
      </c>
      <c r="N765" s="1">
        <v>2</v>
      </c>
      <c r="O765" s="1">
        <v>0</v>
      </c>
      <c r="P765" s="11" t="str">
        <f t="shared" si="11"/>
        <v>负</v>
      </c>
      <c r="Q765" s="11" t="str">
        <f t="shared" si="11"/>
        <v>平</v>
      </c>
    </row>
    <row r="766" spans="4:17" customFormat="1" hidden="1" x14ac:dyDescent="0.15">
      <c r="D766" t="s">
        <v>6</v>
      </c>
      <c r="E766" s="1">
        <v>347298</v>
      </c>
      <c r="F766" s="1">
        <v>347298</v>
      </c>
      <c r="G766" s="8">
        <v>42954</v>
      </c>
      <c r="H766" s="1" t="s">
        <v>41</v>
      </c>
      <c r="I766" s="1">
        <v>0</v>
      </c>
      <c r="J766" s="1">
        <v>2</v>
      </c>
      <c r="K766" s="1">
        <v>0</v>
      </c>
      <c r="L766" s="1" t="s">
        <v>48</v>
      </c>
      <c r="M766" s="1">
        <v>1</v>
      </c>
      <c r="N766" s="1">
        <v>1</v>
      </c>
      <c r="O766" s="1">
        <v>0</v>
      </c>
      <c r="P766" s="11" t="str">
        <f t="shared" si="11"/>
        <v>负</v>
      </c>
      <c r="Q766" s="11" t="str">
        <f t="shared" si="11"/>
        <v>胜</v>
      </c>
    </row>
    <row r="767" spans="4:17" customFormat="1" hidden="1" x14ac:dyDescent="0.15">
      <c r="D767" t="s">
        <v>6</v>
      </c>
      <c r="E767" s="1">
        <v>347299</v>
      </c>
      <c r="F767" s="1">
        <v>347299</v>
      </c>
      <c r="G767" s="8">
        <v>42954.083333333336</v>
      </c>
      <c r="H767" s="1" t="s">
        <v>43</v>
      </c>
      <c r="I767" s="1">
        <v>1</v>
      </c>
      <c r="J767" s="1">
        <v>3</v>
      </c>
      <c r="K767" s="1">
        <v>0</v>
      </c>
      <c r="L767" s="1" t="s">
        <v>46</v>
      </c>
      <c r="M767" s="1">
        <v>2</v>
      </c>
      <c r="N767" s="1">
        <v>3</v>
      </c>
      <c r="O767" s="1">
        <v>0</v>
      </c>
      <c r="P767" s="11" t="str">
        <f t="shared" si="11"/>
        <v>负</v>
      </c>
      <c r="Q767" s="11" t="str">
        <f t="shared" si="11"/>
        <v>平</v>
      </c>
    </row>
    <row r="768" spans="4:17" customFormat="1" hidden="1" x14ac:dyDescent="0.15">
      <c r="D768" t="s">
        <v>6</v>
      </c>
      <c r="E768" s="1">
        <v>347300</v>
      </c>
      <c r="F768" s="1">
        <v>347300</v>
      </c>
      <c r="G768" s="8">
        <v>42955.041666666664</v>
      </c>
      <c r="H768" s="1" t="s">
        <v>40</v>
      </c>
      <c r="I768" s="1">
        <v>2</v>
      </c>
      <c r="J768" s="1">
        <v>2</v>
      </c>
      <c r="K768" s="1">
        <v>0</v>
      </c>
      <c r="L768" s="1" t="s">
        <v>49</v>
      </c>
      <c r="M768" s="1">
        <v>0</v>
      </c>
      <c r="N768" s="1">
        <v>0</v>
      </c>
      <c r="O768" s="1">
        <v>0</v>
      </c>
      <c r="P768" s="11" t="str">
        <f t="shared" si="11"/>
        <v>胜</v>
      </c>
      <c r="Q768" s="11" t="str">
        <f t="shared" si="11"/>
        <v>胜</v>
      </c>
    </row>
    <row r="769" spans="4:17" customFormat="1" hidden="1" x14ac:dyDescent="0.15">
      <c r="D769" t="s">
        <v>6</v>
      </c>
      <c r="E769" s="1">
        <v>353431</v>
      </c>
      <c r="F769" s="1">
        <v>353431</v>
      </c>
      <c r="G769" s="8">
        <v>42959.042361111111</v>
      </c>
      <c r="H769" s="1" t="s">
        <v>52</v>
      </c>
      <c r="I769" s="1">
        <v>1</v>
      </c>
      <c r="J769" s="1">
        <v>2</v>
      </c>
      <c r="K769" s="1">
        <v>0</v>
      </c>
      <c r="L769" s="1" t="s">
        <v>35</v>
      </c>
      <c r="M769" s="1">
        <v>0</v>
      </c>
      <c r="N769" s="1">
        <v>1</v>
      </c>
      <c r="O769" s="1">
        <v>0</v>
      </c>
      <c r="P769" s="11" t="str">
        <f t="shared" si="11"/>
        <v>胜</v>
      </c>
      <c r="Q769" s="11" t="str">
        <f t="shared" si="11"/>
        <v>胜</v>
      </c>
    </row>
    <row r="770" spans="4:17" customFormat="1" hidden="1" x14ac:dyDescent="0.15">
      <c r="D770" t="s">
        <v>6</v>
      </c>
      <c r="E770" s="1">
        <v>353766</v>
      </c>
      <c r="F770" s="1">
        <v>353766</v>
      </c>
      <c r="G770" s="8">
        <v>42960</v>
      </c>
      <c r="H770" s="1" t="s">
        <v>38</v>
      </c>
      <c r="I770" s="1">
        <v>1</v>
      </c>
      <c r="J770" s="1">
        <v>1</v>
      </c>
      <c r="K770" s="1">
        <v>0</v>
      </c>
      <c r="L770" s="1" t="s">
        <v>37</v>
      </c>
      <c r="M770" s="1">
        <v>0</v>
      </c>
      <c r="N770" s="1">
        <v>2</v>
      </c>
      <c r="O770" s="1">
        <v>0</v>
      </c>
      <c r="P770" s="11" t="str">
        <f t="shared" si="11"/>
        <v>胜</v>
      </c>
      <c r="Q770" s="11" t="str">
        <f t="shared" si="11"/>
        <v>负</v>
      </c>
    </row>
    <row r="771" spans="4:17" customFormat="1" hidden="1" x14ac:dyDescent="0.15">
      <c r="D771" t="s">
        <v>6</v>
      </c>
      <c r="E771" s="1">
        <v>353859</v>
      </c>
      <c r="F771" s="1">
        <v>353859</v>
      </c>
      <c r="G771" s="8">
        <v>42961</v>
      </c>
      <c r="H771" s="1" t="s">
        <v>48</v>
      </c>
      <c r="I771" s="1">
        <v>2</v>
      </c>
      <c r="J771" s="1">
        <v>2</v>
      </c>
      <c r="K771" s="1">
        <v>0</v>
      </c>
      <c r="L771" s="1" t="s">
        <v>42</v>
      </c>
      <c r="M771" s="1">
        <v>0</v>
      </c>
      <c r="N771" s="1">
        <v>2</v>
      </c>
      <c r="O771" s="1">
        <v>0</v>
      </c>
      <c r="P771" s="11" t="str">
        <f t="shared" si="11"/>
        <v>胜</v>
      </c>
      <c r="Q771" s="11" t="str">
        <f t="shared" si="11"/>
        <v>平</v>
      </c>
    </row>
    <row r="772" spans="4:17" customFormat="1" hidden="1" x14ac:dyDescent="0.15">
      <c r="D772" t="s">
        <v>6</v>
      </c>
      <c r="E772" s="1">
        <v>353860</v>
      </c>
      <c r="F772" s="1">
        <v>353860</v>
      </c>
      <c r="G772" s="8">
        <v>42961</v>
      </c>
      <c r="H772" s="1" t="s">
        <v>56</v>
      </c>
      <c r="I772" s="1">
        <v>1</v>
      </c>
      <c r="J772" s="1">
        <v>2</v>
      </c>
      <c r="K772" s="1">
        <v>0</v>
      </c>
      <c r="L772" s="1" t="s">
        <v>41</v>
      </c>
      <c r="M772" s="1">
        <v>0</v>
      </c>
      <c r="N772" s="1">
        <v>2</v>
      </c>
      <c r="O772" s="1">
        <v>0</v>
      </c>
      <c r="P772" s="11" t="str">
        <f t="shared" si="11"/>
        <v>胜</v>
      </c>
      <c r="Q772" s="11" t="str">
        <f t="shared" si="11"/>
        <v>平</v>
      </c>
    </row>
    <row r="773" spans="4:17" customFormat="1" hidden="1" x14ac:dyDescent="0.15">
      <c r="D773" t="s">
        <v>6</v>
      </c>
      <c r="E773" s="1">
        <v>353861</v>
      </c>
      <c r="F773" s="1">
        <v>353861</v>
      </c>
      <c r="G773" s="8">
        <v>42961.002083333333</v>
      </c>
      <c r="H773" s="1" t="s">
        <v>46</v>
      </c>
      <c r="I773" s="1">
        <v>1</v>
      </c>
      <c r="J773" s="1">
        <v>2</v>
      </c>
      <c r="K773" s="1">
        <v>0</v>
      </c>
      <c r="L773" s="1" t="s">
        <v>54</v>
      </c>
      <c r="M773" s="1">
        <v>0</v>
      </c>
      <c r="N773" s="1">
        <v>0</v>
      </c>
      <c r="O773" s="1">
        <v>0</v>
      </c>
      <c r="P773" s="11" t="str">
        <f t="shared" si="11"/>
        <v>胜</v>
      </c>
      <c r="Q773" s="11" t="str">
        <f t="shared" si="11"/>
        <v>胜</v>
      </c>
    </row>
    <row r="774" spans="4:17" customFormat="1" hidden="1" x14ac:dyDescent="0.15">
      <c r="D774" t="s">
        <v>6</v>
      </c>
      <c r="E774" s="1">
        <v>353862</v>
      </c>
      <c r="F774" s="1">
        <v>353862</v>
      </c>
      <c r="G774" s="8">
        <v>42961</v>
      </c>
      <c r="H774" s="1" t="s">
        <v>43</v>
      </c>
      <c r="I774" s="1">
        <v>0</v>
      </c>
      <c r="J774" s="1">
        <v>1</v>
      </c>
      <c r="K774" s="1">
        <v>0</v>
      </c>
      <c r="L774" s="1" t="s">
        <v>45</v>
      </c>
      <c r="M774" s="1">
        <v>1</v>
      </c>
      <c r="N774" s="1">
        <v>1</v>
      </c>
      <c r="O774" s="1">
        <v>0</v>
      </c>
      <c r="P774" s="11" t="str">
        <f t="shared" si="11"/>
        <v>负</v>
      </c>
      <c r="Q774" s="11" t="str">
        <f t="shared" si="11"/>
        <v>平</v>
      </c>
    </row>
    <row r="775" spans="4:17" customFormat="1" hidden="1" x14ac:dyDescent="0.15">
      <c r="D775" t="s">
        <v>6</v>
      </c>
      <c r="E775" s="1">
        <v>353863</v>
      </c>
      <c r="F775" s="1">
        <v>353863</v>
      </c>
      <c r="G775" s="8">
        <v>42961.084027777775</v>
      </c>
      <c r="H775" s="1" t="s">
        <v>40</v>
      </c>
      <c r="I775" s="1">
        <v>3</v>
      </c>
      <c r="J775" s="1">
        <v>3</v>
      </c>
      <c r="K775" s="1">
        <v>0</v>
      </c>
      <c r="L775" s="1" t="s">
        <v>44</v>
      </c>
      <c r="M775" s="1">
        <v>1</v>
      </c>
      <c r="N775" s="1">
        <v>1</v>
      </c>
      <c r="O775" s="1">
        <v>0</v>
      </c>
      <c r="P775" s="11" t="str">
        <f t="shared" si="11"/>
        <v>胜</v>
      </c>
      <c r="Q775" s="11" t="str">
        <f t="shared" si="11"/>
        <v>胜</v>
      </c>
    </row>
    <row r="776" spans="4:17" customFormat="1" hidden="1" x14ac:dyDescent="0.15">
      <c r="D776" t="s">
        <v>6</v>
      </c>
      <c r="E776" s="1">
        <v>353864</v>
      </c>
      <c r="F776" s="1">
        <v>353864</v>
      </c>
      <c r="G776" s="8">
        <v>42962.041666666664</v>
      </c>
      <c r="H776" s="1" t="s">
        <v>49</v>
      </c>
      <c r="I776" s="1">
        <v>0</v>
      </c>
      <c r="J776" s="1">
        <v>0</v>
      </c>
      <c r="K776" s="1">
        <v>0</v>
      </c>
      <c r="L776" s="1" t="s">
        <v>53</v>
      </c>
      <c r="M776" s="1">
        <v>0</v>
      </c>
      <c r="N776" s="1">
        <v>0</v>
      </c>
      <c r="O776" s="1">
        <v>0</v>
      </c>
      <c r="P776" s="11" t="str">
        <f t="shared" si="11"/>
        <v>平</v>
      </c>
      <c r="Q776" s="11" t="str">
        <f t="shared" si="11"/>
        <v>平</v>
      </c>
    </row>
    <row r="777" spans="4:17" customFormat="1" hidden="1" x14ac:dyDescent="0.15">
      <c r="D777" t="s">
        <v>6</v>
      </c>
      <c r="E777" s="1">
        <v>356591</v>
      </c>
      <c r="F777" s="1">
        <v>356591</v>
      </c>
      <c r="G777" s="8">
        <v>42967.000694444447</v>
      </c>
      <c r="H777" s="1" t="s">
        <v>44</v>
      </c>
      <c r="I777" s="1">
        <v>2</v>
      </c>
      <c r="J777" s="1">
        <v>2</v>
      </c>
      <c r="K777" s="1">
        <v>0</v>
      </c>
      <c r="L777" s="1" t="s">
        <v>49</v>
      </c>
      <c r="M777" s="1">
        <v>1</v>
      </c>
      <c r="N777" s="1">
        <v>1</v>
      </c>
      <c r="O777" s="1">
        <v>0</v>
      </c>
      <c r="P777" s="11" t="str">
        <f t="shared" si="11"/>
        <v>胜</v>
      </c>
      <c r="Q777" s="11" t="str">
        <f t="shared" si="11"/>
        <v>胜</v>
      </c>
    </row>
    <row r="778" spans="4:17" customFormat="1" hidden="1" x14ac:dyDescent="0.15">
      <c r="D778" t="s">
        <v>6</v>
      </c>
      <c r="E778" s="1">
        <v>356807</v>
      </c>
      <c r="F778" s="1">
        <v>356807</v>
      </c>
      <c r="G778" s="8">
        <v>42968.000694444447</v>
      </c>
      <c r="H778" s="1" t="s">
        <v>54</v>
      </c>
      <c r="I778" s="1">
        <v>0</v>
      </c>
      <c r="J778" s="1">
        <v>1</v>
      </c>
      <c r="K778" s="1">
        <v>0</v>
      </c>
      <c r="L778" s="1" t="s">
        <v>52</v>
      </c>
      <c r="M778" s="1">
        <v>0</v>
      </c>
      <c r="N778" s="1">
        <v>0</v>
      </c>
      <c r="O778" s="1">
        <v>0</v>
      </c>
      <c r="P778" s="11" t="str">
        <f t="shared" si="11"/>
        <v>平</v>
      </c>
      <c r="Q778" s="11" t="str">
        <f t="shared" si="11"/>
        <v>胜</v>
      </c>
    </row>
    <row r="779" spans="4:17" customFormat="1" hidden="1" x14ac:dyDescent="0.15">
      <c r="D779" t="s">
        <v>6</v>
      </c>
      <c r="E779" s="1">
        <v>356808</v>
      </c>
      <c r="F779" s="1">
        <v>356808</v>
      </c>
      <c r="G779" s="8">
        <v>42968.003472222219</v>
      </c>
      <c r="H779" s="1" t="s">
        <v>37</v>
      </c>
      <c r="I779" s="1">
        <v>0</v>
      </c>
      <c r="J779" s="1">
        <v>0</v>
      </c>
      <c r="K779" s="1">
        <v>0</v>
      </c>
      <c r="L779" s="1" t="s">
        <v>48</v>
      </c>
      <c r="M779" s="1">
        <v>1</v>
      </c>
      <c r="N779" s="1">
        <v>1</v>
      </c>
      <c r="O779" s="1">
        <v>0</v>
      </c>
      <c r="P779" s="11" t="str">
        <f t="shared" si="11"/>
        <v>负</v>
      </c>
      <c r="Q779" s="11" t="str">
        <f t="shared" si="11"/>
        <v>负</v>
      </c>
    </row>
    <row r="780" spans="4:17" customFormat="1" hidden="1" x14ac:dyDescent="0.15">
      <c r="D780" t="s">
        <v>6</v>
      </c>
      <c r="E780" s="1">
        <v>356809</v>
      </c>
      <c r="F780" s="1">
        <v>356809</v>
      </c>
      <c r="G780" s="8">
        <v>42968.002083333333</v>
      </c>
      <c r="H780" s="1" t="s">
        <v>35</v>
      </c>
      <c r="I780" s="1">
        <v>1</v>
      </c>
      <c r="J780" s="1">
        <v>2</v>
      </c>
      <c r="K780" s="1">
        <v>0</v>
      </c>
      <c r="L780" s="1" t="s">
        <v>56</v>
      </c>
      <c r="M780" s="1">
        <v>0</v>
      </c>
      <c r="N780" s="1">
        <v>0</v>
      </c>
      <c r="O780" s="1">
        <v>0</v>
      </c>
      <c r="P780" s="11" t="str">
        <f t="shared" si="11"/>
        <v>胜</v>
      </c>
      <c r="Q780" s="11" t="str">
        <f t="shared" si="11"/>
        <v>胜</v>
      </c>
    </row>
    <row r="781" spans="4:17" customFormat="1" hidden="1" x14ac:dyDescent="0.15">
      <c r="D781" t="s">
        <v>6</v>
      </c>
      <c r="E781" s="1">
        <v>356810</v>
      </c>
      <c r="F781" s="1">
        <v>356810</v>
      </c>
      <c r="G781" s="8">
        <v>42968.00277777778</v>
      </c>
      <c r="H781" s="1" t="s">
        <v>42</v>
      </c>
      <c r="I781" s="1">
        <v>1</v>
      </c>
      <c r="J781" s="1">
        <v>3</v>
      </c>
      <c r="K781" s="1">
        <v>0</v>
      </c>
      <c r="L781" s="1" t="s">
        <v>38</v>
      </c>
      <c r="M781" s="1">
        <v>0</v>
      </c>
      <c r="N781" s="1">
        <v>2</v>
      </c>
      <c r="O781" s="1">
        <v>0</v>
      </c>
      <c r="P781" s="11" t="str">
        <f t="shared" ref="P781:Q844" si="12">IF(I781=M781,"平",IF(I781&gt;M781,"胜","负"))</f>
        <v>胜</v>
      </c>
      <c r="Q781" s="11" t="str">
        <f t="shared" si="12"/>
        <v>胜</v>
      </c>
    </row>
    <row r="782" spans="4:17" customFormat="1" hidden="1" x14ac:dyDescent="0.15">
      <c r="D782" t="s">
        <v>6</v>
      </c>
      <c r="E782" s="1">
        <v>356811</v>
      </c>
      <c r="F782" s="1">
        <v>356811</v>
      </c>
      <c r="G782" s="8">
        <v>42968.00277777778</v>
      </c>
      <c r="H782" s="1" t="s">
        <v>53</v>
      </c>
      <c r="I782" s="1">
        <v>1</v>
      </c>
      <c r="J782" s="1">
        <v>3</v>
      </c>
      <c r="K782" s="1">
        <v>0</v>
      </c>
      <c r="L782" s="1" t="s">
        <v>43</v>
      </c>
      <c r="M782" s="1">
        <v>1</v>
      </c>
      <c r="N782" s="1">
        <v>2</v>
      </c>
      <c r="O782" s="1">
        <v>0</v>
      </c>
      <c r="P782" s="11" t="str">
        <f t="shared" si="12"/>
        <v>平</v>
      </c>
      <c r="Q782" s="11" t="str">
        <f t="shared" si="12"/>
        <v>胜</v>
      </c>
    </row>
    <row r="783" spans="4:17" customFormat="1" hidden="1" x14ac:dyDescent="0.15">
      <c r="D783" t="s">
        <v>6</v>
      </c>
      <c r="E783" s="1">
        <v>356812</v>
      </c>
      <c r="F783" s="1">
        <v>356812</v>
      </c>
      <c r="G783" s="8">
        <v>42968.084027777775</v>
      </c>
      <c r="H783" s="1" t="s">
        <v>45</v>
      </c>
      <c r="I783" s="1">
        <v>1</v>
      </c>
      <c r="J783" s="1">
        <v>2</v>
      </c>
      <c r="K783" s="1">
        <v>0</v>
      </c>
      <c r="L783" s="1" t="s">
        <v>46</v>
      </c>
      <c r="M783" s="1">
        <v>1</v>
      </c>
      <c r="N783" s="1">
        <v>4</v>
      </c>
      <c r="O783" s="1">
        <v>0</v>
      </c>
      <c r="P783" s="11" t="str">
        <f t="shared" si="12"/>
        <v>平</v>
      </c>
      <c r="Q783" s="11" t="str">
        <f t="shared" si="12"/>
        <v>负</v>
      </c>
    </row>
    <row r="784" spans="4:17" customFormat="1" hidden="1" x14ac:dyDescent="0.15">
      <c r="D784" t="s">
        <v>6</v>
      </c>
      <c r="E784" s="1">
        <v>356813</v>
      </c>
      <c r="F784" s="1">
        <v>356813</v>
      </c>
      <c r="G784" s="8">
        <v>42969.041666666664</v>
      </c>
      <c r="H784" s="1" t="s">
        <v>41</v>
      </c>
      <c r="I784" s="1">
        <v>0</v>
      </c>
      <c r="J784" s="1">
        <v>0</v>
      </c>
      <c r="K784" s="1">
        <v>0</v>
      </c>
      <c r="L784" s="1" t="s">
        <v>40</v>
      </c>
      <c r="M784" s="1">
        <v>0</v>
      </c>
      <c r="N784" s="1">
        <v>0</v>
      </c>
      <c r="O784" s="1">
        <v>0</v>
      </c>
      <c r="P784" s="11" t="str">
        <f t="shared" si="12"/>
        <v>平</v>
      </c>
      <c r="Q784" s="11" t="str">
        <f t="shared" si="12"/>
        <v>平</v>
      </c>
    </row>
    <row r="785" spans="4:17" customFormat="1" hidden="1" x14ac:dyDescent="0.15">
      <c r="D785" t="s">
        <v>6</v>
      </c>
      <c r="E785" s="1">
        <v>361868</v>
      </c>
      <c r="F785" s="1">
        <v>361868</v>
      </c>
      <c r="G785" s="8">
        <v>42988.001388888886</v>
      </c>
      <c r="H785" s="1" t="s">
        <v>46</v>
      </c>
      <c r="I785" s="1">
        <v>1</v>
      </c>
      <c r="J785" s="1">
        <v>2</v>
      </c>
      <c r="K785" s="1">
        <v>0</v>
      </c>
      <c r="L785" s="1" t="s">
        <v>35</v>
      </c>
      <c r="M785" s="1">
        <v>1</v>
      </c>
      <c r="N785" s="1">
        <v>1</v>
      </c>
      <c r="O785" s="1">
        <v>0</v>
      </c>
      <c r="P785" s="11" t="str">
        <f t="shared" si="12"/>
        <v>平</v>
      </c>
      <c r="Q785" s="11" t="str">
        <f t="shared" si="12"/>
        <v>胜</v>
      </c>
    </row>
    <row r="786" spans="4:17" customFormat="1" hidden="1" x14ac:dyDescent="0.15">
      <c r="D786" t="s">
        <v>6</v>
      </c>
      <c r="E786" s="1">
        <v>361869</v>
      </c>
      <c r="F786" s="1">
        <v>361869</v>
      </c>
      <c r="G786" s="8">
        <v>42989</v>
      </c>
      <c r="H786" s="1" t="s">
        <v>43</v>
      </c>
      <c r="I786" s="1">
        <v>0</v>
      </c>
      <c r="J786" s="1">
        <v>1</v>
      </c>
      <c r="K786" s="1">
        <v>0</v>
      </c>
      <c r="L786" s="1" t="s">
        <v>42</v>
      </c>
      <c r="M786" s="1">
        <v>1</v>
      </c>
      <c r="N786" s="1">
        <v>1</v>
      </c>
      <c r="O786" s="1">
        <v>0</v>
      </c>
      <c r="P786" s="11" t="str">
        <f t="shared" si="12"/>
        <v>负</v>
      </c>
      <c r="Q786" s="11" t="str">
        <f t="shared" si="12"/>
        <v>平</v>
      </c>
    </row>
    <row r="787" spans="4:17" customFormat="1" hidden="1" x14ac:dyDescent="0.15">
      <c r="D787" t="s">
        <v>6</v>
      </c>
      <c r="E787" s="1">
        <v>361870</v>
      </c>
      <c r="F787" s="1">
        <v>361870</v>
      </c>
      <c r="G787" s="8">
        <v>42988.999305555553</v>
      </c>
      <c r="H787" s="1" t="s">
        <v>48</v>
      </c>
      <c r="I787" s="1">
        <v>1</v>
      </c>
      <c r="J787" s="1">
        <v>1</v>
      </c>
      <c r="K787" s="1">
        <v>0</v>
      </c>
      <c r="L787" s="1" t="s">
        <v>44</v>
      </c>
      <c r="M787" s="1">
        <v>0</v>
      </c>
      <c r="N787" s="1">
        <v>1</v>
      </c>
      <c r="O787" s="1">
        <v>0</v>
      </c>
      <c r="P787" s="11" t="str">
        <f t="shared" si="12"/>
        <v>胜</v>
      </c>
      <c r="Q787" s="11" t="str">
        <f t="shared" si="12"/>
        <v>平</v>
      </c>
    </row>
    <row r="788" spans="4:17" customFormat="1" hidden="1" x14ac:dyDescent="0.15">
      <c r="D788" t="s">
        <v>6</v>
      </c>
      <c r="E788" s="1">
        <v>361871</v>
      </c>
      <c r="F788" s="1">
        <v>361871</v>
      </c>
      <c r="G788" s="8">
        <v>42989</v>
      </c>
      <c r="H788" s="1" t="s">
        <v>56</v>
      </c>
      <c r="I788" s="1">
        <v>3</v>
      </c>
      <c r="J788" s="1">
        <v>4</v>
      </c>
      <c r="K788" s="1">
        <v>0</v>
      </c>
      <c r="L788" s="1" t="s">
        <v>53</v>
      </c>
      <c r="M788" s="1">
        <v>0</v>
      </c>
      <c r="N788" s="1">
        <v>1</v>
      </c>
      <c r="O788" s="1">
        <v>0</v>
      </c>
      <c r="P788" s="11" t="str">
        <f t="shared" si="12"/>
        <v>胜</v>
      </c>
      <c r="Q788" s="11" t="str">
        <f t="shared" si="12"/>
        <v>胜</v>
      </c>
    </row>
    <row r="789" spans="4:17" customFormat="1" hidden="1" x14ac:dyDescent="0.15">
      <c r="D789" t="s">
        <v>6</v>
      </c>
      <c r="E789" s="1">
        <v>361872</v>
      </c>
      <c r="F789" s="1">
        <v>361872</v>
      </c>
      <c r="G789" s="8">
        <v>42989.001388888886</v>
      </c>
      <c r="H789" s="1" t="s">
        <v>52</v>
      </c>
      <c r="I789" s="1">
        <v>2</v>
      </c>
      <c r="J789" s="1">
        <v>3</v>
      </c>
      <c r="K789" s="1">
        <v>0</v>
      </c>
      <c r="L789" s="1" t="s">
        <v>45</v>
      </c>
      <c r="M789" s="1">
        <v>1</v>
      </c>
      <c r="N789" s="1">
        <v>1</v>
      </c>
      <c r="O789" s="1">
        <v>0</v>
      </c>
      <c r="P789" s="11" t="str">
        <f t="shared" si="12"/>
        <v>胜</v>
      </c>
      <c r="Q789" s="11" t="str">
        <f t="shared" si="12"/>
        <v>胜</v>
      </c>
    </row>
    <row r="790" spans="4:17" customFormat="1" hidden="1" x14ac:dyDescent="0.15">
      <c r="D790" t="s">
        <v>6</v>
      </c>
      <c r="E790" s="1">
        <v>361873</v>
      </c>
      <c r="F790" s="1">
        <v>361873</v>
      </c>
      <c r="G790" s="8">
        <v>42989</v>
      </c>
      <c r="H790" s="1" t="s">
        <v>49</v>
      </c>
      <c r="I790" s="1">
        <v>0</v>
      </c>
      <c r="J790" s="1">
        <v>1</v>
      </c>
      <c r="K790" s="1">
        <v>0</v>
      </c>
      <c r="L790" s="1" t="s">
        <v>41</v>
      </c>
      <c r="M790" s="1">
        <v>1</v>
      </c>
      <c r="N790" s="1">
        <v>2</v>
      </c>
      <c r="O790" s="1">
        <v>0</v>
      </c>
      <c r="P790" s="11" t="str">
        <f t="shared" si="12"/>
        <v>负</v>
      </c>
      <c r="Q790" s="11" t="str">
        <f t="shared" si="12"/>
        <v>负</v>
      </c>
    </row>
    <row r="791" spans="4:17" customFormat="1" hidden="1" x14ac:dyDescent="0.15">
      <c r="D791" t="s">
        <v>6</v>
      </c>
      <c r="E791" s="1">
        <v>361874</v>
      </c>
      <c r="F791" s="1">
        <v>361874</v>
      </c>
      <c r="G791" s="8">
        <v>42989.083333333336</v>
      </c>
      <c r="H791" s="1" t="s">
        <v>40</v>
      </c>
      <c r="I791" s="1">
        <v>0</v>
      </c>
      <c r="J791" s="1">
        <v>0</v>
      </c>
      <c r="K791" s="1">
        <v>0</v>
      </c>
      <c r="L791" s="1" t="s">
        <v>37</v>
      </c>
      <c r="M791" s="1">
        <v>0</v>
      </c>
      <c r="N791" s="1">
        <v>2</v>
      </c>
      <c r="O791" s="1">
        <v>0</v>
      </c>
      <c r="P791" s="11" t="str">
        <f t="shared" si="12"/>
        <v>平</v>
      </c>
      <c r="Q791" s="11" t="str">
        <f t="shared" si="12"/>
        <v>负</v>
      </c>
    </row>
    <row r="792" spans="4:17" customFormat="1" hidden="1" x14ac:dyDescent="0.15">
      <c r="D792" t="s">
        <v>6</v>
      </c>
      <c r="E792" s="1">
        <v>361875</v>
      </c>
      <c r="F792" s="1">
        <v>361875</v>
      </c>
      <c r="G792" s="8">
        <v>42990.041666666664</v>
      </c>
      <c r="H792" s="1" t="s">
        <v>38</v>
      </c>
      <c r="I792" s="1">
        <v>0</v>
      </c>
      <c r="J792" s="1">
        <v>2</v>
      </c>
      <c r="K792" s="1">
        <v>0</v>
      </c>
      <c r="L792" s="1" t="s">
        <v>54</v>
      </c>
      <c r="M792" s="1">
        <v>0</v>
      </c>
      <c r="N792" s="1">
        <v>1</v>
      </c>
      <c r="O792" s="1">
        <v>0</v>
      </c>
      <c r="P792" s="11" t="str">
        <f t="shared" si="12"/>
        <v>平</v>
      </c>
      <c r="Q792" s="11" t="str">
        <f t="shared" si="12"/>
        <v>胜</v>
      </c>
    </row>
    <row r="793" spans="4:17" customFormat="1" hidden="1" x14ac:dyDescent="0.15">
      <c r="D793" t="s">
        <v>6</v>
      </c>
      <c r="E793" s="1">
        <v>382072</v>
      </c>
      <c r="F793" s="1">
        <v>382072</v>
      </c>
      <c r="G793" s="8">
        <v>42995</v>
      </c>
      <c r="H793" s="1" t="s">
        <v>42</v>
      </c>
      <c r="I793" s="1">
        <v>0</v>
      </c>
      <c r="J793" s="1">
        <v>0</v>
      </c>
      <c r="K793" s="1">
        <v>0</v>
      </c>
      <c r="L793" s="1" t="s">
        <v>40</v>
      </c>
      <c r="M793" s="1">
        <v>1</v>
      </c>
      <c r="N793" s="1">
        <v>2</v>
      </c>
      <c r="O793" s="1">
        <v>0</v>
      </c>
      <c r="P793" s="11" t="str">
        <f t="shared" si="12"/>
        <v>负</v>
      </c>
      <c r="Q793" s="11" t="str">
        <f t="shared" si="12"/>
        <v>负</v>
      </c>
    </row>
    <row r="794" spans="4:17" customFormat="1" hidden="1" x14ac:dyDescent="0.15">
      <c r="D794" t="s">
        <v>6</v>
      </c>
      <c r="E794" s="1">
        <v>382087</v>
      </c>
      <c r="F794" s="1">
        <v>382087</v>
      </c>
      <c r="G794" s="8">
        <v>42996.000694444447</v>
      </c>
      <c r="H794" s="1" t="s">
        <v>44</v>
      </c>
      <c r="I794" s="1">
        <v>0</v>
      </c>
      <c r="J794" s="1">
        <v>0</v>
      </c>
      <c r="K794" s="1">
        <v>0</v>
      </c>
      <c r="L794" s="1" t="s">
        <v>56</v>
      </c>
      <c r="M794" s="1">
        <v>0</v>
      </c>
      <c r="N794" s="1">
        <v>0</v>
      </c>
      <c r="O794" s="1">
        <v>0</v>
      </c>
      <c r="P794" s="11" t="str">
        <f t="shared" si="12"/>
        <v>平</v>
      </c>
      <c r="Q794" s="11" t="str">
        <f t="shared" si="12"/>
        <v>平</v>
      </c>
    </row>
    <row r="795" spans="4:17" customFormat="1" hidden="1" x14ac:dyDescent="0.15">
      <c r="D795" t="s">
        <v>6</v>
      </c>
      <c r="E795" s="1">
        <v>382088</v>
      </c>
      <c r="F795" s="1">
        <v>382088</v>
      </c>
      <c r="G795" s="8">
        <v>42996</v>
      </c>
      <c r="H795" s="1" t="s">
        <v>35</v>
      </c>
      <c r="I795" s="1">
        <v>0</v>
      </c>
      <c r="J795" s="1">
        <v>0</v>
      </c>
      <c r="K795" s="1">
        <v>0</v>
      </c>
      <c r="L795" s="1" t="s">
        <v>48</v>
      </c>
      <c r="M795" s="1">
        <v>0</v>
      </c>
      <c r="N795" s="1">
        <v>1</v>
      </c>
      <c r="O795" s="1">
        <v>0</v>
      </c>
      <c r="P795" s="11" t="str">
        <f t="shared" si="12"/>
        <v>平</v>
      </c>
      <c r="Q795" s="11" t="str">
        <f t="shared" si="12"/>
        <v>负</v>
      </c>
    </row>
    <row r="796" spans="4:17" customFormat="1" hidden="1" x14ac:dyDescent="0.15">
      <c r="D796" t="s">
        <v>6</v>
      </c>
      <c r="E796" s="1">
        <v>382089</v>
      </c>
      <c r="F796" s="1">
        <v>382089</v>
      </c>
      <c r="G796" s="8">
        <v>42996</v>
      </c>
      <c r="H796" s="1" t="s">
        <v>52</v>
      </c>
      <c r="I796" s="1">
        <v>0</v>
      </c>
      <c r="J796" s="1">
        <v>0</v>
      </c>
      <c r="K796" s="1">
        <v>0</v>
      </c>
      <c r="L796" s="1" t="s">
        <v>46</v>
      </c>
      <c r="M796" s="1">
        <v>1</v>
      </c>
      <c r="N796" s="1">
        <v>1</v>
      </c>
      <c r="O796" s="1">
        <v>0</v>
      </c>
      <c r="P796" s="11" t="str">
        <f t="shared" si="12"/>
        <v>负</v>
      </c>
      <c r="Q796" s="11" t="str">
        <f t="shared" si="12"/>
        <v>负</v>
      </c>
    </row>
    <row r="797" spans="4:17" customFormat="1" hidden="1" x14ac:dyDescent="0.15">
      <c r="D797" t="s">
        <v>6</v>
      </c>
      <c r="E797" s="1">
        <v>382090</v>
      </c>
      <c r="F797" s="1">
        <v>382090</v>
      </c>
      <c r="G797" s="8">
        <v>42996</v>
      </c>
      <c r="H797" s="1" t="s">
        <v>53</v>
      </c>
      <c r="I797" s="1">
        <v>4</v>
      </c>
      <c r="J797" s="1">
        <v>5</v>
      </c>
      <c r="K797" s="1">
        <v>0</v>
      </c>
      <c r="L797" s="1" t="s">
        <v>41</v>
      </c>
      <c r="M797" s="1">
        <v>0</v>
      </c>
      <c r="N797" s="1">
        <v>0</v>
      </c>
      <c r="O797" s="1">
        <v>0</v>
      </c>
      <c r="P797" s="11" t="str">
        <f t="shared" si="12"/>
        <v>胜</v>
      </c>
      <c r="Q797" s="11" t="str">
        <f t="shared" si="12"/>
        <v>胜</v>
      </c>
    </row>
    <row r="798" spans="4:17" customFormat="1" hidden="1" x14ac:dyDescent="0.15">
      <c r="D798" t="s">
        <v>6</v>
      </c>
      <c r="E798" s="1">
        <v>382092</v>
      </c>
      <c r="F798" s="1">
        <v>382092</v>
      </c>
      <c r="G798" s="8">
        <v>42995.999305555553</v>
      </c>
      <c r="H798" s="1" t="s">
        <v>45</v>
      </c>
      <c r="I798" s="1">
        <v>1</v>
      </c>
      <c r="J798" s="1">
        <v>2</v>
      </c>
      <c r="K798" s="1">
        <v>0</v>
      </c>
      <c r="L798" s="1" t="s">
        <v>38</v>
      </c>
      <c r="M798" s="1">
        <v>2</v>
      </c>
      <c r="N798" s="1">
        <v>3</v>
      </c>
      <c r="O798" s="1">
        <v>0</v>
      </c>
      <c r="P798" s="11" t="str">
        <f t="shared" si="12"/>
        <v>负</v>
      </c>
      <c r="Q798" s="11" t="str">
        <f t="shared" si="12"/>
        <v>负</v>
      </c>
    </row>
    <row r="799" spans="4:17" customFormat="1" hidden="1" x14ac:dyDescent="0.15">
      <c r="D799" t="s">
        <v>6</v>
      </c>
      <c r="E799" s="1">
        <v>382170</v>
      </c>
      <c r="F799" s="1">
        <v>382170</v>
      </c>
      <c r="G799" s="8">
        <v>42996.083333333336</v>
      </c>
      <c r="H799" s="1" t="s">
        <v>37</v>
      </c>
      <c r="I799" s="1">
        <v>2</v>
      </c>
      <c r="J799" s="1">
        <v>3</v>
      </c>
      <c r="K799" s="1">
        <v>0</v>
      </c>
      <c r="L799" s="1" t="s">
        <v>49</v>
      </c>
      <c r="M799" s="1">
        <v>0</v>
      </c>
      <c r="N799" s="1">
        <v>0</v>
      </c>
      <c r="O799" s="1">
        <v>0</v>
      </c>
      <c r="P799" s="11" t="str">
        <f t="shared" si="12"/>
        <v>胜</v>
      </c>
      <c r="Q799" s="11" t="str">
        <f t="shared" si="12"/>
        <v>胜</v>
      </c>
    </row>
    <row r="800" spans="4:17" customFormat="1" hidden="1" x14ac:dyDescent="0.15">
      <c r="D800" t="s">
        <v>6</v>
      </c>
      <c r="E800" s="1">
        <v>382372</v>
      </c>
      <c r="F800" s="1">
        <v>382372</v>
      </c>
      <c r="G800" s="8">
        <v>42997.041666666664</v>
      </c>
      <c r="H800" s="1" t="s">
        <v>54</v>
      </c>
      <c r="I800" s="1">
        <v>2</v>
      </c>
      <c r="J800" s="1">
        <v>3</v>
      </c>
      <c r="K800" s="1">
        <v>0</v>
      </c>
      <c r="L800" s="1" t="s">
        <v>43</v>
      </c>
      <c r="M800" s="1">
        <v>0</v>
      </c>
      <c r="N800" s="1">
        <v>2</v>
      </c>
      <c r="O800" s="1">
        <v>0</v>
      </c>
      <c r="P800" s="11" t="str">
        <f t="shared" si="12"/>
        <v>胜</v>
      </c>
      <c r="Q800" s="11" t="str">
        <f t="shared" si="12"/>
        <v>胜</v>
      </c>
    </row>
    <row r="801" spans="4:17" customFormat="1" hidden="1" x14ac:dyDescent="0.15">
      <c r="D801" t="s">
        <v>6</v>
      </c>
      <c r="E801" s="1">
        <v>396546</v>
      </c>
      <c r="F801" s="1">
        <v>396546</v>
      </c>
      <c r="G801" s="8">
        <v>43000</v>
      </c>
      <c r="H801" s="1" t="s">
        <v>53</v>
      </c>
      <c r="I801" s="1">
        <v>1</v>
      </c>
      <c r="J801" s="1">
        <v>2</v>
      </c>
      <c r="K801" s="1">
        <v>0</v>
      </c>
      <c r="L801" s="1" t="s">
        <v>54</v>
      </c>
      <c r="M801" s="1">
        <v>1</v>
      </c>
      <c r="N801" s="1">
        <v>2</v>
      </c>
      <c r="O801" s="1">
        <v>0</v>
      </c>
      <c r="P801" s="11" t="str">
        <f t="shared" si="12"/>
        <v>平</v>
      </c>
      <c r="Q801" s="11" t="str">
        <f t="shared" si="12"/>
        <v>平</v>
      </c>
    </row>
    <row r="802" spans="4:17" customFormat="1" hidden="1" x14ac:dyDescent="0.15">
      <c r="D802" t="s">
        <v>6</v>
      </c>
      <c r="E802" s="1">
        <v>396547</v>
      </c>
      <c r="F802" s="1">
        <v>396547</v>
      </c>
      <c r="G802" s="8">
        <v>43002</v>
      </c>
      <c r="H802" s="1" t="s">
        <v>48</v>
      </c>
      <c r="I802" s="1">
        <v>0</v>
      </c>
      <c r="J802" s="1">
        <v>2</v>
      </c>
      <c r="K802" s="1">
        <v>0</v>
      </c>
      <c r="L802" s="1" t="s">
        <v>45</v>
      </c>
      <c r="M802" s="1">
        <v>1</v>
      </c>
      <c r="N802" s="1">
        <v>1</v>
      </c>
      <c r="O802" s="1">
        <v>0</v>
      </c>
      <c r="P802" s="11" t="str">
        <f t="shared" si="12"/>
        <v>负</v>
      </c>
      <c r="Q802" s="11" t="str">
        <f t="shared" si="12"/>
        <v>胜</v>
      </c>
    </row>
    <row r="803" spans="4:17" customFormat="1" hidden="1" x14ac:dyDescent="0.15">
      <c r="D803" t="s">
        <v>6</v>
      </c>
      <c r="E803" s="1">
        <v>396548</v>
      </c>
      <c r="F803" s="1">
        <v>396548</v>
      </c>
      <c r="G803" s="8">
        <v>43003</v>
      </c>
      <c r="H803" s="1" t="s">
        <v>56</v>
      </c>
      <c r="I803" s="1">
        <v>1</v>
      </c>
      <c r="J803" s="1">
        <v>1</v>
      </c>
      <c r="K803" s="1">
        <v>0</v>
      </c>
      <c r="L803" s="1" t="s">
        <v>42</v>
      </c>
      <c r="M803" s="1">
        <v>0</v>
      </c>
      <c r="N803" s="1">
        <v>0</v>
      </c>
      <c r="O803" s="1">
        <v>0</v>
      </c>
      <c r="P803" s="11" t="str">
        <f t="shared" si="12"/>
        <v>胜</v>
      </c>
      <c r="Q803" s="11" t="str">
        <f t="shared" si="12"/>
        <v>胜</v>
      </c>
    </row>
    <row r="804" spans="4:17" customFormat="1" hidden="1" x14ac:dyDescent="0.15">
      <c r="D804" t="s">
        <v>6</v>
      </c>
      <c r="E804" s="1">
        <v>396549</v>
      </c>
      <c r="F804" s="1">
        <v>396549</v>
      </c>
      <c r="G804" s="8">
        <v>43003.000694444447</v>
      </c>
      <c r="H804" s="1" t="s">
        <v>44</v>
      </c>
      <c r="I804" s="1">
        <v>0</v>
      </c>
      <c r="J804" s="1">
        <v>0</v>
      </c>
      <c r="K804" s="1">
        <v>0</v>
      </c>
      <c r="L804" s="1" t="s">
        <v>37</v>
      </c>
      <c r="M804" s="1">
        <v>2</v>
      </c>
      <c r="N804" s="1">
        <v>3</v>
      </c>
      <c r="O804" s="1">
        <v>0</v>
      </c>
      <c r="P804" s="11" t="str">
        <f t="shared" si="12"/>
        <v>负</v>
      </c>
      <c r="Q804" s="11" t="str">
        <f t="shared" si="12"/>
        <v>负</v>
      </c>
    </row>
    <row r="805" spans="4:17" customFormat="1" hidden="1" x14ac:dyDescent="0.15">
      <c r="D805" t="s">
        <v>6</v>
      </c>
      <c r="E805" s="1">
        <v>396550</v>
      </c>
      <c r="F805" s="1">
        <v>396550</v>
      </c>
      <c r="G805" s="8">
        <v>43003</v>
      </c>
      <c r="H805" s="1" t="s">
        <v>40</v>
      </c>
      <c r="I805" s="1">
        <v>1</v>
      </c>
      <c r="J805" s="1">
        <v>2</v>
      </c>
      <c r="K805" s="1">
        <v>0</v>
      </c>
      <c r="L805" s="1" t="s">
        <v>53</v>
      </c>
      <c r="M805" s="1">
        <v>0</v>
      </c>
      <c r="N805" s="1">
        <v>1</v>
      </c>
      <c r="O805" s="1">
        <v>0</v>
      </c>
      <c r="P805" s="11" t="str">
        <f t="shared" si="12"/>
        <v>胜</v>
      </c>
      <c r="Q805" s="11" t="str">
        <f t="shared" si="12"/>
        <v>胜</v>
      </c>
    </row>
    <row r="806" spans="4:17" customFormat="1" hidden="1" x14ac:dyDescent="0.15">
      <c r="D806" t="s">
        <v>6</v>
      </c>
      <c r="E806" s="1">
        <v>396551</v>
      </c>
      <c r="F806" s="1">
        <v>396551</v>
      </c>
      <c r="G806" s="8">
        <v>43003.083333333336</v>
      </c>
      <c r="H806" s="1" t="s">
        <v>49</v>
      </c>
      <c r="I806" s="1">
        <v>1</v>
      </c>
      <c r="J806" s="1">
        <v>2</v>
      </c>
      <c r="K806" s="1">
        <v>0</v>
      </c>
      <c r="L806" s="1" t="s">
        <v>46</v>
      </c>
      <c r="M806" s="1">
        <v>0</v>
      </c>
      <c r="N806" s="1">
        <v>1</v>
      </c>
      <c r="O806" s="1">
        <v>0</v>
      </c>
      <c r="P806" s="11" t="str">
        <f t="shared" si="12"/>
        <v>胜</v>
      </c>
      <c r="Q806" s="11" t="str">
        <f t="shared" si="12"/>
        <v>胜</v>
      </c>
    </row>
    <row r="807" spans="4:17" customFormat="1" hidden="1" x14ac:dyDescent="0.15">
      <c r="D807" t="s">
        <v>6</v>
      </c>
      <c r="E807" s="1">
        <v>396552</v>
      </c>
      <c r="F807" s="1">
        <v>396552</v>
      </c>
      <c r="G807" s="8">
        <v>43002.999305555553</v>
      </c>
      <c r="H807" s="1" t="s">
        <v>38</v>
      </c>
      <c r="I807" s="1">
        <v>1</v>
      </c>
      <c r="J807" s="1">
        <v>3</v>
      </c>
      <c r="K807" s="1">
        <v>0</v>
      </c>
      <c r="L807" s="1" t="s">
        <v>52</v>
      </c>
      <c r="M807" s="1">
        <v>1</v>
      </c>
      <c r="N807" s="1">
        <v>1</v>
      </c>
      <c r="O807" s="1">
        <v>0</v>
      </c>
      <c r="P807" s="11" t="str">
        <f t="shared" si="12"/>
        <v>平</v>
      </c>
      <c r="Q807" s="11" t="str">
        <f t="shared" si="12"/>
        <v>胜</v>
      </c>
    </row>
    <row r="808" spans="4:17" customFormat="1" hidden="1" x14ac:dyDescent="0.15">
      <c r="D808" t="s">
        <v>6</v>
      </c>
      <c r="E808" s="1">
        <v>396553</v>
      </c>
      <c r="F808" s="1">
        <v>396553</v>
      </c>
      <c r="G808" s="8">
        <v>43003</v>
      </c>
      <c r="H808" s="1" t="s">
        <v>43</v>
      </c>
      <c r="I808" s="1">
        <v>0</v>
      </c>
      <c r="J808" s="1">
        <v>0</v>
      </c>
      <c r="K808" s="1">
        <v>0</v>
      </c>
      <c r="L808" s="1" t="s">
        <v>35</v>
      </c>
      <c r="M808" s="1">
        <v>1</v>
      </c>
      <c r="N808" s="1">
        <v>1</v>
      </c>
      <c r="O808" s="1">
        <v>0</v>
      </c>
      <c r="P808" s="11" t="str">
        <f t="shared" si="12"/>
        <v>负</v>
      </c>
      <c r="Q808" s="11" t="str">
        <f t="shared" si="12"/>
        <v>负</v>
      </c>
    </row>
    <row r="809" spans="4:17" customFormat="1" hidden="1" x14ac:dyDescent="0.15">
      <c r="D809" t="s">
        <v>6</v>
      </c>
      <c r="E809" s="1">
        <v>397102</v>
      </c>
      <c r="F809" s="1">
        <v>397102</v>
      </c>
      <c r="G809" s="8">
        <v>43004.041666666664</v>
      </c>
      <c r="H809" s="1" t="s">
        <v>41</v>
      </c>
      <c r="I809" s="1">
        <v>1</v>
      </c>
      <c r="J809" s="1">
        <v>2</v>
      </c>
      <c r="K809" s="1">
        <v>0</v>
      </c>
      <c r="L809" s="1" t="s">
        <v>54</v>
      </c>
      <c r="M809" s="1">
        <v>0</v>
      </c>
      <c r="N809" s="1">
        <v>1</v>
      </c>
      <c r="O809" s="1">
        <v>0</v>
      </c>
      <c r="P809" s="11" t="str">
        <f t="shared" si="12"/>
        <v>胜</v>
      </c>
      <c r="Q809" s="11" t="str">
        <f t="shared" si="12"/>
        <v>胜</v>
      </c>
    </row>
    <row r="810" spans="4:17" customFormat="1" hidden="1" x14ac:dyDescent="0.15">
      <c r="D810" t="s">
        <v>6</v>
      </c>
      <c r="E810" s="1">
        <v>399674</v>
      </c>
      <c r="F810" s="1">
        <v>399674</v>
      </c>
      <c r="G810" s="8">
        <v>43008.041666666664</v>
      </c>
      <c r="H810" s="1" t="s">
        <v>46</v>
      </c>
      <c r="I810" s="1">
        <v>0</v>
      </c>
      <c r="J810" s="1">
        <v>0</v>
      </c>
      <c r="K810" s="1">
        <v>0</v>
      </c>
      <c r="L810" s="1" t="s">
        <v>56</v>
      </c>
      <c r="M810" s="1">
        <v>2</v>
      </c>
      <c r="N810" s="1">
        <v>4</v>
      </c>
      <c r="O810" s="1">
        <v>0</v>
      </c>
      <c r="P810" s="11" t="str">
        <f t="shared" si="12"/>
        <v>负</v>
      </c>
      <c r="Q810" s="11" t="str">
        <f t="shared" si="12"/>
        <v>负</v>
      </c>
    </row>
    <row r="811" spans="4:17" customFormat="1" hidden="1" x14ac:dyDescent="0.15">
      <c r="D811" t="s">
        <v>6</v>
      </c>
      <c r="E811" s="1">
        <v>399675</v>
      </c>
      <c r="F811" s="1">
        <v>399675</v>
      </c>
      <c r="G811" s="8">
        <v>43009</v>
      </c>
      <c r="H811" s="1" t="s">
        <v>42</v>
      </c>
      <c r="I811" s="1">
        <v>0</v>
      </c>
      <c r="J811" s="1">
        <v>4</v>
      </c>
      <c r="K811" s="1">
        <v>0</v>
      </c>
      <c r="L811" s="1" t="s">
        <v>49</v>
      </c>
      <c r="M811" s="1">
        <v>2</v>
      </c>
      <c r="N811" s="1">
        <v>2</v>
      </c>
      <c r="O811" s="1">
        <v>0</v>
      </c>
      <c r="P811" s="11" t="str">
        <f t="shared" si="12"/>
        <v>负</v>
      </c>
      <c r="Q811" s="11" t="str">
        <f t="shared" si="12"/>
        <v>胜</v>
      </c>
    </row>
    <row r="812" spans="4:17" customFormat="1" hidden="1" x14ac:dyDescent="0.15">
      <c r="D812" t="s">
        <v>6</v>
      </c>
      <c r="E812" s="1">
        <v>399676</v>
      </c>
      <c r="F812" s="1">
        <v>399676</v>
      </c>
      <c r="G812" s="8">
        <v>43010.003472222219</v>
      </c>
      <c r="H812" s="1" t="s">
        <v>54</v>
      </c>
      <c r="I812" s="1">
        <v>1</v>
      </c>
      <c r="J812" s="1">
        <v>1</v>
      </c>
      <c r="K812" s="1">
        <v>0</v>
      </c>
      <c r="L812" s="1" t="s">
        <v>48</v>
      </c>
      <c r="M812" s="1">
        <v>0</v>
      </c>
      <c r="N812" s="1">
        <v>0</v>
      </c>
      <c r="O812" s="1">
        <v>0</v>
      </c>
      <c r="P812" s="11" t="str">
        <f t="shared" si="12"/>
        <v>胜</v>
      </c>
      <c r="Q812" s="11" t="str">
        <f t="shared" si="12"/>
        <v>胜</v>
      </c>
    </row>
    <row r="813" spans="4:17" customFormat="1" hidden="1" x14ac:dyDescent="0.15">
      <c r="D813" t="s">
        <v>6</v>
      </c>
      <c r="E813" s="1">
        <v>399714</v>
      </c>
      <c r="F813" s="1">
        <v>399714</v>
      </c>
      <c r="G813" s="8">
        <v>43010.003472222219</v>
      </c>
      <c r="H813" s="1" t="s">
        <v>52</v>
      </c>
      <c r="I813" s="1">
        <v>0</v>
      </c>
      <c r="J813" s="1">
        <v>2</v>
      </c>
      <c r="K813" s="1">
        <v>0</v>
      </c>
      <c r="L813" s="1" t="s">
        <v>43</v>
      </c>
      <c r="M813" s="1">
        <v>0</v>
      </c>
      <c r="N813" s="1">
        <v>0</v>
      </c>
      <c r="O813" s="1">
        <v>0</v>
      </c>
      <c r="P813" s="11" t="str">
        <f t="shared" si="12"/>
        <v>平</v>
      </c>
      <c r="Q813" s="11" t="str">
        <f t="shared" si="12"/>
        <v>胜</v>
      </c>
    </row>
    <row r="814" spans="4:17" customFormat="1" hidden="1" x14ac:dyDescent="0.15">
      <c r="D814" t="s">
        <v>6</v>
      </c>
      <c r="E814" s="1">
        <v>399715</v>
      </c>
      <c r="F814" s="1">
        <v>399715</v>
      </c>
      <c r="G814" s="8">
        <v>43010.003472222219</v>
      </c>
      <c r="H814" s="1" t="s">
        <v>35</v>
      </c>
      <c r="I814" s="1">
        <v>2</v>
      </c>
      <c r="J814" s="1">
        <v>2</v>
      </c>
      <c r="K814" s="1">
        <v>0</v>
      </c>
      <c r="L814" s="1" t="s">
        <v>38</v>
      </c>
      <c r="M814" s="1">
        <v>2</v>
      </c>
      <c r="N814" s="1">
        <v>2</v>
      </c>
      <c r="O814" s="1">
        <v>0</v>
      </c>
      <c r="P814" s="11" t="str">
        <f t="shared" si="12"/>
        <v>平</v>
      </c>
      <c r="Q814" s="11" t="str">
        <f t="shared" si="12"/>
        <v>平</v>
      </c>
    </row>
    <row r="815" spans="4:17" customFormat="1" hidden="1" x14ac:dyDescent="0.15">
      <c r="D815" t="s">
        <v>6</v>
      </c>
      <c r="E815" s="1">
        <v>399716</v>
      </c>
      <c r="F815" s="1">
        <v>399716</v>
      </c>
      <c r="G815" s="8">
        <v>43010.003472222219</v>
      </c>
      <c r="H815" s="1" t="s">
        <v>53</v>
      </c>
      <c r="I815" s="1">
        <v>2</v>
      </c>
      <c r="J815" s="1">
        <v>2</v>
      </c>
      <c r="K815" s="1">
        <v>0</v>
      </c>
      <c r="L815" s="1" t="s">
        <v>44</v>
      </c>
      <c r="M815" s="1">
        <v>0</v>
      </c>
      <c r="N815" s="1">
        <v>1</v>
      </c>
      <c r="O815" s="1">
        <v>0</v>
      </c>
      <c r="P815" s="11" t="str">
        <f t="shared" si="12"/>
        <v>胜</v>
      </c>
      <c r="Q815" s="11" t="str">
        <f t="shared" si="12"/>
        <v>胜</v>
      </c>
    </row>
    <row r="816" spans="4:17" customFormat="1" hidden="1" x14ac:dyDescent="0.15">
      <c r="D816" t="s">
        <v>6</v>
      </c>
      <c r="E816" s="1">
        <v>399717</v>
      </c>
      <c r="F816" s="1">
        <v>399717</v>
      </c>
      <c r="G816" s="8">
        <v>43010.003472222219</v>
      </c>
      <c r="H816" s="1" t="s">
        <v>45</v>
      </c>
      <c r="I816" s="1">
        <v>0</v>
      </c>
      <c r="J816" s="1">
        <v>0</v>
      </c>
      <c r="K816" s="1">
        <v>0</v>
      </c>
      <c r="L816" s="1" t="s">
        <v>40</v>
      </c>
      <c r="M816" s="1">
        <v>1</v>
      </c>
      <c r="N816" s="1">
        <v>1</v>
      </c>
      <c r="O816" s="1">
        <v>0</v>
      </c>
      <c r="P816" s="11" t="str">
        <f t="shared" si="12"/>
        <v>负</v>
      </c>
      <c r="Q816" s="11" t="str">
        <f t="shared" si="12"/>
        <v>负</v>
      </c>
    </row>
    <row r="817" spans="4:17" customFormat="1" hidden="1" x14ac:dyDescent="0.15">
      <c r="D817" t="s">
        <v>6</v>
      </c>
      <c r="E817" s="1">
        <v>399718</v>
      </c>
      <c r="F817" s="1">
        <v>399718</v>
      </c>
      <c r="G817" s="8">
        <v>43010.083333333336</v>
      </c>
      <c r="H817" s="1" t="s">
        <v>37</v>
      </c>
      <c r="I817" s="1">
        <v>0</v>
      </c>
      <c r="J817" s="1">
        <v>1</v>
      </c>
      <c r="K817" s="1">
        <v>0</v>
      </c>
      <c r="L817" s="1" t="s">
        <v>41</v>
      </c>
      <c r="M817" s="1">
        <v>0</v>
      </c>
      <c r="N817" s="1">
        <v>1</v>
      </c>
      <c r="O817" s="1">
        <v>0</v>
      </c>
      <c r="P817" s="11" t="str">
        <f t="shared" si="12"/>
        <v>平</v>
      </c>
      <c r="Q817" s="11" t="str">
        <f t="shared" si="12"/>
        <v>平</v>
      </c>
    </row>
    <row r="818" spans="4:17" customFormat="1" hidden="1" x14ac:dyDescent="0.15">
      <c r="D818" t="s">
        <v>6</v>
      </c>
      <c r="E818" s="1">
        <v>402021</v>
      </c>
      <c r="F818" s="1">
        <v>402021</v>
      </c>
      <c r="G818" s="8">
        <v>43022.899305555555</v>
      </c>
      <c r="H818" s="1" t="s">
        <v>53</v>
      </c>
      <c r="I818" s="1">
        <v>0</v>
      </c>
      <c r="J818" s="1">
        <v>0</v>
      </c>
      <c r="K818" s="1">
        <v>0</v>
      </c>
      <c r="L818" s="1" t="s">
        <v>37</v>
      </c>
      <c r="M818" s="1">
        <v>1</v>
      </c>
      <c r="N818" s="1">
        <v>3</v>
      </c>
      <c r="O818" s="1">
        <v>0</v>
      </c>
      <c r="P818" s="11" t="str">
        <f t="shared" si="12"/>
        <v>负</v>
      </c>
      <c r="Q818" s="11" t="str">
        <f t="shared" si="12"/>
        <v>负</v>
      </c>
    </row>
    <row r="819" spans="4:17" customFormat="1" hidden="1" x14ac:dyDescent="0.15">
      <c r="D819" t="s">
        <v>6</v>
      </c>
      <c r="E819" s="1">
        <v>402022</v>
      </c>
      <c r="F819" s="1">
        <v>402022</v>
      </c>
      <c r="G819" s="8">
        <v>43023</v>
      </c>
      <c r="H819" s="1" t="s">
        <v>40</v>
      </c>
      <c r="I819" s="1">
        <v>0</v>
      </c>
      <c r="J819" s="1">
        <v>1</v>
      </c>
      <c r="K819" s="1">
        <v>0</v>
      </c>
      <c r="L819" s="1" t="s">
        <v>54</v>
      </c>
      <c r="M819" s="1">
        <v>0</v>
      </c>
      <c r="N819" s="1">
        <v>0</v>
      </c>
      <c r="O819" s="1">
        <v>0</v>
      </c>
      <c r="P819" s="11" t="str">
        <f t="shared" si="12"/>
        <v>平</v>
      </c>
      <c r="Q819" s="11" t="str">
        <f t="shared" si="12"/>
        <v>胜</v>
      </c>
    </row>
    <row r="820" spans="4:17" customFormat="1" hidden="1" x14ac:dyDescent="0.15">
      <c r="D820" t="s">
        <v>6</v>
      </c>
      <c r="E820" s="1">
        <v>402023</v>
      </c>
      <c r="F820" s="1">
        <v>402023</v>
      </c>
      <c r="G820" s="8">
        <v>43024.003472222219</v>
      </c>
      <c r="H820" s="1" t="s">
        <v>48</v>
      </c>
      <c r="I820" s="1">
        <v>1</v>
      </c>
      <c r="J820" s="1">
        <v>2</v>
      </c>
      <c r="K820" s="1">
        <v>0</v>
      </c>
      <c r="L820" s="1" t="s">
        <v>52</v>
      </c>
      <c r="M820" s="1">
        <v>0</v>
      </c>
      <c r="N820" s="1">
        <v>0</v>
      </c>
      <c r="O820" s="1">
        <v>0</v>
      </c>
      <c r="P820" s="11" t="str">
        <f t="shared" si="12"/>
        <v>胜</v>
      </c>
      <c r="Q820" s="11" t="str">
        <f t="shared" si="12"/>
        <v>胜</v>
      </c>
    </row>
    <row r="821" spans="4:17" customFormat="1" hidden="1" x14ac:dyDescent="0.15">
      <c r="D821" t="s">
        <v>6</v>
      </c>
      <c r="E821" s="1">
        <v>402024</v>
      </c>
      <c r="F821" s="1">
        <v>402024</v>
      </c>
      <c r="G821" s="8">
        <v>43024.003472222219</v>
      </c>
      <c r="H821" s="1" t="s">
        <v>56</v>
      </c>
      <c r="I821" s="1">
        <v>0</v>
      </c>
      <c r="J821" s="1">
        <v>0</v>
      </c>
      <c r="K821" s="1">
        <v>0</v>
      </c>
      <c r="L821" s="1" t="s">
        <v>45</v>
      </c>
      <c r="M821" s="1">
        <v>1</v>
      </c>
      <c r="N821" s="1">
        <v>2</v>
      </c>
      <c r="O821" s="1">
        <v>0</v>
      </c>
      <c r="P821" s="11" t="str">
        <f t="shared" si="12"/>
        <v>负</v>
      </c>
      <c r="Q821" s="11" t="str">
        <f t="shared" si="12"/>
        <v>负</v>
      </c>
    </row>
    <row r="822" spans="4:17" customFormat="1" hidden="1" x14ac:dyDescent="0.15">
      <c r="D822" t="s">
        <v>6</v>
      </c>
      <c r="E822" s="1">
        <v>402025</v>
      </c>
      <c r="F822" s="1">
        <v>402025</v>
      </c>
      <c r="G822" s="8">
        <v>43024.003472222219</v>
      </c>
      <c r="H822" s="1" t="s">
        <v>44</v>
      </c>
      <c r="I822" s="1">
        <v>0</v>
      </c>
      <c r="J822" s="1">
        <v>1</v>
      </c>
      <c r="K822" s="1">
        <v>0</v>
      </c>
      <c r="L822" s="1" t="s">
        <v>35</v>
      </c>
      <c r="M822" s="1">
        <v>0</v>
      </c>
      <c r="N822" s="1">
        <v>0</v>
      </c>
      <c r="O822" s="1">
        <v>0</v>
      </c>
      <c r="P822" s="11" t="str">
        <f t="shared" si="12"/>
        <v>平</v>
      </c>
      <c r="Q822" s="11" t="str">
        <f t="shared" si="12"/>
        <v>胜</v>
      </c>
    </row>
    <row r="823" spans="4:17" customFormat="1" hidden="1" x14ac:dyDescent="0.15">
      <c r="D823" t="s">
        <v>6</v>
      </c>
      <c r="E823" s="1">
        <v>402026</v>
      </c>
      <c r="F823" s="1">
        <v>402026</v>
      </c>
      <c r="G823" s="8">
        <v>43024.003472222219</v>
      </c>
      <c r="H823" s="1" t="s">
        <v>49</v>
      </c>
      <c r="I823" s="1">
        <v>3</v>
      </c>
      <c r="J823" s="1">
        <v>5</v>
      </c>
      <c r="K823" s="1">
        <v>0</v>
      </c>
      <c r="L823" s="1" t="s">
        <v>43</v>
      </c>
      <c r="M823" s="1">
        <v>1</v>
      </c>
      <c r="N823" s="1">
        <v>1</v>
      </c>
      <c r="O823" s="1">
        <v>0</v>
      </c>
      <c r="P823" s="11" t="str">
        <f t="shared" si="12"/>
        <v>胜</v>
      </c>
      <c r="Q823" s="11" t="str">
        <f t="shared" si="12"/>
        <v>胜</v>
      </c>
    </row>
    <row r="824" spans="4:17" customFormat="1" hidden="1" x14ac:dyDescent="0.15">
      <c r="D824" t="s">
        <v>6</v>
      </c>
      <c r="E824" s="1">
        <v>402027</v>
      </c>
      <c r="F824" s="1">
        <v>402027</v>
      </c>
      <c r="G824" s="8">
        <v>43024.083333333336</v>
      </c>
      <c r="H824" s="1" t="s">
        <v>38</v>
      </c>
      <c r="I824" s="1">
        <v>0</v>
      </c>
      <c r="J824" s="1">
        <v>1</v>
      </c>
      <c r="K824" s="1">
        <v>0</v>
      </c>
      <c r="L824" s="1" t="s">
        <v>46</v>
      </c>
      <c r="M824" s="1">
        <v>0</v>
      </c>
      <c r="N824" s="1">
        <v>0</v>
      </c>
      <c r="O824" s="1">
        <v>0</v>
      </c>
      <c r="P824" s="11" t="str">
        <f t="shared" si="12"/>
        <v>平</v>
      </c>
      <c r="Q824" s="11" t="str">
        <f t="shared" si="12"/>
        <v>胜</v>
      </c>
    </row>
    <row r="825" spans="4:17" customFormat="1" hidden="1" x14ac:dyDescent="0.15">
      <c r="D825" t="s">
        <v>6</v>
      </c>
      <c r="E825" s="1">
        <v>402028</v>
      </c>
      <c r="F825" s="1">
        <v>402028</v>
      </c>
      <c r="G825" s="8">
        <v>43025.041666666664</v>
      </c>
      <c r="H825" s="1" t="s">
        <v>41</v>
      </c>
      <c r="I825" s="1">
        <v>2</v>
      </c>
      <c r="J825" s="1">
        <v>2</v>
      </c>
      <c r="K825" s="1">
        <v>0</v>
      </c>
      <c r="L825" s="1" t="s">
        <v>42</v>
      </c>
      <c r="M825" s="1">
        <v>1</v>
      </c>
      <c r="N825" s="1">
        <v>2</v>
      </c>
      <c r="O825" s="1">
        <v>0</v>
      </c>
      <c r="P825" s="11" t="str">
        <f t="shared" si="12"/>
        <v>胜</v>
      </c>
      <c r="Q825" s="11" t="str">
        <f t="shared" si="12"/>
        <v>平</v>
      </c>
    </row>
    <row r="826" spans="4:17" customFormat="1" hidden="1" x14ac:dyDescent="0.15">
      <c r="D826" t="s">
        <v>6</v>
      </c>
      <c r="E826" s="1">
        <v>402107</v>
      </c>
      <c r="F826" s="1">
        <v>402107</v>
      </c>
      <c r="G826" s="8">
        <v>43021.041666666664</v>
      </c>
      <c r="H826" s="1" t="s">
        <v>49</v>
      </c>
      <c r="I826" s="1">
        <v>2</v>
      </c>
      <c r="J826" s="1">
        <v>3</v>
      </c>
      <c r="K826" s="1">
        <v>0</v>
      </c>
      <c r="L826" s="1" t="s">
        <v>48</v>
      </c>
      <c r="M826" s="1">
        <v>0</v>
      </c>
      <c r="N826" s="1">
        <v>0</v>
      </c>
      <c r="O826" s="1">
        <v>0</v>
      </c>
      <c r="P826" s="11" t="str">
        <f t="shared" si="12"/>
        <v>胜</v>
      </c>
      <c r="Q826" s="11" t="str">
        <f t="shared" si="12"/>
        <v>胜</v>
      </c>
    </row>
    <row r="827" spans="4:17" customFormat="1" hidden="1" x14ac:dyDescent="0.15">
      <c r="D827" t="s">
        <v>6</v>
      </c>
      <c r="E827" s="1">
        <v>407549</v>
      </c>
      <c r="F827" s="1">
        <v>407549</v>
      </c>
      <c r="G827" s="8">
        <v>43030</v>
      </c>
      <c r="H827" s="1" t="s">
        <v>43</v>
      </c>
      <c r="I827" s="1">
        <v>0</v>
      </c>
      <c r="J827" s="1">
        <v>1</v>
      </c>
      <c r="K827" s="1">
        <v>0</v>
      </c>
      <c r="L827" s="1" t="s">
        <v>56</v>
      </c>
      <c r="M827" s="1">
        <v>0</v>
      </c>
      <c r="N827" s="1">
        <v>1</v>
      </c>
      <c r="O827" s="1">
        <v>0</v>
      </c>
      <c r="P827" s="11" t="str">
        <f t="shared" si="12"/>
        <v>平</v>
      </c>
      <c r="Q827" s="11" t="str">
        <f t="shared" si="12"/>
        <v>平</v>
      </c>
    </row>
    <row r="828" spans="4:17" customFormat="1" hidden="1" x14ac:dyDescent="0.15">
      <c r="D828" t="s">
        <v>6</v>
      </c>
      <c r="E828" s="1">
        <v>407550</v>
      </c>
      <c r="F828" s="1">
        <v>407550</v>
      </c>
      <c r="G828" s="8">
        <v>43031</v>
      </c>
      <c r="H828" s="1" t="s">
        <v>38</v>
      </c>
      <c r="I828" s="1">
        <v>1</v>
      </c>
      <c r="J828" s="1">
        <v>1</v>
      </c>
      <c r="K828" s="1">
        <v>0</v>
      </c>
      <c r="L828" s="1" t="s">
        <v>48</v>
      </c>
      <c r="M828" s="1">
        <v>0</v>
      </c>
      <c r="N828" s="1">
        <v>0</v>
      </c>
      <c r="O828" s="1">
        <v>0</v>
      </c>
      <c r="P828" s="11" t="str">
        <f t="shared" si="12"/>
        <v>胜</v>
      </c>
      <c r="Q828" s="11" t="str">
        <f t="shared" si="12"/>
        <v>胜</v>
      </c>
    </row>
    <row r="829" spans="4:17" customFormat="1" hidden="1" x14ac:dyDescent="0.15">
      <c r="D829" t="s">
        <v>6</v>
      </c>
      <c r="E829" s="1">
        <v>407551</v>
      </c>
      <c r="F829" s="1">
        <v>407551</v>
      </c>
      <c r="G829" s="8">
        <v>43031</v>
      </c>
      <c r="H829" s="1" t="s">
        <v>52</v>
      </c>
      <c r="I829" s="1">
        <v>0</v>
      </c>
      <c r="J829" s="1">
        <v>1</v>
      </c>
      <c r="K829" s="1">
        <v>0</v>
      </c>
      <c r="L829" s="1" t="s">
        <v>40</v>
      </c>
      <c r="M829" s="1">
        <v>1</v>
      </c>
      <c r="N829" s="1">
        <v>2</v>
      </c>
      <c r="O829" s="1">
        <v>0</v>
      </c>
      <c r="P829" s="11" t="str">
        <f t="shared" si="12"/>
        <v>负</v>
      </c>
      <c r="Q829" s="11" t="str">
        <f t="shared" si="12"/>
        <v>负</v>
      </c>
    </row>
    <row r="830" spans="4:17" customFormat="1" hidden="1" x14ac:dyDescent="0.15">
      <c r="D830" t="s">
        <v>6</v>
      </c>
      <c r="E830" s="1">
        <v>407552</v>
      </c>
      <c r="F830" s="1">
        <v>407552</v>
      </c>
      <c r="G830" s="8">
        <v>43031</v>
      </c>
      <c r="H830" s="1" t="s">
        <v>35</v>
      </c>
      <c r="I830" s="1">
        <v>3</v>
      </c>
      <c r="J830" s="1">
        <v>3</v>
      </c>
      <c r="K830" s="1">
        <v>0</v>
      </c>
      <c r="L830" s="1" t="s">
        <v>41</v>
      </c>
      <c r="M830" s="1">
        <v>1</v>
      </c>
      <c r="N830" s="1">
        <v>3</v>
      </c>
      <c r="O830" s="1">
        <v>0</v>
      </c>
      <c r="P830" s="11" t="str">
        <f t="shared" si="12"/>
        <v>胜</v>
      </c>
      <c r="Q830" s="11" t="str">
        <f t="shared" si="12"/>
        <v>平</v>
      </c>
    </row>
    <row r="831" spans="4:17" customFormat="1" hidden="1" x14ac:dyDescent="0.15">
      <c r="D831" t="s">
        <v>6</v>
      </c>
      <c r="E831" s="1">
        <v>407553</v>
      </c>
      <c r="F831" s="1">
        <v>407553</v>
      </c>
      <c r="G831" s="8">
        <v>43031.000694444447</v>
      </c>
      <c r="H831" s="1" t="s">
        <v>45</v>
      </c>
      <c r="I831" s="1">
        <v>0</v>
      </c>
      <c r="J831" s="1">
        <v>1</v>
      </c>
      <c r="K831" s="1">
        <v>0</v>
      </c>
      <c r="L831" s="1" t="s">
        <v>49</v>
      </c>
      <c r="M831" s="1">
        <v>4</v>
      </c>
      <c r="N831" s="1">
        <v>7</v>
      </c>
      <c r="O831" s="1">
        <v>0</v>
      </c>
      <c r="P831" s="11" t="str">
        <f t="shared" si="12"/>
        <v>负</v>
      </c>
      <c r="Q831" s="11" t="str">
        <f t="shared" si="12"/>
        <v>负</v>
      </c>
    </row>
    <row r="832" spans="4:17" customFormat="1" hidden="1" x14ac:dyDescent="0.15">
      <c r="D832" t="s">
        <v>6</v>
      </c>
      <c r="E832" s="1">
        <v>407554</v>
      </c>
      <c r="F832" s="1">
        <v>407554</v>
      </c>
      <c r="G832" s="8">
        <v>43031.083333333336</v>
      </c>
      <c r="H832" s="1" t="s">
        <v>46</v>
      </c>
      <c r="I832" s="1">
        <v>0</v>
      </c>
      <c r="J832" s="1">
        <v>0</v>
      </c>
      <c r="K832" s="1">
        <v>0</v>
      </c>
      <c r="L832" s="1" t="s">
        <v>37</v>
      </c>
      <c r="M832" s="1">
        <v>0</v>
      </c>
      <c r="N832" s="1">
        <v>3</v>
      </c>
      <c r="O832" s="1">
        <v>0</v>
      </c>
      <c r="P832" s="11" t="str">
        <f t="shared" si="12"/>
        <v>平</v>
      </c>
      <c r="Q832" s="11" t="str">
        <f t="shared" si="12"/>
        <v>负</v>
      </c>
    </row>
    <row r="833" spans="4:17" customFormat="1" hidden="1" x14ac:dyDescent="0.15">
      <c r="D833" t="s">
        <v>6</v>
      </c>
      <c r="E833" s="1">
        <v>407555</v>
      </c>
      <c r="F833" s="1">
        <v>407555</v>
      </c>
      <c r="G833" s="8">
        <v>43032.041666666664</v>
      </c>
      <c r="H833" s="1" t="s">
        <v>54</v>
      </c>
      <c r="I833" s="1">
        <v>1</v>
      </c>
      <c r="J833" s="1">
        <v>1</v>
      </c>
      <c r="K833" s="1">
        <v>0</v>
      </c>
      <c r="L833" s="1" t="s">
        <v>44</v>
      </c>
      <c r="M833" s="1">
        <v>0</v>
      </c>
      <c r="N833" s="1">
        <v>0</v>
      </c>
      <c r="O833" s="1">
        <v>0</v>
      </c>
      <c r="P833" s="11" t="str">
        <f t="shared" si="12"/>
        <v>胜</v>
      </c>
      <c r="Q833" s="11" t="str">
        <f t="shared" si="12"/>
        <v>胜</v>
      </c>
    </row>
    <row r="834" spans="4:17" customFormat="1" hidden="1" x14ac:dyDescent="0.15">
      <c r="D834" t="s">
        <v>6</v>
      </c>
      <c r="E834" s="1">
        <v>407790</v>
      </c>
      <c r="F834" s="1">
        <v>407790</v>
      </c>
      <c r="G834" s="8">
        <v>43031</v>
      </c>
      <c r="H834" s="1" t="s">
        <v>42</v>
      </c>
      <c r="I834" s="1">
        <v>0</v>
      </c>
      <c r="J834" s="1">
        <v>1</v>
      </c>
      <c r="K834" s="1">
        <v>0</v>
      </c>
      <c r="L834" s="1" t="s">
        <v>53</v>
      </c>
      <c r="M834" s="1">
        <v>2</v>
      </c>
      <c r="N834" s="1">
        <v>2</v>
      </c>
      <c r="O834" s="1">
        <v>0</v>
      </c>
      <c r="P834" s="11" t="str">
        <f t="shared" si="12"/>
        <v>负</v>
      </c>
      <c r="Q834" s="11" t="str">
        <f t="shared" si="12"/>
        <v>负</v>
      </c>
    </row>
    <row r="835" spans="4:17" customFormat="1" hidden="1" x14ac:dyDescent="0.15">
      <c r="D835" t="s">
        <v>6</v>
      </c>
      <c r="E835" s="1">
        <v>410611</v>
      </c>
      <c r="F835" s="1">
        <v>410611</v>
      </c>
      <c r="G835" s="8">
        <v>43037</v>
      </c>
      <c r="H835" s="1" t="s">
        <v>48</v>
      </c>
      <c r="I835" s="1">
        <v>2</v>
      </c>
      <c r="J835" s="1">
        <v>2</v>
      </c>
      <c r="K835" s="1">
        <v>0</v>
      </c>
      <c r="L835" s="1" t="s">
        <v>46</v>
      </c>
      <c r="M835" s="1">
        <v>1</v>
      </c>
      <c r="N835" s="1">
        <v>3</v>
      </c>
      <c r="O835" s="1">
        <v>0</v>
      </c>
      <c r="P835" s="11" t="str">
        <f t="shared" si="12"/>
        <v>胜</v>
      </c>
      <c r="Q835" s="11" t="str">
        <f t="shared" si="12"/>
        <v>负</v>
      </c>
    </row>
    <row r="836" spans="4:17" customFormat="1" hidden="1" x14ac:dyDescent="0.15">
      <c r="D836" t="s">
        <v>6</v>
      </c>
      <c r="E836" s="1">
        <v>410612</v>
      </c>
      <c r="F836" s="1">
        <v>410612</v>
      </c>
      <c r="G836" s="8">
        <v>43038.041666666664</v>
      </c>
      <c r="H836" s="1" t="s">
        <v>56</v>
      </c>
      <c r="I836" s="1">
        <v>1</v>
      </c>
      <c r="J836" s="1">
        <v>2</v>
      </c>
      <c r="K836" s="1">
        <v>0</v>
      </c>
      <c r="L836" s="1" t="s">
        <v>54</v>
      </c>
      <c r="M836" s="1">
        <v>1</v>
      </c>
      <c r="N836" s="1">
        <v>2</v>
      </c>
      <c r="O836" s="1">
        <v>0</v>
      </c>
      <c r="P836" s="11" t="str">
        <f t="shared" si="12"/>
        <v>平</v>
      </c>
      <c r="Q836" s="11" t="str">
        <f t="shared" si="12"/>
        <v>平</v>
      </c>
    </row>
    <row r="837" spans="4:17" customFormat="1" hidden="1" x14ac:dyDescent="0.15">
      <c r="D837" t="s">
        <v>6</v>
      </c>
      <c r="E837" s="1">
        <v>410613</v>
      </c>
      <c r="F837" s="1">
        <v>410613</v>
      </c>
      <c r="G837" s="8">
        <v>43038.041666666664</v>
      </c>
      <c r="H837" s="1" t="s">
        <v>37</v>
      </c>
      <c r="I837" s="1">
        <v>0</v>
      </c>
      <c r="J837" s="1">
        <v>0</v>
      </c>
      <c r="K837" s="1">
        <v>0</v>
      </c>
      <c r="L837" s="1" t="s">
        <v>42</v>
      </c>
      <c r="M837" s="1">
        <v>0</v>
      </c>
      <c r="N837" s="1">
        <v>0</v>
      </c>
      <c r="O837" s="1">
        <v>0</v>
      </c>
      <c r="P837" s="11" t="str">
        <f t="shared" si="12"/>
        <v>平</v>
      </c>
      <c r="Q837" s="11" t="str">
        <f t="shared" si="12"/>
        <v>平</v>
      </c>
    </row>
    <row r="838" spans="4:17" customFormat="1" hidden="1" x14ac:dyDescent="0.15">
      <c r="D838" t="s">
        <v>6</v>
      </c>
      <c r="E838" s="1">
        <v>410614</v>
      </c>
      <c r="F838" s="1">
        <v>410614</v>
      </c>
      <c r="G838" s="8">
        <v>43038.041666666664</v>
      </c>
      <c r="H838" s="1" t="s">
        <v>41</v>
      </c>
      <c r="I838" s="1">
        <v>3</v>
      </c>
      <c r="J838" s="1">
        <v>5</v>
      </c>
      <c r="K838" s="1">
        <v>0</v>
      </c>
      <c r="L838" s="1" t="s">
        <v>52</v>
      </c>
      <c r="M838" s="1">
        <v>0</v>
      </c>
      <c r="N838" s="1">
        <v>0</v>
      </c>
      <c r="O838" s="1">
        <v>0</v>
      </c>
      <c r="P838" s="11" t="str">
        <f t="shared" si="12"/>
        <v>胜</v>
      </c>
      <c r="Q838" s="11" t="str">
        <f t="shared" si="12"/>
        <v>胜</v>
      </c>
    </row>
    <row r="839" spans="4:17" customFormat="1" hidden="1" x14ac:dyDescent="0.15">
      <c r="D839" t="s">
        <v>6</v>
      </c>
      <c r="E839" s="1">
        <v>410615</v>
      </c>
      <c r="F839" s="1">
        <v>410615</v>
      </c>
      <c r="G839" s="8">
        <v>43038.041666666664</v>
      </c>
      <c r="H839" s="1" t="s">
        <v>40</v>
      </c>
      <c r="I839" s="1">
        <v>1</v>
      </c>
      <c r="J839" s="1">
        <v>4</v>
      </c>
      <c r="K839" s="1">
        <v>0</v>
      </c>
      <c r="L839" s="1" t="s">
        <v>35</v>
      </c>
      <c r="M839" s="1">
        <v>1</v>
      </c>
      <c r="N839" s="1">
        <v>1</v>
      </c>
      <c r="O839" s="1">
        <v>0</v>
      </c>
      <c r="P839" s="11" t="str">
        <f t="shared" si="12"/>
        <v>平</v>
      </c>
      <c r="Q839" s="11" t="str">
        <f t="shared" si="12"/>
        <v>胜</v>
      </c>
    </row>
    <row r="840" spans="4:17" customFormat="1" hidden="1" x14ac:dyDescent="0.15">
      <c r="D840" t="s">
        <v>6</v>
      </c>
      <c r="E840" s="1">
        <v>410616</v>
      </c>
      <c r="F840" s="1">
        <v>410616</v>
      </c>
      <c r="G840" s="8">
        <v>43038.042361111111</v>
      </c>
      <c r="H840" s="1" t="s">
        <v>53</v>
      </c>
      <c r="I840" s="1">
        <v>2</v>
      </c>
      <c r="J840" s="1">
        <v>3</v>
      </c>
      <c r="K840" s="1">
        <v>0</v>
      </c>
      <c r="L840" s="1" t="s">
        <v>45</v>
      </c>
      <c r="M840" s="1">
        <v>0</v>
      </c>
      <c r="N840" s="1">
        <v>0</v>
      </c>
      <c r="O840" s="1">
        <v>0</v>
      </c>
      <c r="P840" s="11" t="str">
        <f t="shared" si="12"/>
        <v>胜</v>
      </c>
      <c r="Q840" s="11" t="str">
        <f t="shared" si="12"/>
        <v>胜</v>
      </c>
    </row>
    <row r="841" spans="4:17" customFormat="1" hidden="1" x14ac:dyDescent="0.15">
      <c r="D841" t="s">
        <v>6</v>
      </c>
      <c r="E841" s="1">
        <v>410617</v>
      </c>
      <c r="F841" s="1">
        <v>410617</v>
      </c>
      <c r="G841" s="8">
        <v>43038.125</v>
      </c>
      <c r="H841" s="1" t="s">
        <v>49</v>
      </c>
      <c r="I841" s="1">
        <v>1</v>
      </c>
      <c r="J841" s="1">
        <v>1</v>
      </c>
      <c r="K841" s="1">
        <v>0</v>
      </c>
      <c r="L841" s="1" t="s">
        <v>38</v>
      </c>
      <c r="M841" s="1">
        <v>1</v>
      </c>
      <c r="N841" s="1">
        <v>2</v>
      </c>
      <c r="O841" s="1">
        <v>0</v>
      </c>
      <c r="P841" s="11" t="str">
        <f t="shared" si="12"/>
        <v>平</v>
      </c>
      <c r="Q841" s="11" t="str">
        <f t="shared" si="12"/>
        <v>负</v>
      </c>
    </row>
    <row r="842" spans="4:17" customFormat="1" hidden="1" x14ac:dyDescent="0.15">
      <c r="D842" t="s">
        <v>6</v>
      </c>
      <c r="E842" s="1">
        <v>410618</v>
      </c>
      <c r="F842" s="1">
        <v>410618</v>
      </c>
      <c r="G842" s="8">
        <v>43039.084027777775</v>
      </c>
      <c r="H842" s="1" t="s">
        <v>44</v>
      </c>
      <c r="I842" s="1">
        <v>1</v>
      </c>
      <c r="J842" s="1">
        <v>4</v>
      </c>
      <c r="K842" s="1">
        <v>0</v>
      </c>
      <c r="L842" s="1" t="s">
        <v>43</v>
      </c>
      <c r="M842" s="1">
        <v>0</v>
      </c>
      <c r="N842" s="1">
        <v>0</v>
      </c>
      <c r="O842" s="1">
        <v>0</v>
      </c>
      <c r="P842" s="11" t="str">
        <f t="shared" si="12"/>
        <v>胜</v>
      </c>
      <c r="Q842" s="11" t="str">
        <f t="shared" si="12"/>
        <v>胜</v>
      </c>
    </row>
    <row r="843" spans="4:17" customFormat="1" hidden="1" x14ac:dyDescent="0.15">
      <c r="D843" t="s">
        <v>6</v>
      </c>
      <c r="E843" s="1">
        <v>413617</v>
      </c>
      <c r="F843" s="1">
        <v>413617</v>
      </c>
      <c r="G843" s="8">
        <v>43043.083333333336</v>
      </c>
      <c r="H843" s="1" t="s">
        <v>52</v>
      </c>
      <c r="I843" s="1">
        <v>1</v>
      </c>
      <c r="J843" s="1">
        <v>2</v>
      </c>
      <c r="K843" s="1">
        <v>0</v>
      </c>
      <c r="L843" s="1" t="s">
        <v>49</v>
      </c>
      <c r="M843" s="1">
        <v>0</v>
      </c>
      <c r="N843" s="1">
        <v>0</v>
      </c>
      <c r="O843" s="1">
        <v>0</v>
      </c>
      <c r="P843" s="11" t="str">
        <f t="shared" si="12"/>
        <v>胜</v>
      </c>
      <c r="Q843" s="11" t="str">
        <f t="shared" si="12"/>
        <v>胜</v>
      </c>
    </row>
    <row r="844" spans="4:17" customFormat="1" hidden="1" x14ac:dyDescent="0.15">
      <c r="D844" t="s">
        <v>6</v>
      </c>
      <c r="E844" s="1">
        <v>413618</v>
      </c>
      <c r="F844" s="1">
        <v>413618</v>
      </c>
      <c r="G844" s="8">
        <v>43044.045138888891</v>
      </c>
      <c r="H844" s="1" t="s">
        <v>38</v>
      </c>
      <c r="I844" s="1">
        <v>0</v>
      </c>
      <c r="J844" s="1">
        <v>0</v>
      </c>
      <c r="K844" s="1">
        <v>0</v>
      </c>
      <c r="L844" s="1" t="s">
        <v>56</v>
      </c>
      <c r="M844" s="1">
        <v>0</v>
      </c>
      <c r="N844" s="1">
        <v>1</v>
      </c>
      <c r="O844" s="1">
        <v>0</v>
      </c>
      <c r="P844" s="11" t="str">
        <f t="shared" si="12"/>
        <v>平</v>
      </c>
      <c r="Q844" s="11" t="str">
        <f t="shared" si="12"/>
        <v>负</v>
      </c>
    </row>
    <row r="845" spans="4:17" customFormat="1" hidden="1" x14ac:dyDescent="0.15">
      <c r="D845" t="s">
        <v>6</v>
      </c>
      <c r="E845" s="1">
        <v>413619</v>
      </c>
      <c r="F845" s="1">
        <v>413619</v>
      </c>
      <c r="G845" s="8">
        <v>43045.040972222225</v>
      </c>
      <c r="H845" s="1" t="s">
        <v>48</v>
      </c>
      <c r="I845" s="1">
        <v>1</v>
      </c>
      <c r="J845" s="1">
        <v>1</v>
      </c>
      <c r="K845" s="1">
        <v>0</v>
      </c>
      <c r="L845" s="1" t="s">
        <v>40</v>
      </c>
      <c r="M845" s="1">
        <v>1</v>
      </c>
      <c r="N845" s="1">
        <v>3</v>
      </c>
      <c r="O845" s="1">
        <v>0</v>
      </c>
      <c r="P845" s="11" t="str">
        <f t="shared" ref="P845:Q908" si="13">IF(I845=M845,"平",IF(I845&gt;M845,"胜","负"))</f>
        <v>平</v>
      </c>
      <c r="Q845" s="11" t="str">
        <f t="shared" si="13"/>
        <v>负</v>
      </c>
    </row>
    <row r="846" spans="4:17" customFormat="1" hidden="1" x14ac:dyDescent="0.15">
      <c r="D846" t="s">
        <v>6</v>
      </c>
      <c r="E846" s="1">
        <v>413620</v>
      </c>
      <c r="F846" s="1">
        <v>413620</v>
      </c>
      <c r="G846" s="8">
        <v>43045.041666666664</v>
      </c>
      <c r="H846" s="1" t="s">
        <v>54</v>
      </c>
      <c r="I846" s="1">
        <v>0</v>
      </c>
      <c r="J846" s="1">
        <v>0</v>
      </c>
      <c r="K846" s="1">
        <v>0</v>
      </c>
      <c r="L846" s="1" t="s">
        <v>42</v>
      </c>
      <c r="M846" s="1">
        <v>4</v>
      </c>
      <c r="N846" s="1">
        <v>5</v>
      </c>
      <c r="O846" s="1">
        <v>0</v>
      </c>
      <c r="P846" s="11" t="str">
        <f t="shared" si="13"/>
        <v>负</v>
      </c>
      <c r="Q846" s="11" t="str">
        <f t="shared" si="13"/>
        <v>负</v>
      </c>
    </row>
    <row r="847" spans="4:17" customFormat="1" hidden="1" x14ac:dyDescent="0.15">
      <c r="D847" t="s">
        <v>6</v>
      </c>
      <c r="E847" s="1">
        <v>413621</v>
      </c>
      <c r="F847" s="1">
        <v>413621</v>
      </c>
      <c r="G847" s="8">
        <v>43045.043055555558</v>
      </c>
      <c r="H847" s="1" t="s">
        <v>46</v>
      </c>
      <c r="I847" s="1">
        <v>1</v>
      </c>
      <c r="J847" s="1">
        <v>2</v>
      </c>
      <c r="K847" s="1">
        <v>0</v>
      </c>
      <c r="L847" s="1" t="s">
        <v>44</v>
      </c>
      <c r="M847" s="1">
        <v>0</v>
      </c>
      <c r="N847" s="1">
        <v>0</v>
      </c>
      <c r="O847" s="1">
        <v>0</v>
      </c>
      <c r="P847" s="11" t="str">
        <f t="shared" si="13"/>
        <v>胜</v>
      </c>
      <c r="Q847" s="11" t="str">
        <f t="shared" si="13"/>
        <v>胜</v>
      </c>
    </row>
    <row r="848" spans="4:17" customFormat="1" hidden="1" x14ac:dyDescent="0.15">
      <c r="D848" t="s">
        <v>6</v>
      </c>
      <c r="E848" s="1">
        <v>413622</v>
      </c>
      <c r="F848" s="1">
        <v>413622</v>
      </c>
      <c r="G848" s="8">
        <v>43045.045138888891</v>
      </c>
      <c r="H848" s="1" t="s">
        <v>35</v>
      </c>
      <c r="I848" s="1">
        <v>0</v>
      </c>
      <c r="J848" s="1">
        <v>0</v>
      </c>
      <c r="K848" s="1">
        <v>0</v>
      </c>
      <c r="L848" s="1" t="s">
        <v>53</v>
      </c>
      <c r="M848" s="1">
        <v>1</v>
      </c>
      <c r="N848" s="1">
        <v>2</v>
      </c>
      <c r="O848" s="1">
        <v>0</v>
      </c>
      <c r="P848" s="11" t="str">
        <f t="shared" si="13"/>
        <v>负</v>
      </c>
      <c r="Q848" s="11" t="str">
        <f t="shared" si="13"/>
        <v>负</v>
      </c>
    </row>
    <row r="849" spans="4:17" customFormat="1" hidden="1" x14ac:dyDescent="0.15">
      <c r="D849" t="s">
        <v>6</v>
      </c>
      <c r="E849" s="1">
        <v>413623</v>
      </c>
      <c r="F849" s="1">
        <v>413623</v>
      </c>
      <c r="G849" s="8">
        <v>43045.045138888891</v>
      </c>
      <c r="H849" s="1" t="s">
        <v>45</v>
      </c>
      <c r="I849" s="1">
        <v>1</v>
      </c>
      <c r="J849" s="1">
        <v>2</v>
      </c>
      <c r="K849" s="1">
        <v>0</v>
      </c>
      <c r="L849" s="1" t="s">
        <v>41</v>
      </c>
      <c r="M849" s="1">
        <v>1</v>
      </c>
      <c r="N849" s="1">
        <v>1</v>
      </c>
      <c r="O849" s="1">
        <v>0</v>
      </c>
      <c r="P849" s="11" t="str">
        <f t="shared" si="13"/>
        <v>平</v>
      </c>
      <c r="Q849" s="11" t="str">
        <f t="shared" si="13"/>
        <v>胜</v>
      </c>
    </row>
    <row r="850" spans="4:17" customFormat="1" hidden="1" x14ac:dyDescent="0.15">
      <c r="D850" t="s">
        <v>6</v>
      </c>
      <c r="E850" s="1">
        <v>413624</v>
      </c>
      <c r="F850" s="1">
        <v>413624</v>
      </c>
      <c r="G850" s="8">
        <v>43045.125</v>
      </c>
      <c r="H850" s="1" t="s">
        <v>43</v>
      </c>
      <c r="I850" s="1">
        <v>0</v>
      </c>
      <c r="J850" s="1">
        <v>2</v>
      </c>
      <c r="K850" s="1">
        <v>0</v>
      </c>
      <c r="L850" s="1" t="s">
        <v>37</v>
      </c>
      <c r="M850" s="1">
        <v>0</v>
      </c>
      <c r="N850" s="1">
        <v>1</v>
      </c>
      <c r="O850" s="1">
        <v>0</v>
      </c>
      <c r="P850" s="11" t="str">
        <f t="shared" si="13"/>
        <v>平</v>
      </c>
      <c r="Q850" s="11" t="str">
        <f t="shared" si="13"/>
        <v>胜</v>
      </c>
    </row>
    <row r="851" spans="4:17" customFormat="1" hidden="1" x14ac:dyDescent="0.15">
      <c r="D851" t="s">
        <v>6</v>
      </c>
      <c r="E851" s="1">
        <v>417071</v>
      </c>
      <c r="F851" s="1">
        <v>417071</v>
      </c>
      <c r="G851" s="8">
        <v>43059.041666666664</v>
      </c>
      <c r="H851" s="1" t="s">
        <v>56</v>
      </c>
      <c r="I851" s="1">
        <v>2</v>
      </c>
      <c r="J851" s="1">
        <v>3</v>
      </c>
      <c r="K851" s="1">
        <v>0</v>
      </c>
      <c r="L851" s="1" t="s">
        <v>52</v>
      </c>
      <c r="M851" s="1">
        <v>1</v>
      </c>
      <c r="N851" s="1">
        <v>2</v>
      </c>
      <c r="O851" s="1">
        <v>0</v>
      </c>
      <c r="P851" s="11" t="str">
        <f t="shared" si="13"/>
        <v>胜</v>
      </c>
      <c r="Q851" s="11" t="str">
        <f t="shared" si="13"/>
        <v>胜</v>
      </c>
    </row>
    <row r="852" spans="4:17" customFormat="1" hidden="1" x14ac:dyDescent="0.15">
      <c r="D852" t="s">
        <v>6</v>
      </c>
      <c r="E852" s="1">
        <v>417072</v>
      </c>
      <c r="F852" s="1">
        <v>417072</v>
      </c>
      <c r="G852" s="8">
        <v>43059.043055555558</v>
      </c>
      <c r="H852" s="1" t="s">
        <v>44</v>
      </c>
      <c r="I852" s="1">
        <v>0</v>
      </c>
      <c r="J852" s="1">
        <v>0</v>
      </c>
      <c r="K852" s="1">
        <v>0</v>
      </c>
      <c r="L852" s="1" t="s">
        <v>38</v>
      </c>
      <c r="M852" s="1">
        <v>1</v>
      </c>
      <c r="N852" s="1">
        <v>1</v>
      </c>
      <c r="O852" s="1">
        <v>0</v>
      </c>
      <c r="P852" s="11" t="str">
        <f t="shared" si="13"/>
        <v>负</v>
      </c>
      <c r="Q852" s="11" t="str">
        <f t="shared" si="13"/>
        <v>负</v>
      </c>
    </row>
    <row r="853" spans="4:17" customFormat="1" hidden="1" x14ac:dyDescent="0.15">
      <c r="D853" t="s">
        <v>6</v>
      </c>
      <c r="E853" s="1">
        <v>417073</v>
      </c>
      <c r="F853" s="1">
        <v>417073</v>
      </c>
      <c r="G853" s="8">
        <v>43059.041666666664</v>
      </c>
      <c r="H853" s="1" t="s">
        <v>40</v>
      </c>
      <c r="I853" s="1">
        <v>1</v>
      </c>
      <c r="J853" s="1">
        <v>2</v>
      </c>
      <c r="K853" s="1">
        <v>0</v>
      </c>
      <c r="L853" s="1" t="s">
        <v>46</v>
      </c>
      <c r="M853" s="1">
        <v>0</v>
      </c>
      <c r="N853" s="1">
        <v>1</v>
      </c>
      <c r="O853" s="1">
        <v>0</v>
      </c>
      <c r="P853" s="11" t="str">
        <f t="shared" si="13"/>
        <v>胜</v>
      </c>
      <c r="Q853" s="11" t="str">
        <f t="shared" si="13"/>
        <v>胜</v>
      </c>
    </row>
    <row r="854" spans="4:17" customFormat="1" hidden="1" x14ac:dyDescent="0.15">
      <c r="D854" t="s">
        <v>6</v>
      </c>
      <c r="E854" s="1">
        <v>417074</v>
      </c>
      <c r="F854" s="1">
        <v>417074</v>
      </c>
      <c r="G854" s="8">
        <v>43059.041666666664</v>
      </c>
      <c r="H854" s="1" t="s">
        <v>42</v>
      </c>
      <c r="I854" s="1">
        <v>1</v>
      </c>
      <c r="J854" s="1">
        <v>1</v>
      </c>
      <c r="K854" s="1">
        <v>0</v>
      </c>
      <c r="L854" s="1" t="s">
        <v>35</v>
      </c>
      <c r="M854" s="1">
        <v>0</v>
      </c>
      <c r="N854" s="1">
        <v>1</v>
      </c>
      <c r="O854" s="1">
        <v>0</v>
      </c>
      <c r="P854" s="11" t="str">
        <f t="shared" si="13"/>
        <v>胜</v>
      </c>
      <c r="Q854" s="11" t="str">
        <f t="shared" si="13"/>
        <v>平</v>
      </c>
    </row>
    <row r="855" spans="4:17" customFormat="1" hidden="1" x14ac:dyDescent="0.15">
      <c r="D855" t="s">
        <v>6</v>
      </c>
      <c r="E855" s="1">
        <v>417075</v>
      </c>
      <c r="F855" s="1">
        <v>417075</v>
      </c>
      <c r="G855" s="8">
        <v>43059.041666666664</v>
      </c>
      <c r="H855" s="1" t="s">
        <v>53</v>
      </c>
      <c r="I855" s="1">
        <v>1</v>
      </c>
      <c r="J855" s="1">
        <v>2</v>
      </c>
      <c r="K855" s="1">
        <v>0</v>
      </c>
      <c r="L855" s="1" t="s">
        <v>48</v>
      </c>
      <c r="M855" s="1">
        <v>0</v>
      </c>
      <c r="N855" s="1">
        <v>0</v>
      </c>
      <c r="O855" s="1">
        <v>0</v>
      </c>
      <c r="P855" s="11" t="str">
        <f t="shared" si="13"/>
        <v>胜</v>
      </c>
      <c r="Q855" s="11" t="str">
        <f t="shared" si="13"/>
        <v>胜</v>
      </c>
    </row>
    <row r="856" spans="4:17" customFormat="1" hidden="1" x14ac:dyDescent="0.15">
      <c r="D856" t="s">
        <v>6</v>
      </c>
      <c r="E856" s="1">
        <v>417076</v>
      </c>
      <c r="F856" s="1">
        <v>417076</v>
      </c>
      <c r="G856" s="8">
        <v>43059.041666666664</v>
      </c>
      <c r="H856" s="1" t="s">
        <v>49</v>
      </c>
      <c r="I856" s="1">
        <v>1</v>
      </c>
      <c r="J856" s="1">
        <v>2</v>
      </c>
      <c r="K856" s="1">
        <v>0</v>
      </c>
      <c r="L856" s="1" t="s">
        <v>54</v>
      </c>
      <c r="M856" s="1">
        <v>0</v>
      </c>
      <c r="N856" s="1">
        <v>0</v>
      </c>
      <c r="O856" s="1">
        <v>0</v>
      </c>
      <c r="P856" s="11" t="str">
        <f t="shared" si="13"/>
        <v>胜</v>
      </c>
      <c r="Q856" s="11" t="str">
        <f t="shared" si="13"/>
        <v>胜</v>
      </c>
    </row>
    <row r="857" spans="4:17" customFormat="1" hidden="1" x14ac:dyDescent="0.15">
      <c r="D857" t="s">
        <v>6</v>
      </c>
      <c r="E857" s="1">
        <v>417077</v>
      </c>
      <c r="F857" s="1">
        <v>417077</v>
      </c>
      <c r="G857" s="8">
        <v>43059.041666666664</v>
      </c>
      <c r="H857" s="1" t="s">
        <v>37</v>
      </c>
      <c r="I857" s="1">
        <v>2</v>
      </c>
      <c r="J857" s="1">
        <v>2</v>
      </c>
      <c r="K857" s="1">
        <v>0</v>
      </c>
      <c r="L857" s="1" t="s">
        <v>45</v>
      </c>
      <c r="M857" s="1">
        <v>0</v>
      </c>
      <c r="N857" s="1">
        <v>0</v>
      </c>
      <c r="O857" s="1">
        <v>0</v>
      </c>
      <c r="P857" s="11" t="str">
        <f t="shared" si="13"/>
        <v>胜</v>
      </c>
      <c r="Q857" s="11" t="str">
        <f t="shared" si="13"/>
        <v>胜</v>
      </c>
    </row>
    <row r="858" spans="4:17" customFormat="1" hidden="1" x14ac:dyDescent="0.15">
      <c r="D858" t="s">
        <v>6</v>
      </c>
      <c r="E858" s="1">
        <v>417078</v>
      </c>
      <c r="F858" s="1">
        <v>417078</v>
      </c>
      <c r="G858" s="8">
        <v>43059.040972222225</v>
      </c>
      <c r="H858" s="1" t="s">
        <v>41</v>
      </c>
      <c r="I858" s="1">
        <v>0</v>
      </c>
      <c r="J858" s="1">
        <v>1</v>
      </c>
      <c r="K858" s="1">
        <v>0</v>
      </c>
      <c r="L858" s="1" t="s">
        <v>43</v>
      </c>
      <c r="M858" s="1">
        <v>0</v>
      </c>
      <c r="N858" s="1">
        <v>0</v>
      </c>
      <c r="O858" s="1">
        <v>0</v>
      </c>
      <c r="P858" s="11" t="str">
        <f t="shared" si="13"/>
        <v>平</v>
      </c>
      <c r="Q858" s="11" t="str">
        <f t="shared" si="13"/>
        <v>胜</v>
      </c>
    </row>
    <row r="859" spans="4:17" customFormat="1" hidden="1" x14ac:dyDescent="0.15">
      <c r="D859" t="s">
        <v>6</v>
      </c>
      <c r="E859" s="1">
        <v>420603</v>
      </c>
      <c r="F859" s="1">
        <v>420603</v>
      </c>
      <c r="G859" s="8">
        <v>43066.041666666664</v>
      </c>
      <c r="H859" s="1" t="s">
        <v>43</v>
      </c>
      <c r="I859" s="1">
        <v>1</v>
      </c>
      <c r="J859" s="1">
        <v>4</v>
      </c>
      <c r="K859" s="1">
        <v>0</v>
      </c>
      <c r="L859" s="1" t="s">
        <v>40</v>
      </c>
      <c r="M859" s="1">
        <v>1</v>
      </c>
      <c r="N859" s="1">
        <v>3</v>
      </c>
      <c r="O859" s="1">
        <v>0</v>
      </c>
      <c r="P859" s="11" t="str">
        <f t="shared" si="13"/>
        <v>平</v>
      </c>
      <c r="Q859" s="11" t="str">
        <f t="shared" si="13"/>
        <v>胜</v>
      </c>
    </row>
    <row r="860" spans="4:17" customFormat="1" hidden="1" x14ac:dyDescent="0.15">
      <c r="D860" t="s">
        <v>6</v>
      </c>
      <c r="E860" s="1">
        <v>420604</v>
      </c>
      <c r="F860" s="1">
        <v>420604</v>
      </c>
      <c r="G860" s="8">
        <v>43066.041666666664</v>
      </c>
      <c r="H860" s="1" t="s">
        <v>48</v>
      </c>
      <c r="I860" s="1">
        <v>2</v>
      </c>
      <c r="J860" s="1">
        <v>2</v>
      </c>
      <c r="K860" s="1">
        <v>0</v>
      </c>
      <c r="L860" s="1" t="s">
        <v>56</v>
      </c>
      <c r="M860" s="1">
        <v>1</v>
      </c>
      <c r="N860" s="1">
        <v>3</v>
      </c>
      <c r="O860" s="1">
        <v>0</v>
      </c>
      <c r="P860" s="11" t="str">
        <f t="shared" si="13"/>
        <v>胜</v>
      </c>
      <c r="Q860" s="11" t="str">
        <f t="shared" si="13"/>
        <v>负</v>
      </c>
    </row>
    <row r="861" spans="4:17" customFormat="1" hidden="1" x14ac:dyDescent="0.15">
      <c r="D861" t="s">
        <v>6</v>
      </c>
      <c r="E861" s="1">
        <v>420605</v>
      </c>
      <c r="F861" s="1">
        <v>420605</v>
      </c>
      <c r="G861" s="8">
        <v>43066.041666666664</v>
      </c>
      <c r="H861" s="1" t="s">
        <v>38</v>
      </c>
      <c r="I861" s="1">
        <v>0</v>
      </c>
      <c r="J861" s="1">
        <v>2</v>
      </c>
      <c r="K861" s="1">
        <v>0</v>
      </c>
      <c r="L861" s="1" t="s">
        <v>41</v>
      </c>
      <c r="M861" s="1">
        <v>0</v>
      </c>
      <c r="N861" s="1">
        <v>2</v>
      </c>
      <c r="O861" s="1">
        <v>0</v>
      </c>
      <c r="P861" s="11" t="str">
        <f t="shared" si="13"/>
        <v>平</v>
      </c>
      <c r="Q861" s="11" t="str">
        <f t="shared" si="13"/>
        <v>平</v>
      </c>
    </row>
    <row r="862" spans="4:17" customFormat="1" hidden="1" x14ac:dyDescent="0.15">
      <c r="D862" t="s">
        <v>6</v>
      </c>
      <c r="E862" s="1">
        <v>420606</v>
      </c>
      <c r="F862" s="1">
        <v>420606</v>
      </c>
      <c r="G862" s="8">
        <v>43066.042361111111</v>
      </c>
      <c r="H862" s="1" t="s">
        <v>54</v>
      </c>
      <c r="I862" s="1">
        <v>0</v>
      </c>
      <c r="J862" s="1">
        <v>1</v>
      </c>
      <c r="K862" s="1">
        <v>0</v>
      </c>
      <c r="L862" s="1" t="s">
        <v>37</v>
      </c>
      <c r="M862" s="1">
        <v>0</v>
      </c>
      <c r="N862" s="1">
        <v>0</v>
      </c>
      <c r="O862" s="1">
        <v>0</v>
      </c>
      <c r="P862" s="11" t="str">
        <f t="shared" si="13"/>
        <v>平</v>
      </c>
      <c r="Q862" s="11" t="str">
        <f t="shared" si="13"/>
        <v>胜</v>
      </c>
    </row>
    <row r="863" spans="4:17" customFormat="1" hidden="1" x14ac:dyDescent="0.15">
      <c r="D863" t="s">
        <v>6</v>
      </c>
      <c r="E863" s="1">
        <v>420607</v>
      </c>
      <c r="F863" s="1">
        <v>420607</v>
      </c>
      <c r="G863" s="8">
        <v>43066.041666666664</v>
      </c>
      <c r="H863" s="1" t="s">
        <v>52</v>
      </c>
      <c r="I863" s="1">
        <v>1</v>
      </c>
      <c r="J863" s="1">
        <v>1</v>
      </c>
      <c r="K863" s="1">
        <v>0</v>
      </c>
      <c r="L863" s="1" t="s">
        <v>44</v>
      </c>
      <c r="M863" s="1">
        <v>2</v>
      </c>
      <c r="N863" s="1">
        <v>3</v>
      </c>
      <c r="O863" s="1">
        <v>0</v>
      </c>
      <c r="P863" s="11" t="str">
        <f t="shared" si="13"/>
        <v>负</v>
      </c>
      <c r="Q863" s="11" t="str">
        <f t="shared" si="13"/>
        <v>负</v>
      </c>
    </row>
    <row r="864" spans="4:17" customFormat="1" hidden="1" x14ac:dyDescent="0.15">
      <c r="D864" t="s">
        <v>6</v>
      </c>
      <c r="E864" s="1">
        <v>420608</v>
      </c>
      <c r="F864" s="1">
        <v>420608</v>
      </c>
      <c r="G864" s="8">
        <v>43066.042361111111</v>
      </c>
      <c r="H864" s="1" t="s">
        <v>46</v>
      </c>
      <c r="I864" s="1">
        <v>1</v>
      </c>
      <c r="J864" s="1">
        <v>2</v>
      </c>
      <c r="K864" s="1">
        <v>0</v>
      </c>
      <c r="L864" s="1" t="s">
        <v>53</v>
      </c>
      <c r="M864" s="1">
        <v>1</v>
      </c>
      <c r="N864" s="1">
        <v>2</v>
      </c>
      <c r="O864" s="1">
        <v>0</v>
      </c>
      <c r="P864" s="11" t="str">
        <f t="shared" si="13"/>
        <v>平</v>
      </c>
      <c r="Q864" s="11" t="str">
        <f t="shared" si="13"/>
        <v>平</v>
      </c>
    </row>
    <row r="865" spans="4:17" customFormat="1" hidden="1" x14ac:dyDescent="0.15">
      <c r="D865" t="s">
        <v>6</v>
      </c>
      <c r="E865" s="1">
        <v>420609</v>
      </c>
      <c r="F865" s="1">
        <v>420609</v>
      </c>
      <c r="G865" s="8">
        <v>43066.041666666664</v>
      </c>
      <c r="H865" s="1" t="s">
        <v>35</v>
      </c>
      <c r="I865" s="1">
        <v>2</v>
      </c>
      <c r="J865" s="1">
        <v>5</v>
      </c>
      <c r="K865" s="1">
        <v>0</v>
      </c>
      <c r="L865" s="1" t="s">
        <v>49</v>
      </c>
      <c r="M865" s="1">
        <v>1</v>
      </c>
      <c r="N865" s="1">
        <v>2</v>
      </c>
      <c r="O865" s="1">
        <v>0</v>
      </c>
      <c r="P865" s="11" t="str">
        <f t="shared" si="13"/>
        <v>胜</v>
      </c>
      <c r="Q865" s="11" t="str">
        <f t="shared" si="13"/>
        <v>胜</v>
      </c>
    </row>
    <row r="866" spans="4:17" customFormat="1" hidden="1" x14ac:dyDescent="0.15">
      <c r="D866" t="s">
        <v>6</v>
      </c>
      <c r="E866" s="1">
        <v>420610</v>
      </c>
      <c r="F866" s="1">
        <v>420610</v>
      </c>
      <c r="G866" s="8">
        <v>43066.041666666664</v>
      </c>
      <c r="H866" s="1" t="s">
        <v>45</v>
      </c>
      <c r="I866" s="1">
        <v>1</v>
      </c>
      <c r="J866" s="1">
        <v>2</v>
      </c>
      <c r="K866" s="1">
        <v>0</v>
      </c>
      <c r="L866" s="1" t="s">
        <v>42</v>
      </c>
      <c r="M866" s="1">
        <v>0</v>
      </c>
      <c r="N866" s="1">
        <v>0</v>
      </c>
      <c r="O866" s="1">
        <v>0</v>
      </c>
      <c r="P866" s="11" t="str">
        <f t="shared" si="13"/>
        <v>胜</v>
      </c>
      <c r="Q866" s="11" t="str">
        <f t="shared" si="13"/>
        <v>胜</v>
      </c>
    </row>
    <row r="867" spans="4:17" hidden="1" x14ac:dyDescent="0.15">
      <c r="D867" s="2" t="s">
        <v>6</v>
      </c>
      <c r="E867" s="6">
        <v>449074</v>
      </c>
      <c r="F867" s="6">
        <v>449074</v>
      </c>
      <c r="G867" s="24">
        <v>43171.068055555559</v>
      </c>
      <c r="H867" s="6" t="s">
        <v>32</v>
      </c>
      <c r="I867" s="6">
        <v>1</v>
      </c>
      <c r="J867" s="6">
        <v>3</v>
      </c>
      <c r="K867" s="6">
        <v>0</v>
      </c>
      <c r="L867" s="6" t="s">
        <v>44</v>
      </c>
      <c r="M867" s="6">
        <v>0</v>
      </c>
      <c r="N867" s="6">
        <v>1</v>
      </c>
      <c r="O867" s="6">
        <v>0</v>
      </c>
      <c r="P867" s="11" t="str">
        <f t="shared" si="13"/>
        <v>胜</v>
      </c>
      <c r="Q867" s="11" t="str">
        <f t="shared" si="13"/>
        <v>胜</v>
      </c>
    </row>
    <row r="868" spans="4:17" customFormat="1" x14ac:dyDescent="0.15">
      <c r="D868" t="s">
        <v>6</v>
      </c>
      <c r="E868" s="1">
        <v>449075</v>
      </c>
      <c r="F868" s="1">
        <v>449075</v>
      </c>
      <c r="G868" s="8">
        <v>43171.041666666664</v>
      </c>
      <c r="H868" s="1" t="s">
        <v>36</v>
      </c>
      <c r="I868" s="1">
        <v>2</v>
      </c>
      <c r="J868" s="1">
        <v>4</v>
      </c>
      <c r="K868" s="1">
        <v>0</v>
      </c>
      <c r="L868" s="1" t="s">
        <v>53</v>
      </c>
      <c r="M868" s="1">
        <v>0</v>
      </c>
      <c r="N868" s="1">
        <v>1</v>
      </c>
      <c r="O868" s="1">
        <v>0</v>
      </c>
      <c r="P868" s="11" t="str">
        <f t="shared" si="13"/>
        <v>胜</v>
      </c>
      <c r="Q868" s="11" t="str">
        <f t="shared" si="13"/>
        <v>胜</v>
      </c>
    </row>
    <row r="869" spans="4:17" customFormat="1" hidden="1" x14ac:dyDescent="0.15">
      <c r="D869" t="s">
        <v>6</v>
      </c>
      <c r="E869" s="1">
        <v>449076</v>
      </c>
      <c r="F869" s="1">
        <v>449076</v>
      </c>
      <c r="G869" s="8">
        <v>43171.041666666664</v>
      </c>
      <c r="H869" s="1" t="s">
        <v>38</v>
      </c>
      <c r="I869" s="1">
        <v>2</v>
      </c>
      <c r="J869" s="1">
        <v>5</v>
      </c>
      <c r="K869" s="1">
        <v>0</v>
      </c>
      <c r="L869" s="1" t="s">
        <v>52</v>
      </c>
      <c r="M869" s="1">
        <v>0</v>
      </c>
      <c r="N869" s="1">
        <v>0</v>
      </c>
      <c r="O869" s="1">
        <v>0</v>
      </c>
      <c r="P869" s="11" t="str">
        <f t="shared" si="13"/>
        <v>胜</v>
      </c>
      <c r="Q869" s="11" t="str">
        <f t="shared" si="13"/>
        <v>胜</v>
      </c>
    </row>
    <row r="870" spans="4:17" customFormat="1" hidden="1" x14ac:dyDescent="0.15">
      <c r="D870" t="s">
        <v>6</v>
      </c>
      <c r="E870" s="1">
        <v>449077</v>
      </c>
      <c r="F870" s="1">
        <v>449077</v>
      </c>
      <c r="G870" s="8">
        <v>43171.040972222225</v>
      </c>
      <c r="H870" s="1" t="s">
        <v>54</v>
      </c>
      <c r="I870" s="1">
        <v>0</v>
      </c>
      <c r="J870" s="1">
        <v>1</v>
      </c>
      <c r="K870" s="1">
        <v>0</v>
      </c>
      <c r="L870" s="1" t="s">
        <v>48</v>
      </c>
      <c r="M870" s="1">
        <v>0</v>
      </c>
      <c r="N870" s="1">
        <v>2</v>
      </c>
      <c r="O870" s="1">
        <v>0</v>
      </c>
      <c r="P870" s="11" t="str">
        <f t="shared" si="13"/>
        <v>平</v>
      </c>
      <c r="Q870" s="11" t="str">
        <f t="shared" si="13"/>
        <v>负</v>
      </c>
    </row>
    <row r="871" spans="4:17" customFormat="1" hidden="1" x14ac:dyDescent="0.15">
      <c r="D871" t="s">
        <v>6</v>
      </c>
      <c r="E871" s="1">
        <v>449078</v>
      </c>
      <c r="F871" s="1">
        <v>449078</v>
      </c>
      <c r="G871" s="8">
        <v>43171.041666666664</v>
      </c>
      <c r="H871" s="1" t="s">
        <v>40</v>
      </c>
      <c r="I871" s="1">
        <v>1</v>
      </c>
      <c r="J871" s="1">
        <v>2</v>
      </c>
      <c r="K871" s="1">
        <v>0</v>
      </c>
      <c r="L871" s="1" t="s">
        <v>42</v>
      </c>
      <c r="M871" s="1">
        <v>2</v>
      </c>
      <c r="N871" s="1">
        <v>2</v>
      </c>
      <c r="O871" s="1">
        <v>0</v>
      </c>
      <c r="P871" s="11" t="str">
        <f t="shared" si="13"/>
        <v>负</v>
      </c>
      <c r="Q871" s="11" t="str">
        <f t="shared" si="13"/>
        <v>平</v>
      </c>
    </row>
    <row r="872" spans="4:17" customFormat="1" hidden="1" x14ac:dyDescent="0.15">
      <c r="D872" t="s">
        <v>6</v>
      </c>
      <c r="E872" s="1">
        <v>449122</v>
      </c>
      <c r="F872" s="1">
        <v>449122</v>
      </c>
      <c r="G872" s="8">
        <v>43171.128472222219</v>
      </c>
      <c r="H872" s="1" t="s">
        <v>41</v>
      </c>
      <c r="I872" s="1">
        <v>0</v>
      </c>
      <c r="J872" s="1">
        <v>1</v>
      </c>
      <c r="K872" s="1">
        <v>0</v>
      </c>
      <c r="L872" s="1" t="s">
        <v>37</v>
      </c>
      <c r="M872" s="1">
        <v>0</v>
      </c>
      <c r="N872" s="1">
        <v>0</v>
      </c>
      <c r="O872" s="1">
        <v>0</v>
      </c>
      <c r="P872" s="11" t="str">
        <f t="shared" si="13"/>
        <v>平</v>
      </c>
      <c r="Q872" s="11" t="str">
        <f t="shared" si="13"/>
        <v>胜</v>
      </c>
    </row>
    <row r="873" spans="4:17" customFormat="1" hidden="1" x14ac:dyDescent="0.15">
      <c r="D873" t="s">
        <v>6</v>
      </c>
      <c r="E873" s="1">
        <v>449123</v>
      </c>
      <c r="F873" s="1">
        <v>449123</v>
      </c>
      <c r="G873" s="8">
        <v>43172.084027777775</v>
      </c>
      <c r="H873" s="1" t="s">
        <v>56</v>
      </c>
      <c r="I873" s="1">
        <v>0</v>
      </c>
      <c r="J873" s="1">
        <v>0</v>
      </c>
      <c r="K873" s="1">
        <v>0</v>
      </c>
      <c r="L873" s="1" t="s">
        <v>49</v>
      </c>
      <c r="M873" s="1">
        <v>0</v>
      </c>
      <c r="N873" s="1">
        <v>1</v>
      </c>
      <c r="O873" s="1">
        <v>0</v>
      </c>
      <c r="P873" s="11" t="str">
        <f t="shared" si="13"/>
        <v>平</v>
      </c>
      <c r="Q873" s="11" t="str">
        <f t="shared" si="13"/>
        <v>负</v>
      </c>
    </row>
    <row r="874" spans="4:17" customFormat="1" hidden="1" x14ac:dyDescent="0.15">
      <c r="D874" t="s">
        <v>6</v>
      </c>
      <c r="E874" s="1">
        <v>452895</v>
      </c>
      <c r="F874" s="1">
        <v>452895</v>
      </c>
      <c r="G874" s="8">
        <v>43176.940972222219</v>
      </c>
      <c r="H874" s="1" t="s">
        <v>44</v>
      </c>
      <c r="I874" s="1">
        <v>1</v>
      </c>
      <c r="J874" s="1">
        <v>2</v>
      </c>
      <c r="K874" s="1">
        <v>0</v>
      </c>
      <c r="L874" s="1" t="s">
        <v>41</v>
      </c>
      <c r="M874" s="1">
        <v>1</v>
      </c>
      <c r="N874" s="1">
        <v>2</v>
      </c>
      <c r="O874" s="1">
        <v>0</v>
      </c>
      <c r="P874" s="11" t="str">
        <f t="shared" si="13"/>
        <v>平</v>
      </c>
      <c r="Q874" s="11" t="str">
        <f t="shared" si="13"/>
        <v>平</v>
      </c>
    </row>
    <row r="875" spans="4:17" customFormat="1" hidden="1" x14ac:dyDescent="0.15">
      <c r="D875" t="s">
        <v>6</v>
      </c>
      <c r="E875" s="1">
        <v>453526</v>
      </c>
      <c r="F875" s="1">
        <v>453526</v>
      </c>
      <c r="G875" s="8">
        <v>43177.041666666664</v>
      </c>
      <c r="H875" s="1" t="s">
        <v>37</v>
      </c>
      <c r="I875" s="1">
        <v>0</v>
      </c>
      <c r="J875" s="1">
        <v>2</v>
      </c>
      <c r="K875" s="1">
        <v>0</v>
      </c>
      <c r="L875" s="1" t="s">
        <v>56</v>
      </c>
      <c r="M875" s="1">
        <v>1</v>
      </c>
      <c r="N875" s="1">
        <v>2</v>
      </c>
      <c r="O875" s="1">
        <v>0</v>
      </c>
      <c r="P875" s="11" t="str">
        <f t="shared" si="13"/>
        <v>负</v>
      </c>
      <c r="Q875" s="11" t="str">
        <f t="shared" si="13"/>
        <v>平</v>
      </c>
    </row>
    <row r="876" spans="4:17" customFormat="1" hidden="1" x14ac:dyDescent="0.15">
      <c r="D876" t="s">
        <v>6</v>
      </c>
      <c r="E876" s="1">
        <v>453801</v>
      </c>
      <c r="F876" s="1">
        <v>453801</v>
      </c>
      <c r="G876" s="8">
        <v>43178.041666666664</v>
      </c>
      <c r="H876" s="1" t="s">
        <v>48</v>
      </c>
      <c r="I876" s="1">
        <v>0</v>
      </c>
      <c r="J876" s="1">
        <v>0</v>
      </c>
      <c r="K876" s="1">
        <v>0</v>
      </c>
      <c r="L876" s="1" t="s">
        <v>38</v>
      </c>
      <c r="M876" s="1">
        <v>1</v>
      </c>
      <c r="N876" s="1">
        <v>1</v>
      </c>
      <c r="O876" s="1">
        <v>0</v>
      </c>
      <c r="P876" s="11" t="str">
        <f t="shared" si="13"/>
        <v>负</v>
      </c>
      <c r="Q876" s="11" t="str">
        <f t="shared" si="13"/>
        <v>负</v>
      </c>
    </row>
    <row r="877" spans="4:17" customFormat="1" hidden="1" x14ac:dyDescent="0.15">
      <c r="D877" t="s">
        <v>6</v>
      </c>
      <c r="E877" s="1">
        <v>453802</v>
      </c>
      <c r="F877" s="1">
        <v>453802</v>
      </c>
      <c r="G877" s="8">
        <v>43178.042361111111</v>
      </c>
      <c r="H877" s="1" t="s">
        <v>46</v>
      </c>
      <c r="I877" s="1">
        <v>2</v>
      </c>
      <c r="J877" s="1">
        <v>2</v>
      </c>
      <c r="K877" s="1">
        <v>0</v>
      </c>
      <c r="L877" s="1" t="s">
        <v>32</v>
      </c>
      <c r="M877" s="1">
        <v>0</v>
      </c>
      <c r="N877" s="1">
        <v>0</v>
      </c>
      <c r="O877" s="1">
        <v>0</v>
      </c>
      <c r="P877" s="11" t="str">
        <f t="shared" si="13"/>
        <v>胜</v>
      </c>
      <c r="Q877" s="11" t="str">
        <f t="shared" si="13"/>
        <v>胜</v>
      </c>
    </row>
    <row r="878" spans="4:17" customFormat="1" hidden="1" x14ac:dyDescent="0.15">
      <c r="D878" t="s">
        <v>6</v>
      </c>
      <c r="E878" s="1">
        <v>453806</v>
      </c>
      <c r="F878" s="1">
        <v>453806</v>
      </c>
      <c r="G878" s="8">
        <v>43178.125</v>
      </c>
      <c r="H878" s="1" t="s">
        <v>49</v>
      </c>
      <c r="I878" s="1">
        <v>0</v>
      </c>
      <c r="J878" s="1">
        <v>2</v>
      </c>
      <c r="K878" s="1">
        <v>0</v>
      </c>
      <c r="L878" s="1" t="s">
        <v>54</v>
      </c>
      <c r="M878" s="1">
        <v>0</v>
      </c>
      <c r="N878" s="1">
        <v>1</v>
      </c>
      <c r="O878" s="1">
        <v>0</v>
      </c>
      <c r="P878" s="11" t="str">
        <f t="shared" si="13"/>
        <v>平</v>
      </c>
      <c r="Q878" s="11" t="str">
        <f t="shared" si="13"/>
        <v>胜</v>
      </c>
    </row>
    <row r="879" spans="4:17" hidden="1" x14ac:dyDescent="0.15">
      <c r="D879" s="2" t="s">
        <v>6</v>
      </c>
      <c r="E879" s="6">
        <v>456825</v>
      </c>
      <c r="F879" s="6">
        <v>456825</v>
      </c>
      <c r="G879" s="24">
        <v>43193</v>
      </c>
      <c r="H879" s="6" t="s">
        <v>32</v>
      </c>
      <c r="I879" s="6">
        <v>0</v>
      </c>
      <c r="J879" s="6">
        <v>0</v>
      </c>
      <c r="K879" s="6">
        <v>0</v>
      </c>
      <c r="L879" s="6" t="s">
        <v>48</v>
      </c>
      <c r="M879" s="6">
        <v>2</v>
      </c>
      <c r="N879" s="6">
        <v>3</v>
      </c>
      <c r="O879" s="6">
        <v>0</v>
      </c>
      <c r="P879" s="11" t="str">
        <f t="shared" si="13"/>
        <v>负</v>
      </c>
      <c r="Q879" s="11" t="str">
        <f t="shared" si="13"/>
        <v>负</v>
      </c>
    </row>
    <row r="880" spans="4:17" customFormat="1" x14ac:dyDescent="0.15">
      <c r="D880" t="s">
        <v>6</v>
      </c>
      <c r="E880" s="1">
        <v>456826</v>
      </c>
      <c r="F880" s="1">
        <v>456826</v>
      </c>
      <c r="G880" s="8">
        <v>43192.999305555553</v>
      </c>
      <c r="H880" s="1" t="s">
        <v>36</v>
      </c>
      <c r="I880" s="1">
        <v>1</v>
      </c>
      <c r="J880" s="1">
        <v>1</v>
      </c>
      <c r="K880" s="1">
        <v>0</v>
      </c>
      <c r="L880" s="1" t="s">
        <v>52</v>
      </c>
      <c r="M880" s="1">
        <v>1</v>
      </c>
      <c r="N880" s="1">
        <v>4</v>
      </c>
      <c r="O880" s="1">
        <v>0</v>
      </c>
      <c r="P880" s="11" t="str">
        <f t="shared" si="13"/>
        <v>平</v>
      </c>
      <c r="Q880" s="11" t="str">
        <f t="shared" si="13"/>
        <v>负</v>
      </c>
    </row>
    <row r="881" spans="4:17" customFormat="1" hidden="1" x14ac:dyDescent="0.15">
      <c r="D881" t="s">
        <v>6</v>
      </c>
      <c r="E881" s="1">
        <v>456827</v>
      </c>
      <c r="F881" s="1">
        <v>456827</v>
      </c>
      <c r="G881" s="8">
        <v>43193.000694444447</v>
      </c>
      <c r="H881" s="1" t="s">
        <v>56</v>
      </c>
      <c r="I881" s="1">
        <v>0</v>
      </c>
      <c r="J881" s="1">
        <v>2</v>
      </c>
      <c r="K881" s="1">
        <v>0</v>
      </c>
      <c r="L881" s="1" t="s">
        <v>44</v>
      </c>
      <c r="M881" s="1">
        <v>1</v>
      </c>
      <c r="N881" s="1">
        <v>1</v>
      </c>
      <c r="O881" s="1">
        <v>0</v>
      </c>
      <c r="P881" s="11" t="str">
        <f t="shared" si="13"/>
        <v>负</v>
      </c>
      <c r="Q881" s="11" t="str">
        <f t="shared" si="13"/>
        <v>胜</v>
      </c>
    </row>
    <row r="882" spans="4:17" customFormat="1" hidden="1" x14ac:dyDescent="0.15">
      <c r="D882" t="s">
        <v>6</v>
      </c>
      <c r="E882" s="1">
        <v>456828</v>
      </c>
      <c r="F882" s="1">
        <v>456828</v>
      </c>
      <c r="G882" s="8">
        <v>43193</v>
      </c>
      <c r="H882" s="1" t="s">
        <v>38</v>
      </c>
      <c r="I882" s="1">
        <v>2</v>
      </c>
      <c r="J882" s="1">
        <v>2</v>
      </c>
      <c r="K882" s="1">
        <v>0</v>
      </c>
      <c r="L882" s="1" t="s">
        <v>53</v>
      </c>
      <c r="M882" s="1">
        <v>1</v>
      </c>
      <c r="N882" s="1">
        <v>1</v>
      </c>
      <c r="O882" s="1">
        <v>0</v>
      </c>
      <c r="P882" s="11" t="str">
        <f t="shared" si="13"/>
        <v>胜</v>
      </c>
      <c r="Q882" s="11" t="str">
        <f t="shared" si="13"/>
        <v>胜</v>
      </c>
    </row>
    <row r="883" spans="4:17" customFormat="1" hidden="1" x14ac:dyDescent="0.15">
      <c r="D883" t="s">
        <v>6</v>
      </c>
      <c r="E883" s="1">
        <v>456829</v>
      </c>
      <c r="F883" s="1">
        <v>456829</v>
      </c>
      <c r="G883" s="8">
        <v>43193</v>
      </c>
      <c r="H883" s="1" t="s">
        <v>57</v>
      </c>
      <c r="I883" s="1">
        <v>2</v>
      </c>
      <c r="J883" s="1">
        <v>4</v>
      </c>
      <c r="K883" s="1">
        <v>0</v>
      </c>
      <c r="L883" s="1" t="s">
        <v>42</v>
      </c>
      <c r="M883" s="1">
        <v>0</v>
      </c>
      <c r="N883" s="1">
        <v>1</v>
      </c>
      <c r="O883" s="1">
        <v>0</v>
      </c>
      <c r="P883" s="11" t="str">
        <f t="shared" si="13"/>
        <v>胜</v>
      </c>
      <c r="Q883" s="11" t="str">
        <f t="shared" si="13"/>
        <v>胜</v>
      </c>
    </row>
    <row r="884" spans="4:17" customFormat="1" hidden="1" x14ac:dyDescent="0.15">
      <c r="D884" t="s">
        <v>6</v>
      </c>
      <c r="E884" s="1">
        <v>456830</v>
      </c>
      <c r="F884" s="1">
        <v>456830</v>
      </c>
      <c r="G884" s="8">
        <v>43193.000694444447</v>
      </c>
      <c r="H884" s="1" t="s">
        <v>41</v>
      </c>
      <c r="I884" s="1">
        <v>1</v>
      </c>
      <c r="J884" s="1">
        <v>3</v>
      </c>
      <c r="K884" s="1">
        <v>0</v>
      </c>
      <c r="L884" s="1" t="s">
        <v>49</v>
      </c>
      <c r="M884" s="1">
        <v>0</v>
      </c>
      <c r="N884" s="1">
        <v>0</v>
      </c>
      <c r="O884" s="1">
        <v>0</v>
      </c>
      <c r="P884" s="11" t="str">
        <f t="shared" si="13"/>
        <v>胜</v>
      </c>
      <c r="Q884" s="11" t="str">
        <f t="shared" si="13"/>
        <v>胜</v>
      </c>
    </row>
    <row r="885" spans="4:17" customFormat="1" hidden="1" x14ac:dyDescent="0.15">
      <c r="D885" t="s">
        <v>6</v>
      </c>
      <c r="E885" s="1">
        <v>456831</v>
      </c>
      <c r="F885" s="1">
        <v>456831</v>
      </c>
      <c r="G885" s="8">
        <v>43192.988888888889</v>
      </c>
      <c r="H885" s="1" t="s">
        <v>40</v>
      </c>
      <c r="I885" s="1">
        <v>0</v>
      </c>
      <c r="J885" s="1">
        <v>1</v>
      </c>
      <c r="K885" s="1">
        <v>0</v>
      </c>
      <c r="L885" s="1" t="s">
        <v>46</v>
      </c>
      <c r="M885" s="1">
        <v>0</v>
      </c>
      <c r="N885" s="1">
        <v>1</v>
      </c>
      <c r="O885" s="1">
        <v>0</v>
      </c>
      <c r="P885" s="11" t="str">
        <f t="shared" si="13"/>
        <v>平</v>
      </c>
      <c r="Q885" s="11" t="str">
        <f t="shared" si="13"/>
        <v>平</v>
      </c>
    </row>
    <row r="886" spans="4:17" customFormat="1" hidden="1" x14ac:dyDescent="0.15">
      <c r="D886" t="s">
        <v>6</v>
      </c>
      <c r="E886" s="1">
        <v>456832</v>
      </c>
      <c r="F886" s="1">
        <v>456832</v>
      </c>
      <c r="G886" s="8">
        <v>43193.083333333336</v>
      </c>
      <c r="H886" s="1" t="s">
        <v>54</v>
      </c>
      <c r="I886" s="1">
        <v>0</v>
      </c>
      <c r="J886" s="1">
        <v>1</v>
      </c>
      <c r="K886" s="1">
        <v>0</v>
      </c>
      <c r="L886" s="1" t="s">
        <v>37</v>
      </c>
      <c r="M886" s="1">
        <v>0</v>
      </c>
      <c r="N886" s="1">
        <v>1</v>
      </c>
      <c r="O886" s="1">
        <v>0</v>
      </c>
      <c r="P886" s="11" t="str">
        <f t="shared" si="13"/>
        <v>平</v>
      </c>
      <c r="Q886" s="11" t="str">
        <f t="shared" si="13"/>
        <v>平</v>
      </c>
    </row>
    <row r="887" spans="4:17" customFormat="1" hidden="1" x14ac:dyDescent="0.15">
      <c r="D887" t="s">
        <v>6</v>
      </c>
      <c r="E887" s="1">
        <v>462362</v>
      </c>
      <c r="F887" s="1">
        <v>462362</v>
      </c>
      <c r="G887" s="8">
        <v>43198</v>
      </c>
      <c r="H887" s="1" t="s">
        <v>49</v>
      </c>
      <c r="I887" s="1">
        <v>1</v>
      </c>
      <c r="J887" s="1">
        <v>1</v>
      </c>
      <c r="K887" s="1">
        <v>0</v>
      </c>
      <c r="L887" s="1" t="s">
        <v>40</v>
      </c>
      <c r="M887" s="1">
        <v>1</v>
      </c>
      <c r="N887" s="1">
        <v>4</v>
      </c>
      <c r="O887" s="1">
        <v>0</v>
      </c>
      <c r="P887" s="11" t="str">
        <f t="shared" si="13"/>
        <v>平</v>
      </c>
      <c r="Q887" s="11" t="str">
        <f t="shared" si="13"/>
        <v>负</v>
      </c>
    </row>
    <row r="888" spans="4:17" customFormat="1" hidden="1" x14ac:dyDescent="0.15">
      <c r="D888" t="s">
        <v>6</v>
      </c>
      <c r="E888" s="1">
        <v>462690</v>
      </c>
      <c r="F888" s="1">
        <v>462690</v>
      </c>
      <c r="G888" s="8">
        <v>43199</v>
      </c>
      <c r="H888" s="1" t="s">
        <v>48</v>
      </c>
      <c r="I888" s="1">
        <v>1</v>
      </c>
      <c r="J888" s="1">
        <v>1</v>
      </c>
      <c r="K888" s="1">
        <v>0</v>
      </c>
      <c r="L888" s="1" t="s">
        <v>41</v>
      </c>
      <c r="M888" s="1">
        <v>0</v>
      </c>
      <c r="N888" s="1">
        <v>1</v>
      </c>
      <c r="O888" s="1">
        <v>0</v>
      </c>
      <c r="P888" s="11" t="str">
        <f t="shared" si="13"/>
        <v>胜</v>
      </c>
      <c r="Q888" s="11" t="str">
        <f t="shared" si="13"/>
        <v>平</v>
      </c>
    </row>
    <row r="889" spans="4:17" customFormat="1" hidden="1" x14ac:dyDescent="0.15">
      <c r="D889" t="s">
        <v>6</v>
      </c>
      <c r="E889" s="1">
        <v>462691</v>
      </c>
      <c r="F889" s="1">
        <v>462691</v>
      </c>
      <c r="G889" s="8">
        <v>43199</v>
      </c>
      <c r="H889" s="1" t="s">
        <v>53</v>
      </c>
      <c r="I889" s="1">
        <v>0</v>
      </c>
      <c r="J889" s="1">
        <v>4</v>
      </c>
      <c r="K889" s="1">
        <v>0</v>
      </c>
      <c r="L889" s="1" t="s">
        <v>57</v>
      </c>
      <c r="M889" s="1">
        <v>0</v>
      </c>
      <c r="N889" s="1">
        <v>0</v>
      </c>
      <c r="O889" s="1">
        <v>0</v>
      </c>
      <c r="P889" s="11" t="str">
        <f t="shared" si="13"/>
        <v>平</v>
      </c>
      <c r="Q889" s="11" t="str">
        <f t="shared" si="13"/>
        <v>胜</v>
      </c>
    </row>
    <row r="890" spans="4:17" customFormat="1" hidden="1" x14ac:dyDescent="0.15">
      <c r="D890" t="s">
        <v>6</v>
      </c>
      <c r="E890" s="1">
        <v>462692</v>
      </c>
      <c r="F890" s="1">
        <v>462692</v>
      </c>
      <c r="G890" s="8">
        <v>43198.999305555553</v>
      </c>
      <c r="H890" s="1" t="s">
        <v>54</v>
      </c>
      <c r="I890" s="1">
        <v>0</v>
      </c>
      <c r="J890" s="1">
        <v>1</v>
      </c>
      <c r="K890" s="1">
        <v>0</v>
      </c>
      <c r="L890" s="1" t="s">
        <v>32</v>
      </c>
      <c r="M890" s="1">
        <v>0</v>
      </c>
      <c r="N890" s="1">
        <v>0</v>
      </c>
      <c r="O890" s="1">
        <v>0</v>
      </c>
      <c r="P890" s="11" t="str">
        <f t="shared" si="13"/>
        <v>平</v>
      </c>
      <c r="Q890" s="11" t="str">
        <f t="shared" si="13"/>
        <v>胜</v>
      </c>
    </row>
    <row r="891" spans="4:17" customFormat="1" hidden="1" x14ac:dyDescent="0.15">
      <c r="D891" t="s">
        <v>6</v>
      </c>
      <c r="E891" s="1">
        <v>462693</v>
      </c>
      <c r="F891" s="1">
        <v>462693</v>
      </c>
      <c r="G891" s="8">
        <v>43199.000694444447</v>
      </c>
      <c r="H891" s="1" t="s">
        <v>46</v>
      </c>
      <c r="I891" s="1">
        <v>0</v>
      </c>
      <c r="J891" s="1">
        <v>1</v>
      </c>
      <c r="K891" s="1">
        <v>0</v>
      </c>
      <c r="L891" s="1" t="s">
        <v>56</v>
      </c>
      <c r="M891" s="1">
        <v>0</v>
      </c>
      <c r="N891" s="1">
        <v>0</v>
      </c>
      <c r="O891" s="1">
        <v>0</v>
      </c>
      <c r="P891" s="11" t="str">
        <f t="shared" si="13"/>
        <v>平</v>
      </c>
      <c r="Q891" s="11" t="str">
        <f t="shared" si="13"/>
        <v>胜</v>
      </c>
    </row>
    <row r="892" spans="4:17" customFormat="1" hidden="1" x14ac:dyDescent="0.15">
      <c r="D892" t="s">
        <v>6</v>
      </c>
      <c r="E892" s="1">
        <v>462694</v>
      </c>
      <c r="F892" s="1">
        <v>462694</v>
      </c>
      <c r="G892" s="8">
        <v>43199</v>
      </c>
      <c r="H892" s="1" t="s">
        <v>52</v>
      </c>
      <c r="I892" s="1">
        <v>1</v>
      </c>
      <c r="J892" s="1">
        <v>1</v>
      </c>
      <c r="K892" s="1">
        <v>0</v>
      </c>
      <c r="L892" s="1" t="s">
        <v>42</v>
      </c>
      <c r="M892" s="1">
        <v>1</v>
      </c>
      <c r="N892" s="1">
        <v>1</v>
      </c>
      <c r="O892" s="1">
        <v>0</v>
      </c>
      <c r="P892" s="11" t="str">
        <f t="shared" si="13"/>
        <v>平</v>
      </c>
      <c r="Q892" s="11" t="str">
        <f t="shared" si="13"/>
        <v>平</v>
      </c>
    </row>
    <row r="893" spans="4:17" customFormat="1" hidden="1" x14ac:dyDescent="0.15">
      <c r="D893" t="s">
        <v>6</v>
      </c>
      <c r="E893" s="1">
        <v>462695</v>
      </c>
      <c r="F893" s="1">
        <v>462695</v>
      </c>
      <c r="G893" s="8">
        <v>43199.083333333336</v>
      </c>
      <c r="H893" s="1" t="s">
        <v>37</v>
      </c>
      <c r="I893" s="1">
        <v>2</v>
      </c>
      <c r="J893" s="1">
        <v>4</v>
      </c>
      <c r="K893" s="1">
        <v>0</v>
      </c>
      <c r="L893" s="1" t="s">
        <v>38</v>
      </c>
      <c r="M893" s="1">
        <v>0</v>
      </c>
      <c r="N893" s="1">
        <v>0</v>
      </c>
      <c r="O893" s="1">
        <v>0</v>
      </c>
      <c r="P893" s="11" t="str">
        <f t="shared" si="13"/>
        <v>胜</v>
      </c>
      <c r="Q893" s="11" t="str">
        <f t="shared" si="13"/>
        <v>胜</v>
      </c>
    </row>
    <row r="894" spans="4:17" customFormat="1" hidden="1" x14ac:dyDescent="0.15">
      <c r="D894" t="s">
        <v>6</v>
      </c>
      <c r="E894" s="1">
        <v>463126</v>
      </c>
      <c r="F894" s="1">
        <v>463126</v>
      </c>
      <c r="G894" s="8">
        <v>43200.042361111111</v>
      </c>
      <c r="H894" s="1" t="s">
        <v>44</v>
      </c>
      <c r="I894" s="1">
        <v>1</v>
      </c>
      <c r="J894" s="1">
        <v>1</v>
      </c>
      <c r="K894" s="1">
        <v>0</v>
      </c>
      <c r="L894" s="1" t="s">
        <v>36</v>
      </c>
      <c r="M894" s="1">
        <v>0</v>
      </c>
      <c r="N894" s="1">
        <v>0</v>
      </c>
      <c r="O894" s="1">
        <v>0</v>
      </c>
      <c r="P894" s="11" t="str">
        <f t="shared" si="13"/>
        <v>胜</v>
      </c>
      <c r="Q894" s="11" t="str">
        <f t="shared" si="13"/>
        <v>胜</v>
      </c>
    </row>
    <row r="895" spans="4:17" customFormat="1" hidden="1" x14ac:dyDescent="0.15">
      <c r="D895" t="s">
        <v>6</v>
      </c>
      <c r="E895" s="1">
        <v>463940</v>
      </c>
      <c r="F895" s="1">
        <v>463940</v>
      </c>
      <c r="G895" s="8">
        <v>43202.020833333336</v>
      </c>
      <c r="H895" s="1" t="s">
        <v>52</v>
      </c>
      <c r="I895" s="1">
        <v>1</v>
      </c>
      <c r="J895" s="1">
        <v>1</v>
      </c>
      <c r="K895" s="1">
        <v>0</v>
      </c>
      <c r="L895" s="1" t="s">
        <v>57</v>
      </c>
      <c r="M895" s="1">
        <v>0</v>
      </c>
      <c r="N895" s="1">
        <v>2</v>
      </c>
      <c r="O895" s="1">
        <v>0</v>
      </c>
      <c r="P895" s="11" t="str">
        <f t="shared" si="13"/>
        <v>胜</v>
      </c>
      <c r="Q895" s="11" t="str">
        <f t="shared" si="13"/>
        <v>负</v>
      </c>
    </row>
    <row r="896" spans="4:17" customFormat="1" hidden="1" x14ac:dyDescent="0.15">
      <c r="D896" t="s">
        <v>6</v>
      </c>
      <c r="E896" s="1">
        <v>463953</v>
      </c>
      <c r="F896" s="1">
        <v>463953</v>
      </c>
      <c r="G896" s="8">
        <v>43202.020833333336</v>
      </c>
      <c r="H896" s="1" t="s">
        <v>53</v>
      </c>
      <c r="I896" s="1">
        <v>2</v>
      </c>
      <c r="J896" s="1">
        <v>3</v>
      </c>
      <c r="K896" s="1">
        <v>0</v>
      </c>
      <c r="L896" s="1" t="s">
        <v>40</v>
      </c>
      <c r="M896" s="1">
        <v>0</v>
      </c>
      <c r="N896" s="1">
        <v>1</v>
      </c>
      <c r="O896" s="1">
        <v>0</v>
      </c>
      <c r="P896" s="11" t="str">
        <f t="shared" si="13"/>
        <v>胜</v>
      </c>
      <c r="Q896" s="11" t="str">
        <f t="shared" si="13"/>
        <v>胜</v>
      </c>
    </row>
    <row r="897" spans="4:17" customFormat="1" x14ac:dyDescent="0.15">
      <c r="D897" t="s">
        <v>6</v>
      </c>
      <c r="E897" s="1">
        <v>465639</v>
      </c>
      <c r="F897" s="1">
        <v>465639</v>
      </c>
      <c r="G897" s="8">
        <v>43205.000694444447</v>
      </c>
      <c r="H897" s="1" t="s">
        <v>36</v>
      </c>
      <c r="I897" s="1">
        <v>1</v>
      </c>
      <c r="J897" s="1">
        <v>1</v>
      </c>
      <c r="K897" s="1">
        <v>0</v>
      </c>
      <c r="L897" s="1" t="s">
        <v>49</v>
      </c>
      <c r="M897" s="1">
        <v>2</v>
      </c>
      <c r="N897" s="1">
        <v>6</v>
      </c>
      <c r="O897" s="1">
        <v>0</v>
      </c>
      <c r="P897" s="11" t="str">
        <f t="shared" si="13"/>
        <v>负</v>
      </c>
      <c r="Q897" s="11" t="str">
        <f t="shared" si="13"/>
        <v>负</v>
      </c>
    </row>
    <row r="898" spans="4:17" customFormat="1" hidden="1" x14ac:dyDescent="0.15">
      <c r="D898" t="s">
        <v>6</v>
      </c>
      <c r="E898" s="1">
        <v>465811</v>
      </c>
      <c r="F898" s="1">
        <v>465811</v>
      </c>
      <c r="G898" s="8">
        <v>43206</v>
      </c>
      <c r="H898" s="1" t="s">
        <v>38</v>
      </c>
      <c r="I898" s="1">
        <v>1</v>
      </c>
      <c r="J898" s="1">
        <v>2</v>
      </c>
      <c r="K898" s="1">
        <v>0</v>
      </c>
      <c r="L898" s="1" t="s">
        <v>44</v>
      </c>
      <c r="M898" s="1">
        <v>1</v>
      </c>
      <c r="N898" s="1">
        <v>1</v>
      </c>
      <c r="O898" s="1">
        <v>0</v>
      </c>
      <c r="P898" s="11" t="str">
        <f t="shared" si="13"/>
        <v>平</v>
      </c>
      <c r="Q898" s="11" t="str">
        <f t="shared" si="13"/>
        <v>胜</v>
      </c>
    </row>
    <row r="899" spans="4:17" customFormat="1" hidden="1" x14ac:dyDescent="0.15">
      <c r="D899" t="s">
        <v>6</v>
      </c>
      <c r="E899" s="1">
        <v>465812</v>
      </c>
      <c r="F899" s="1">
        <v>465812</v>
      </c>
      <c r="G899" s="8">
        <v>43205.999305555553</v>
      </c>
      <c r="H899" s="1" t="s">
        <v>57</v>
      </c>
      <c r="I899" s="1">
        <v>2</v>
      </c>
      <c r="J899" s="1">
        <v>4</v>
      </c>
      <c r="K899" s="1">
        <v>0</v>
      </c>
      <c r="L899" s="1" t="s">
        <v>48</v>
      </c>
      <c r="M899" s="1">
        <v>1</v>
      </c>
      <c r="N899" s="1">
        <v>2</v>
      </c>
      <c r="O899" s="1">
        <v>0</v>
      </c>
      <c r="P899" s="11" t="str">
        <f t="shared" si="13"/>
        <v>胜</v>
      </c>
      <c r="Q899" s="11" t="str">
        <f t="shared" si="13"/>
        <v>胜</v>
      </c>
    </row>
    <row r="900" spans="4:17" customFormat="1" hidden="1" x14ac:dyDescent="0.15">
      <c r="D900" t="s">
        <v>6</v>
      </c>
      <c r="E900" s="1">
        <v>465813</v>
      </c>
      <c r="F900" s="1">
        <v>465813</v>
      </c>
      <c r="G900" s="8">
        <v>43206</v>
      </c>
      <c r="H900" s="1" t="s">
        <v>52</v>
      </c>
      <c r="I900" s="1">
        <v>1</v>
      </c>
      <c r="J900" s="1">
        <v>3</v>
      </c>
      <c r="K900" s="1">
        <v>0</v>
      </c>
      <c r="L900" s="1" t="s">
        <v>56</v>
      </c>
      <c r="M900" s="1">
        <v>1</v>
      </c>
      <c r="N900" s="1">
        <v>3</v>
      </c>
      <c r="O900" s="1">
        <v>0</v>
      </c>
      <c r="P900" s="11" t="str">
        <f t="shared" si="13"/>
        <v>平</v>
      </c>
      <c r="Q900" s="11" t="str">
        <f t="shared" si="13"/>
        <v>平</v>
      </c>
    </row>
    <row r="901" spans="4:17" customFormat="1" hidden="1" x14ac:dyDescent="0.15">
      <c r="D901" t="s">
        <v>6</v>
      </c>
      <c r="E901" s="1">
        <v>465814</v>
      </c>
      <c r="F901" s="1">
        <v>465814</v>
      </c>
      <c r="G901" s="8">
        <v>43206</v>
      </c>
      <c r="H901" s="1" t="s">
        <v>42</v>
      </c>
      <c r="I901" s="1">
        <v>1</v>
      </c>
      <c r="J901" s="1">
        <v>1</v>
      </c>
      <c r="K901" s="1">
        <v>0</v>
      </c>
      <c r="L901" s="1" t="s">
        <v>53</v>
      </c>
      <c r="M901" s="1">
        <v>1</v>
      </c>
      <c r="N901" s="1">
        <v>1</v>
      </c>
      <c r="O901" s="1">
        <v>0</v>
      </c>
      <c r="P901" s="11" t="str">
        <f t="shared" si="13"/>
        <v>平</v>
      </c>
      <c r="Q901" s="11" t="str">
        <f t="shared" si="13"/>
        <v>平</v>
      </c>
    </row>
    <row r="902" spans="4:17" customFormat="1" hidden="1" x14ac:dyDescent="0.15">
      <c r="D902" t="s">
        <v>6</v>
      </c>
      <c r="E902" s="1">
        <v>465815</v>
      </c>
      <c r="F902" s="1">
        <v>465815</v>
      </c>
      <c r="G902" s="8">
        <v>43205.999305555553</v>
      </c>
      <c r="H902" s="1" t="s">
        <v>40</v>
      </c>
      <c r="I902" s="1">
        <v>0</v>
      </c>
      <c r="J902" s="1">
        <v>3</v>
      </c>
      <c r="K902" s="1">
        <v>0</v>
      </c>
      <c r="L902" s="1" t="s">
        <v>54</v>
      </c>
      <c r="M902" s="1">
        <v>0</v>
      </c>
      <c r="N902" s="1">
        <v>0</v>
      </c>
      <c r="O902" s="1">
        <v>0</v>
      </c>
      <c r="P902" s="11" t="str">
        <f t="shared" si="13"/>
        <v>平</v>
      </c>
      <c r="Q902" s="11" t="str">
        <f t="shared" si="13"/>
        <v>胜</v>
      </c>
    </row>
    <row r="903" spans="4:17" customFormat="1" hidden="1" x14ac:dyDescent="0.15">
      <c r="D903" t="s">
        <v>6</v>
      </c>
      <c r="E903" s="1">
        <v>465816</v>
      </c>
      <c r="F903" s="1">
        <v>465816</v>
      </c>
      <c r="G903" s="8">
        <v>43206.083333333336</v>
      </c>
      <c r="H903" s="1" t="s">
        <v>41</v>
      </c>
      <c r="I903" s="1">
        <v>0</v>
      </c>
      <c r="J903" s="1">
        <v>1</v>
      </c>
      <c r="K903" s="1">
        <v>0</v>
      </c>
      <c r="L903" s="1" t="s">
        <v>46</v>
      </c>
      <c r="M903" s="1">
        <v>1</v>
      </c>
      <c r="N903" s="1">
        <v>2</v>
      </c>
      <c r="O903" s="1">
        <v>0</v>
      </c>
      <c r="P903" s="11" t="str">
        <f t="shared" si="13"/>
        <v>负</v>
      </c>
      <c r="Q903" s="11" t="str">
        <f t="shared" si="13"/>
        <v>负</v>
      </c>
    </row>
    <row r="904" spans="4:17" hidden="1" x14ac:dyDescent="0.15">
      <c r="D904" s="2" t="s">
        <v>6</v>
      </c>
      <c r="E904" s="6">
        <v>465817</v>
      </c>
      <c r="F904" s="6">
        <v>465817</v>
      </c>
      <c r="G904" s="24">
        <v>43207.041666666664</v>
      </c>
      <c r="H904" s="6" t="s">
        <v>32</v>
      </c>
      <c r="I904" s="6">
        <v>0</v>
      </c>
      <c r="J904" s="6">
        <v>0</v>
      </c>
      <c r="K904" s="6">
        <v>0</v>
      </c>
      <c r="L904" s="6" t="s">
        <v>37</v>
      </c>
      <c r="M904" s="6">
        <v>0</v>
      </c>
      <c r="N904" s="6">
        <v>1</v>
      </c>
      <c r="O904" s="6">
        <v>0</v>
      </c>
      <c r="P904" s="11" t="str">
        <f t="shared" si="13"/>
        <v>平</v>
      </c>
      <c r="Q904" s="11" t="str">
        <f t="shared" si="13"/>
        <v>负</v>
      </c>
    </row>
    <row r="905" spans="4:17" customFormat="1" hidden="1" x14ac:dyDescent="0.15">
      <c r="D905" t="s">
        <v>6</v>
      </c>
      <c r="E905" s="1">
        <v>468918</v>
      </c>
      <c r="F905" s="1">
        <v>468918</v>
      </c>
      <c r="G905" s="8">
        <v>43212.000694444447</v>
      </c>
      <c r="H905" s="1" t="s">
        <v>46</v>
      </c>
      <c r="I905" s="1">
        <v>2</v>
      </c>
      <c r="J905" s="1">
        <v>3</v>
      </c>
      <c r="K905" s="1">
        <v>0</v>
      </c>
      <c r="L905" s="1" t="s">
        <v>42</v>
      </c>
      <c r="M905" s="1">
        <v>0</v>
      </c>
      <c r="N905" s="1">
        <v>0</v>
      </c>
      <c r="O905" s="1">
        <v>0</v>
      </c>
      <c r="P905" s="11" t="str">
        <f t="shared" si="13"/>
        <v>胜</v>
      </c>
      <c r="Q905" s="11" t="str">
        <f t="shared" si="13"/>
        <v>胜</v>
      </c>
    </row>
    <row r="906" spans="4:17" customFormat="1" hidden="1" x14ac:dyDescent="0.15">
      <c r="D906" t="s">
        <v>6</v>
      </c>
      <c r="E906" s="1">
        <v>469177</v>
      </c>
      <c r="F906" s="1">
        <v>469177</v>
      </c>
      <c r="G906" s="8">
        <v>43213</v>
      </c>
      <c r="H906" s="1" t="s">
        <v>48</v>
      </c>
      <c r="I906" s="1">
        <v>1</v>
      </c>
      <c r="J906" s="1">
        <v>1</v>
      </c>
      <c r="K906" s="1">
        <v>0</v>
      </c>
      <c r="L906" s="1" t="s">
        <v>40</v>
      </c>
      <c r="M906" s="1">
        <v>0</v>
      </c>
      <c r="N906" s="1">
        <v>0</v>
      </c>
      <c r="O906" s="1">
        <v>0</v>
      </c>
      <c r="P906" s="11" t="str">
        <f t="shared" si="13"/>
        <v>胜</v>
      </c>
      <c r="Q906" s="11" t="str">
        <f t="shared" si="13"/>
        <v>胜</v>
      </c>
    </row>
    <row r="907" spans="4:17" customFormat="1" hidden="1" x14ac:dyDescent="0.15">
      <c r="D907" t="s">
        <v>6</v>
      </c>
      <c r="E907" s="1">
        <v>469178</v>
      </c>
      <c r="F907" s="1">
        <v>469178</v>
      </c>
      <c r="G907" s="8">
        <v>43213</v>
      </c>
      <c r="H907" s="1" t="s">
        <v>56</v>
      </c>
      <c r="I907" s="1">
        <v>1</v>
      </c>
      <c r="J907" s="1">
        <v>1</v>
      </c>
      <c r="K907" s="1">
        <v>0</v>
      </c>
      <c r="L907" s="1" t="s">
        <v>32</v>
      </c>
      <c r="M907" s="1">
        <v>1</v>
      </c>
      <c r="N907" s="1">
        <v>1</v>
      </c>
      <c r="O907" s="1">
        <v>0</v>
      </c>
      <c r="P907" s="11" t="str">
        <f t="shared" si="13"/>
        <v>平</v>
      </c>
      <c r="Q907" s="11" t="str">
        <f t="shared" si="13"/>
        <v>平</v>
      </c>
    </row>
    <row r="908" spans="4:17" customFormat="1" hidden="1" x14ac:dyDescent="0.15">
      <c r="D908" t="s">
        <v>6</v>
      </c>
      <c r="E908" s="1">
        <v>469179</v>
      </c>
      <c r="F908" s="1">
        <v>469179</v>
      </c>
      <c r="G908" s="8">
        <v>43213</v>
      </c>
      <c r="H908" s="1" t="s">
        <v>44</v>
      </c>
      <c r="I908" s="1">
        <v>0</v>
      </c>
      <c r="J908" s="1">
        <v>0</v>
      </c>
      <c r="K908" s="1">
        <v>0</v>
      </c>
      <c r="L908" s="1" t="s">
        <v>57</v>
      </c>
      <c r="M908" s="1">
        <v>0</v>
      </c>
      <c r="N908" s="1">
        <v>1</v>
      </c>
      <c r="O908" s="1">
        <v>0</v>
      </c>
      <c r="P908" s="11" t="str">
        <f t="shared" si="13"/>
        <v>平</v>
      </c>
      <c r="Q908" s="11" t="str">
        <f t="shared" si="13"/>
        <v>负</v>
      </c>
    </row>
    <row r="909" spans="4:17" customFormat="1" hidden="1" x14ac:dyDescent="0.15">
      <c r="D909" t="s">
        <v>6</v>
      </c>
      <c r="E909" s="1">
        <v>469180</v>
      </c>
      <c r="F909" s="1">
        <v>469180</v>
      </c>
      <c r="G909" s="8">
        <v>43213</v>
      </c>
      <c r="H909" s="1" t="s">
        <v>37</v>
      </c>
      <c r="I909" s="1">
        <v>0</v>
      </c>
      <c r="J909" s="1">
        <v>2</v>
      </c>
      <c r="K909" s="1">
        <v>0</v>
      </c>
      <c r="L909" s="1" t="s">
        <v>36</v>
      </c>
      <c r="M909" s="1">
        <v>0</v>
      </c>
      <c r="N909" s="1">
        <v>0</v>
      </c>
      <c r="O909" s="1">
        <v>0</v>
      </c>
      <c r="P909" s="11" t="str">
        <f t="shared" ref="P909:Q972" si="14">IF(I909=M909,"平",IF(I909&gt;M909,"胜","负"))</f>
        <v>平</v>
      </c>
      <c r="Q909" s="11" t="str">
        <f t="shared" si="14"/>
        <v>胜</v>
      </c>
    </row>
    <row r="910" spans="4:17" customFormat="1" hidden="1" x14ac:dyDescent="0.15">
      <c r="D910" t="s">
        <v>6</v>
      </c>
      <c r="E910" s="1">
        <v>469181</v>
      </c>
      <c r="F910" s="1">
        <v>469181</v>
      </c>
      <c r="G910" s="8">
        <v>43213</v>
      </c>
      <c r="H910" s="1" t="s">
        <v>53</v>
      </c>
      <c r="I910" s="1">
        <v>4</v>
      </c>
      <c r="J910" s="1">
        <v>4</v>
      </c>
      <c r="K910" s="1">
        <v>0</v>
      </c>
      <c r="L910" s="1" t="s">
        <v>52</v>
      </c>
      <c r="M910" s="1">
        <v>1</v>
      </c>
      <c r="N910" s="1">
        <v>1</v>
      </c>
      <c r="O910" s="1">
        <v>0</v>
      </c>
      <c r="P910" s="11" t="str">
        <f t="shared" si="14"/>
        <v>胜</v>
      </c>
      <c r="Q910" s="11" t="str">
        <f t="shared" si="14"/>
        <v>胜</v>
      </c>
    </row>
    <row r="911" spans="4:17" customFormat="1" hidden="1" x14ac:dyDescent="0.15">
      <c r="D911" t="s">
        <v>6</v>
      </c>
      <c r="E911" s="1">
        <v>469182</v>
      </c>
      <c r="F911" s="1">
        <v>469182</v>
      </c>
      <c r="G911" s="8">
        <v>43213.083333333336</v>
      </c>
      <c r="H911" s="1" t="s">
        <v>49</v>
      </c>
      <c r="I911" s="1">
        <v>0</v>
      </c>
      <c r="J911" s="1">
        <v>0</v>
      </c>
      <c r="K911" s="1">
        <v>0</v>
      </c>
      <c r="L911" s="1" t="s">
        <v>38</v>
      </c>
      <c r="M911" s="1">
        <v>0</v>
      </c>
      <c r="N911" s="1">
        <v>0</v>
      </c>
      <c r="O911" s="1">
        <v>0</v>
      </c>
      <c r="P911" s="11" t="str">
        <f t="shared" si="14"/>
        <v>平</v>
      </c>
      <c r="Q911" s="11" t="str">
        <f t="shared" si="14"/>
        <v>平</v>
      </c>
    </row>
    <row r="912" spans="4:17" customFormat="1" hidden="1" x14ac:dyDescent="0.15">
      <c r="D912" t="s">
        <v>6</v>
      </c>
      <c r="E912" s="1">
        <v>469183</v>
      </c>
      <c r="F912" s="1">
        <v>469183</v>
      </c>
      <c r="G912" s="8">
        <v>43214.040972222225</v>
      </c>
      <c r="H912" s="1" t="s">
        <v>54</v>
      </c>
      <c r="I912" s="1">
        <v>1</v>
      </c>
      <c r="J912" s="1">
        <v>3</v>
      </c>
      <c r="K912" s="1">
        <v>0</v>
      </c>
      <c r="L912" s="1" t="s">
        <v>41</v>
      </c>
      <c r="M912" s="1">
        <v>1</v>
      </c>
      <c r="N912" s="1">
        <v>1</v>
      </c>
      <c r="O912" s="1">
        <v>0</v>
      </c>
      <c r="P912" s="11" t="str">
        <f t="shared" si="14"/>
        <v>平</v>
      </c>
      <c r="Q912" s="11" t="str">
        <f t="shared" si="14"/>
        <v>胜</v>
      </c>
    </row>
    <row r="913" spans="4:17" customFormat="1" hidden="1" x14ac:dyDescent="0.15">
      <c r="D913" t="s">
        <v>6</v>
      </c>
      <c r="E913" s="1">
        <v>470280</v>
      </c>
      <c r="F913" s="1">
        <v>470280</v>
      </c>
      <c r="G913" s="8">
        <v>43216.020833333336</v>
      </c>
      <c r="H913" s="1" t="s">
        <v>42</v>
      </c>
      <c r="I913" s="1">
        <v>0</v>
      </c>
      <c r="J913" s="1">
        <v>1</v>
      </c>
      <c r="K913" s="1">
        <v>0</v>
      </c>
      <c r="L913" s="1" t="s">
        <v>36</v>
      </c>
      <c r="M913" s="1">
        <v>0</v>
      </c>
      <c r="N913" s="1">
        <v>1</v>
      </c>
      <c r="O913" s="1">
        <v>0</v>
      </c>
      <c r="P913" s="11" t="str">
        <f t="shared" si="14"/>
        <v>平</v>
      </c>
      <c r="Q913" s="11" t="str">
        <f t="shared" si="14"/>
        <v>平</v>
      </c>
    </row>
    <row r="914" spans="4:17" customFormat="1" hidden="1" x14ac:dyDescent="0.15">
      <c r="D914" t="s">
        <v>6</v>
      </c>
      <c r="E914" s="1">
        <v>470281</v>
      </c>
      <c r="F914" s="1">
        <v>470281</v>
      </c>
      <c r="G914" s="8">
        <v>43216.020833333336</v>
      </c>
      <c r="H914" s="1" t="s">
        <v>57</v>
      </c>
      <c r="I914" s="1">
        <v>0</v>
      </c>
      <c r="J914" s="1">
        <v>0</v>
      </c>
      <c r="K914" s="1">
        <v>0</v>
      </c>
      <c r="L914" s="1" t="s">
        <v>46</v>
      </c>
      <c r="M914" s="1">
        <v>1</v>
      </c>
      <c r="N914" s="1">
        <v>2</v>
      </c>
      <c r="O914" s="1">
        <v>0</v>
      </c>
      <c r="P914" s="11" t="str">
        <f t="shared" si="14"/>
        <v>负</v>
      </c>
      <c r="Q914" s="11" t="str">
        <f t="shared" si="14"/>
        <v>负</v>
      </c>
    </row>
    <row r="915" spans="4:17" customFormat="1" hidden="1" x14ac:dyDescent="0.15">
      <c r="D915" t="s">
        <v>6</v>
      </c>
      <c r="E915" s="1">
        <v>472111</v>
      </c>
      <c r="F915" s="1">
        <v>472111</v>
      </c>
      <c r="G915" s="8">
        <v>43219</v>
      </c>
      <c r="H915" s="1" t="s">
        <v>57</v>
      </c>
      <c r="I915" s="1">
        <v>1</v>
      </c>
      <c r="J915" s="1">
        <v>2</v>
      </c>
      <c r="K915" s="1">
        <v>0</v>
      </c>
      <c r="L915" s="1" t="s">
        <v>49</v>
      </c>
      <c r="M915" s="1">
        <v>1</v>
      </c>
      <c r="N915" s="1">
        <v>2</v>
      </c>
      <c r="O915" s="1">
        <v>0</v>
      </c>
      <c r="P915" s="11" t="str">
        <f t="shared" si="14"/>
        <v>平</v>
      </c>
      <c r="Q915" s="11" t="str">
        <f t="shared" si="14"/>
        <v>平</v>
      </c>
    </row>
    <row r="916" spans="4:17" customFormat="1" x14ac:dyDescent="0.15">
      <c r="D916" t="s">
        <v>6</v>
      </c>
      <c r="E916" s="1">
        <v>472307</v>
      </c>
      <c r="F916" s="1">
        <v>472307</v>
      </c>
      <c r="G916" s="8">
        <v>43220</v>
      </c>
      <c r="H916" s="1" t="s">
        <v>36</v>
      </c>
      <c r="I916" s="1">
        <v>0</v>
      </c>
      <c r="J916" s="1">
        <v>0</v>
      </c>
      <c r="K916" s="1">
        <v>0</v>
      </c>
      <c r="L916" s="1" t="s">
        <v>48</v>
      </c>
      <c r="M916" s="1">
        <v>0</v>
      </c>
      <c r="N916" s="1">
        <v>1</v>
      </c>
      <c r="O916" s="1">
        <v>0</v>
      </c>
      <c r="P916" s="11" t="str">
        <f t="shared" si="14"/>
        <v>平</v>
      </c>
      <c r="Q916" s="11" t="str">
        <f t="shared" si="14"/>
        <v>负</v>
      </c>
    </row>
    <row r="917" spans="4:17" customFormat="1" hidden="1" x14ac:dyDescent="0.15">
      <c r="D917" t="s">
        <v>6</v>
      </c>
      <c r="E917" s="1">
        <v>472308</v>
      </c>
      <c r="F917" s="1">
        <v>472308</v>
      </c>
      <c r="G917" s="8">
        <v>43220</v>
      </c>
      <c r="H917" s="1" t="s">
        <v>38</v>
      </c>
      <c r="I917" s="1">
        <v>0</v>
      </c>
      <c r="J917" s="1">
        <v>0</v>
      </c>
      <c r="K917" s="1">
        <v>0</v>
      </c>
      <c r="L917" s="1" t="s">
        <v>54</v>
      </c>
      <c r="M917" s="1">
        <v>1</v>
      </c>
      <c r="N917" s="1">
        <v>1</v>
      </c>
      <c r="O917" s="1">
        <v>0</v>
      </c>
      <c r="P917" s="11" t="str">
        <f t="shared" si="14"/>
        <v>负</v>
      </c>
      <c r="Q917" s="11" t="str">
        <f t="shared" si="14"/>
        <v>负</v>
      </c>
    </row>
    <row r="918" spans="4:17" customFormat="1" hidden="1" x14ac:dyDescent="0.15">
      <c r="D918" t="s">
        <v>6</v>
      </c>
      <c r="E918" s="1">
        <v>472317</v>
      </c>
      <c r="F918" s="1">
        <v>472317</v>
      </c>
      <c r="G918" s="8">
        <v>43220</v>
      </c>
      <c r="H918" s="1" t="s">
        <v>52</v>
      </c>
      <c r="I918" s="1">
        <v>0</v>
      </c>
      <c r="J918" s="1">
        <v>0</v>
      </c>
      <c r="K918" s="1">
        <v>0</v>
      </c>
      <c r="L918" s="1" t="s">
        <v>46</v>
      </c>
      <c r="M918" s="1">
        <v>0</v>
      </c>
      <c r="N918" s="1">
        <v>1</v>
      </c>
      <c r="O918" s="1">
        <v>0</v>
      </c>
      <c r="P918" s="11" t="str">
        <f t="shared" si="14"/>
        <v>平</v>
      </c>
      <c r="Q918" s="11" t="str">
        <f t="shared" si="14"/>
        <v>负</v>
      </c>
    </row>
    <row r="919" spans="4:17" customFormat="1" hidden="1" x14ac:dyDescent="0.15">
      <c r="D919" t="s">
        <v>6</v>
      </c>
      <c r="E919" s="1">
        <v>472318</v>
      </c>
      <c r="F919" s="1">
        <v>472318</v>
      </c>
      <c r="G919" s="8">
        <v>43220</v>
      </c>
      <c r="H919" s="1" t="s">
        <v>41</v>
      </c>
      <c r="I919" s="1">
        <v>0</v>
      </c>
      <c r="J919" s="1">
        <v>0</v>
      </c>
      <c r="K919" s="1">
        <v>0</v>
      </c>
      <c r="L919" s="1" t="s">
        <v>32</v>
      </c>
      <c r="M919" s="1">
        <v>0</v>
      </c>
      <c r="N919" s="1">
        <v>0</v>
      </c>
      <c r="O919" s="1">
        <v>0</v>
      </c>
      <c r="P919" s="11" t="str">
        <f t="shared" si="14"/>
        <v>平</v>
      </c>
      <c r="Q919" s="11" t="str">
        <f t="shared" si="14"/>
        <v>平</v>
      </c>
    </row>
    <row r="920" spans="4:17" customFormat="1" hidden="1" x14ac:dyDescent="0.15">
      <c r="D920" t="s">
        <v>6</v>
      </c>
      <c r="E920" s="1">
        <v>472319</v>
      </c>
      <c r="F920" s="1">
        <v>472319</v>
      </c>
      <c r="G920" s="8">
        <v>43220</v>
      </c>
      <c r="H920" s="1" t="s">
        <v>53</v>
      </c>
      <c r="I920" s="1">
        <v>0</v>
      </c>
      <c r="J920" s="1">
        <v>0</v>
      </c>
      <c r="K920" s="1">
        <v>0</v>
      </c>
      <c r="L920" s="1" t="s">
        <v>56</v>
      </c>
      <c r="M920" s="1">
        <v>0</v>
      </c>
      <c r="N920" s="1">
        <v>0</v>
      </c>
      <c r="O920" s="1">
        <v>0</v>
      </c>
      <c r="P920" s="11" t="str">
        <f t="shared" si="14"/>
        <v>平</v>
      </c>
      <c r="Q920" s="11" t="str">
        <f t="shared" si="14"/>
        <v>平</v>
      </c>
    </row>
    <row r="921" spans="4:17" customFormat="1" hidden="1" x14ac:dyDescent="0.15">
      <c r="D921" t="s">
        <v>6</v>
      </c>
      <c r="E921" s="1">
        <v>472320</v>
      </c>
      <c r="F921" s="1">
        <v>472320</v>
      </c>
      <c r="G921" s="8">
        <v>43220.083333333336</v>
      </c>
      <c r="H921" s="1" t="s">
        <v>40</v>
      </c>
      <c r="I921" s="1">
        <v>0</v>
      </c>
      <c r="J921" s="1">
        <v>0</v>
      </c>
      <c r="K921" s="1">
        <v>0</v>
      </c>
      <c r="L921" s="1" t="s">
        <v>37</v>
      </c>
      <c r="M921" s="1">
        <v>1</v>
      </c>
      <c r="N921" s="1">
        <v>1</v>
      </c>
      <c r="O921" s="1">
        <v>0</v>
      </c>
      <c r="P921" s="11" t="str">
        <f t="shared" si="14"/>
        <v>负</v>
      </c>
      <c r="Q921" s="11" t="str">
        <f t="shared" si="14"/>
        <v>负</v>
      </c>
    </row>
    <row r="922" spans="4:17" customFormat="1" hidden="1" x14ac:dyDescent="0.15">
      <c r="D922" t="s">
        <v>6</v>
      </c>
      <c r="E922" s="1">
        <v>472321</v>
      </c>
      <c r="F922" s="1">
        <v>472321</v>
      </c>
      <c r="G922" s="8">
        <v>43221.042361111111</v>
      </c>
      <c r="H922" s="1" t="s">
        <v>42</v>
      </c>
      <c r="I922" s="1">
        <v>1</v>
      </c>
      <c r="J922" s="1">
        <v>3</v>
      </c>
      <c r="K922" s="1">
        <v>0</v>
      </c>
      <c r="L922" s="1" t="s">
        <v>44</v>
      </c>
      <c r="M922" s="1">
        <v>1</v>
      </c>
      <c r="N922" s="1">
        <v>2</v>
      </c>
      <c r="O922" s="1">
        <v>0</v>
      </c>
      <c r="P922" s="11" t="str">
        <f t="shared" si="14"/>
        <v>平</v>
      </c>
      <c r="Q922" s="11" t="str">
        <f t="shared" si="14"/>
        <v>胜</v>
      </c>
    </row>
    <row r="923" spans="4:17" customFormat="1" hidden="1" x14ac:dyDescent="0.15">
      <c r="D923" t="s">
        <v>6</v>
      </c>
      <c r="E923" s="1">
        <v>475346</v>
      </c>
      <c r="F923" s="1">
        <v>475346</v>
      </c>
      <c r="G923" s="8">
        <v>43226</v>
      </c>
      <c r="H923" s="1" t="s">
        <v>37</v>
      </c>
      <c r="I923" s="1">
        <v>0</v>
      </c>
      <c r="J923" s="1">
        <v>1</v>
      </c>
      <c r="K923" s="1">
        <v>0</v>
      </c>
      <c r="L923" s="1" t="s">
        <v>57</v>
      </c>
      <c r="M923" s="1">
        <v>0</v>
      </c>
      <c r="N923" s="1">
        <v>1</v>
      </c>
      <c r="O923" s="1">
        <v>0</v>
      </c>
      <c r="P923" s="11" t="str">
        <f t="shared" si="14"/>
        <v>平</v>
      </c>
      <c r="Q923" s="11" t="str">
        <f t="shared" si="14"/>
        <v>平</v>
      </c>
    </row>
    <row r="924" spans="4:17" hidden="1" x14ac:dyDescent="0.15">
      <c r="D924" s="2" t="s">
        <v>6</v>
      </c>
      <c r="E924" s="6">
        <v>475558</v>
      </c>
      <c r="F924" s="6">
        <v>475558</v>
      </c>
      <c r="G924" s="24">
        <v>43226.999305555553</v>
      </c>
      <c r="H924" s="6" t="s">
        <v>32</v>
      </c>
      <c r="I924" s="6">
        <v>1</v>
      </c>
      <c r="J924" s="6">
        <v>2</v>
      </c>
      <c r="K924" s="6">
        <v>0</v>
      </c>
      <c r="L924" s="6" t="s">
        <v>40</v>
      </c>
      <c r="M924" s="6">
        <v>1</v>
      </c>
      <c r="N924" s="6">
        <v>2</v>
      </c>
      <c r="O924" s="6">
        <v>0</v>
      </c>
      <c r="P924" s="11" t="str">
        <f t="shared" si="14"/>
        <v>平</v>
      </c>
      <c r="Q924" s="11" t="str">
        <f t="shared" si="14"/>
        <v>平</v>
      </c>
    </row>
    <row r="925" spans="4:17" customFormat="1" hidden="1" x14ac:dyDescent="0.15">
      <c r="D925" t="s">
        <v>6</v>
      </c>
      <c r="E925" s="1">
        <v>475559</v>
      </c>
      <c r="F925" s="1">
        <v>475559</v>
      </c>
      <c r="G925" s="8">
        <v>43226.999305555553</v>
      </c>
      <c r="H925" s="1" t="s">
        <v>54</v>
      </c>
      <c r="I925" s="1">
        <v>2</v>
      </c>
      <c r="J925" s="1">
        <v>3</v>
      </c>
      <c r="K925" s="1">
        <v>0</v>
      </c>
      <c r="L925" s="1" t="s">
        <v>36</v>
      </c>
      <c r="M925" s="1">
        <v>0</v>
      </c>
      <c r="N925" s="1">
        <v>0</v>
      </c>
      <c r="O925" s="1">
        <v>0</v>
      </c>
      <c r="P925" s="11" t="str">
        <f t="shared" si="14"/>
        <v>胜</v>
      </c>
      <c r="Q925" s="11" t="str">
        <f t="shared" si="14"/>
        <v>胜</v>
      </c>
    </row>
    <row r="926" spans="4:17" customFormat="1" hidden="1" x14ac:dyDescent="0.15">
      <c r="D926" t="s">
        <v>6</v>
      </c>
      <c r="E926" s="1">
        <v>475560</v>
      </c>
      <c r="F926" s="1">
        <v>475560</v>
      </c>
      <c r="G926" s="8">
        <v>43227.084027777775</v>
      </c>
      <c r="H926" s="1" t="s">
        <v>46</v>
      </c>
      <c r="I926" s="1">
        <v>2</v>
      </c>
      <c r="J926" s="1">
        <v>3</v>
      </c>
      <c r="K926" s="1">
        <v>0</v>
      </c>
      <c r="L926" s="1" t="s">
        <v>53</v>
      </c>
      <c r="M926" s="1">
        <v>0</v>
      </c>
      <c r="N926" s="1">
        <v>0</v>
      </c>
      <c r="O926" s="1">
        <v>0</v>
      </c>
      <c r="P926" s="11" t="str">
        <f t="shared" si="14"/>
        <v>胜</v>
      </c>
      <c r="Q926" s="11" t="str">
        <f t="shared" si="14"/>
        <v>胜</v>
      </c>
    </row>
    <row r="927" spans="4:17" customFormat="1" hidden="1" x14ac:dyDescent="0.15">
      <c r="D927" t="s">
        <v>6</v>
      </c>
      <c r="E927" s="1">
        <v>475561</v>
      </c>
      <c r="F927" s="1">
        <v>475561</v>
      </c>
      <c r="G927" s="8">
        <v>43228.041666666664</v>
      </c>
      <c r="H927" s="1" t="s">
        <v>41</v>
      </c>
      <c r="I927" s="1">
        <v>2</v>
      </c>
      <c r="J927" s="1">
        <v>2</v>
      </c>
      <c r="K927" s="1">
        <v>0</v>
      </c>
      <c r="L927" s="1" t="s">
        <v>38</v>
      </c>
      <c r="M927" s="1">
        <v>2</v>
      </c>
      <c r="N927" s="1">
        <v>2</v>
      </c>
      <c r="O927" s="1">
        <v>0</v>
      </c>
      <c r="P927" s="11" t="str">
        <f t="shared" si="14"/>
        <v>平</v>
      </c>
      <c r="Q927" s="11" t="str">
        <f t="shared" si="14"/>
        <v>平</v>
      </c>
    </row>
    <row r="928" spans="4:17" customFormat="1" hidden="1" x14ac:dyDescent="0.15">
      <c r="D928" t="s">
        <v>6</v>
      </c>
      <c r="E928" s="1">
        <v>475562</v>
      </c>
      <c r="F928" s="1">
        <v>475562</v>
      </c>
      <c r="G928" s="8">
        <v>43227</v>
      </c>
      <c r="H928" s="1" t="s">
        <v>56</v>
      </c>
      <c r="I928" s="1">
        <v>0</v>
      </c>
      <c r="J928" s="1">
        <v>1</v>
      </c>
      <c r="K928" s="1">
        <v>0</v>
      </c>
      <c r="L928" s="1" t="s">
        <v>42</v>
      </c>
      <c r="M928" s="1">
        <v>0</v>
      </c>
      <c r="N928" s="1">
        <v>0</v>
      </c>
      <c r="O928" s="1">
        <v>0</v>
      </c>
      <c r="P928" s="11" t="str">
        <f t="shared" si="14"/>
        <v>平</v>
      </c>
      <c r="Q928" s="11" t="str">
        <f t="shared" si="14"/>
        <v>胜</v>
      </c>
    </row>
    <row r="929" spans="4:17" customFormat="1" hidden="1" x14ac:dyDescent="0.15">
      <c r="D929" t="s">
        <v>6</v>
      </c>
      <c r="E929" s="1">
        <v>475563</v>
      </c>
      <c r="F929" s="1">
        <v>475563</v>
      </c>
      <c r="G929" s="8">
        <v>43227.000694444447</v>
      </c>
      <c r="H929" s="1" t="s">
        <v>44</v>
      </c>
      <c r="I929" s="1">
        <v>1</v>
      </c>
      <c r="J929" s="1">
        <v>1</v>
      </c>
      <c r="K929" s="1">
        <v>0</v>
      </c>
      <c r="L929" s="1" t="s">
        <v>52</v>
      </c>
      <c r="M929" s="1">
        <v>0</v>
      </c>
      <c r="N929" s="1">
        <v>0</v>
      </c>
      <c r="O929" s="1">
        <v>0</v>
      </c>
      <c r="P929" s="11" t="str">
        <f t="shared" si="14"/>
        <v>胜</v>
      </c>
      <c r="Q929" s="11" t="str">
        <f t="shared" si="14"/>
        <v>胜</v>
      </c>
    </row>
    <row r="930" spans="4:17" customFormat="1" hidden="1" x14ac:dyDescent="0.15">
      <c r="D930" t="s">
        <v>6</v>
      </c>
      <c r="E930" s="1">
        <v>475564</v>
      </c>
      <c r="F930" s="1">
        <v>475564</v>
      </c>
      <c r="G930" s="8">
        <v>43227</v>
      </c>
      <c r="H930" s="1" t="s">
        <v>49</v>
      </c>
      <c r="I930" s="1">
        <v>1</v>
      </c>
      <c r="J930" s="1">
        <v>2</v>
      </c>
      <c r="K930" s="1">
        <v>0</v>
      </c>
      <c r="L930" s="1" t="s">
        <v>48</v>
      </c>
      <c r="M930" s="1">
        <v>1</v>
      </c>
      <c r="N930" s="1">
        <v>2</v>
      </c>
      <c r="O930" s="1">
        <v>0</v>
      </c>
      <c r="P930" s="11" t="str">
        <f t="shared" si="14"/>
        <v>平</v>
      </c>
      <c r="Q930" s="11" t="str">
        <f t="shared" si="14"/>
        <v>平</v>
      </c>
    </row>
    <row r="931" spans="4:17" customFormat="1" hidden="1" x14ac:dyDescent="0.15">
      <c r="D931" t="s">
        <v>6</v>
      </c>
      <c r="E931" s="1">
        <v>478015</v>
      </c>
      <c r="F931" s="1">
        <v>478015</v>
      </c>
      <c r="G931" s="8">
        <v>43232.895833333336</v>
      </c>
      <c r="H931" s="1" t="s">
        <v>52</v>
      </c>
      <c r="I931" s="1">
        <v>0</v>
      </c>
      <c r="J931" s="1">
        <v>0</v>
      </c>
      <c r="K931" s="1">
        <v>0</v>
      </c>
      <c r="L931" s="1" t="s">
        <v>49</v>
      </c>
      <c r="M931" s="1">
        <v>0</v>
      </c>
      <c r="N931" s="1">
        <v>1</v>
      </c>
      <c r="O931" s="1">
        <v>0</v>
      </c>
      <c r="P931" s="11" t="str">
        <f t="shared" si="14"/>
        <v>平</v>
      </c>
      <c r="Q931" s="11" t="str">
        <f t="shared" si="14"/>
        <v>负</v>
      </c>
    </row>
    <row r="932" spans="4:17" customFormat="1" x14ac:dyDescent="0.15">
      <c r="D932" t="s">
        <v>6</v>
      </c>
      <c r="E932" s="1">
        <v>478454</v>
      </c>
      <c r="F932" s="1">
        <v>478454</v>
      </c>
      <c r="G932" s="8">
        <v>43233</v>
      </c>
      <c r="H932" s="1" t="s">
        <v>36</v>
      </c>
      <c r="I932" s="1">
        <v>0</v>
      </c>
      <c r="J932" s="1">
        <v>0</v>
      </c>
      <c r="K932" s="1">
        <v>0</v>
      </c>
      <c r="L932" s="1" t="s">
        <v>46</v>
      </c>
      <c r="M932" s="1">
        <v>0</v>
      </c>
      <c r="N932" s="1">
        <v>1</v>
      </c>
      <c r="O932" s="1">
        <v>0</v>
      </c>
      <c r="P932" s="11" t="str">
        <f t="shared" si="14"/>
        <v>平</v>
      </c>
      <c r="Q932" s="11" t="str">
        <f t="shared" si="14"/>
        <v>负</v>
      </c>
    </row>
    <row r="933" spans="4:17" customFormat="1" hidden="1" x14ac:dyDescent="0.15">
      <c r="D933" t="s">
        <v>6</v>
      </c>
      <c r="E933" s="1">
        <v>478776</v>
      </c>
      <c r="F933" s="1">
        <v>478776</v>
      </c>
      <c r="G933" s="8">
        <v>43234.003472222219</v>
      </c>
      <c r="H933" s="1" t="s">
        <v>57</v>
      </c>
      <c r="I933" s="1">
        <v>2</v>
      </c>
      <c r="J933" s="1">
        <v>3</v>
      </c>
      <c r="K933" s="1">
        <v>0</v>
      </c>
      <c r="L933" s="1" t="s">
        <v>54</v>
      </c>
      <c r="M933" s="1">
        <v>1</v>
      </c>
      <c r="N933" s="1">
        <v>1</v>
      </c>
      <c r="O933" s="1">
        <v>0</v>
      </c>
      <c r="P933" s="11" t="str">
        <f t="shared" si="14"/>
        <v>胜</v>
      </c>
      <c r="Q933" s="11" t="str">
        <f t="shared" si="14"/>
        <v>胜</v>
      </c>
    </row>
    <row r="934" spans="4:17" customFormat="1" hidden="1" x14ac:dyDescent="0.15">
      <c r="D934" t="s">
        <v>6</v>
      </c>
      <c r="E934" s="1">
        <v>478777</v>
      </c>
      <c r="F934" s="1">
        <v>478777</v>
      </c>
      <c r="G934" s="8">
        <v>43234.003472222219</v>
      </c>
      <c r="H934" s="1" t="s">
        <v>48</v>
      </c>
      <c r="I934" s="1">
        <v>1</v>
      </c>
      <c r="J934" s="1">
        <v>3</v>
      </c>
      <c r="K934" s="1">
        <v>0</v>
      </c>
      <c r="L934" s="1" t="s">
        <v>56</v>
      </c>
      <c r="M934" s="1">
        <v>1</v>
      </c>
      <c r="N934" s="1">
        <v>2</v>
      </c>
      <c r="O934" s="1">
        <v>0</v>
      </c>
      <c r="P934" s="11" t="str">
        <f t="shared" si="14"/>
        <v>平</v>
      </c>
      <c r="Q934" s="11" t="str">
        <f t="shared" si="14"/>
        <v>胜</v>
      </c>
    </row>
    <row r="935" spans="4:17" customFormat="1" hidden="1" x14ac:dyDescent="0.15">
      <c r="D935" t="s">
        <v>6</v>
      </c>
      <c r="E935" s="1">
        <v>478778</v>
      </c>
      <c r="F935" s="1">
        <v>478778</v>
      </c>
      <c r="G935" s="8">
        <v>43234.003472222219</v>
      </c>
      <c r="H935" s="1" t="s">
        <v>38</v>
      </c>
      <c r="I935" s="1">
        <v>1</v>
      </c>
      <c r="J935" s="1">
        <v>1</v>
      </c>
      <c r="K935" s="1">
        <v>0</v>
      </c>
      <c r="L935" s="1" t="s">
        <v>32</v>
      </c>
      <c r="M935" s="1">
        <v>0</v>
      </c>
      <c r="N935" s="1">
        <v>2</v>
      </c>
      <c r="O935" s="1">
        <v>0</v>
      </c>
      <c r="P935" s="11" t="str">
        <f t="shared" si="14"/>
        <v>胜</v>
      </c>
      <c r="Q935" s="11" t="str">
        <f t="shared" si="14"/>
        <v>负</v>
      </c>
    </row>
    <row r="936" spans="4:17" customFormat="1" hidden="1" x14ac:dyDescent="0.15">
      <c r="D936" t="s">
        <v>6</v>
      </c>
      <c r="E936" s="1">
        <v>478779</v>
      </c>
      <c r="F936" s="1">
        <v>478779</v>
      </c>
      <c r="G936" s="8">
        <v>43234.003472222219</v>
      </c>
      <c r="H936" s="1" t="s">
        <v>53</v>
      </c>
      <c r="I936" s="1">
        <v>1</v>
      </c>
      <c r="J936" s="1">
        <v>1</v>
      </c>
      <c r="K936" s="1">
        <v>0</v>
      </c>
      <c r="L936" s="1" t="s">
        <v>44</v>
      </c>
      <c r="M936" s="1">
        <v>2</v>
      </c>
      <c r="N936" s="1">
        <v>2</v>
      </c>
      <c r="O936" s="1">
        <v>0</v>
      </c>
      <c r="P936" s="11" t="str">
        <f t="shared" si="14"/>
        <v>负</v>
      </c>
      <c r="Q936" s="11" t="str">
        <f t="shared" si="14"/>
        <v>负</v>
      </c>
    </row>
    <row r="937" spans="4:17" customFormat="1" hidden="1" x14ac:dyDescent="0.15">
      <c r="D937" t="s">
        <v>6</v>
      </c>
      <c r="E937" s="1">
        <v>478780</v>
      </c>
      <c r="F937" s="1">
        <v>478780</v>
      </c>
      <c r="G937" s="8">
        <v>43234.003472222219</v>
      </c>
      <c r="H937" s="1" t="s">
        <v>40</v>
      </c>
      <c r="I937" s="1">
        <v>1</v>
      </c>
      <c r="J937" s="1">
        <v>1</v>
      </c>
      <c r="K937" s="1">
        <v>0</v>
      </c>
      <c r="L937" s="1" t="s">
        <v>41</v>
      </c>
      <c r="M937" s="1">
        <v>0</v>
      </c>
      <c r="N937" s="1">
        <v>2</v>
      </c>
      <c r="O937" s="1">
        <v>0</v>
      </c>
      <c r="P937" s="11" t="str">
        <f t="shared" si="14"/>
        <v>胜</v>
      </c>
      <c r="Q937" s="11" t="str">
        <f t="shared" si="14"/>
        <v>负</v>
      </c>
    </row>
    <row r="938" spans="4:17" customFormat="1" hidden="1" x14ac:dyDescent="0.15">
      <c r="D938" t="s">
        <v>6</v>
      </c>
      <c r="E938" s="1">
        <v>478781</v>
      </c>
      <c r="F938" s="1">
        <v>478781</v>
      </c>
      <c r="G938" s="8">
        <v>43234.083333333336</v>
      </c>
      <c r="H938" s="1" t="s">
        <v>42</v>
      </c>
      <c r="I938" s="1">
        <v>0</v>
      </c>
      <c r="J938" s="1">
        <v>0</v>
      </c>
      <c r="K938" s="1">
        <v>0</v>
      </c>
      <c r="L938" s="1" t="s">
        <v>37</v>
      </c>
      <c r="M938" s="1">
        <v>0</v>
      </c>
      <c r="N938" s="1">
        <v>1</v>
      </c>
      <c r="O938" s="1">
        <v>0</v>
      </c>
      <c r="P938" s="11" t="str">
        <f t="shared" si="14"/>
        <v>平</v>
      </c>
      <c r="Q938" s="11" t="str">
        <f t="shared" si="14"/>
        <v>负</v>
      </c>
    </row>
    <row r="939" spans="4:17" hidden="1" x14ac:dyDescent="0.15">
      <c r="D939" s="2" t="s">
        <v>6</v>
      </c>
      <c r="E939" s="6">
        <v>479653</v>
      </c>
      <c r="F939" s="6">
        <v>479653</v>
      </c>
      <c r="G939" s="24">
        <v>43237</v>
      </c>
      <c r="H939" s="6" t="s">
        <v>32</v>
      </c>
      <c r="I939" s="6">
        <v>0</v>
      </c>
      <c r="J939" s="6">
        <v>0</v>
      </c>
      <c r="K939" s="6">
        <v>0</v>
      </c>
      <c r="L939" s="6" t="s">
        <v>53</v>
      </c>
      <c r="M939" s="6">
        <v>1</v>
      </c>
      <c r="N939" s="6">
        <v>1</v>
      </c>
      <c r="O939" s="6">
        <v>0</v>
      </c>
      <c r="P939" s="11" t="str">
        <f t="shared" si="14"/>
        <v>负</v>
      </c>
      <c r="Q939" s="11" t="str">
        <f t="shared" si="14"/>
        <v>负</v>
      </c>
    </row>
    <row r="940" spans="4:17" customFormat="1" hidden="1" x14ac:dyDescent="0.15">
      <c r="D940" t="s">
        <v>6</v>
      </c>
      <c r="E940" s="1">
        <v>479654</v>
      </c>
      <c r="F940" s="1">
        <v>479654</v>
      </c>
      <c r="G940" s="8">
        <v>43237.000694444447</v>
      </c>
      <c r="H940" s="1" t="s">
        <v>46</v>
      </c>
      <c r="I940" s="1">
        <v>0</v>
      </c>
      <c r="J940" s="1">
        <v>1</v>
      </c>
      <c r="K940" s="1">
        <v>0</v>
      </c>
      <c r="L940" s="1" t="s">
        <v>48</v>
      </c>
      <c r="M940" s="1">
        <v>0</v>
      </c>
      <c r="N940" s="1">
        <v>1</v>
      </c>
      <c r="O940" s="1">
        <v>0</v>
      </c>
      <c r="P940" s="11" t="str">
        <f t="shared" si="14"/>
        <v>平</v>
      </c>
      <c r="Q940" s="11" t="str">
        <f t="shared" si="14"/>
        <v>平</v>
      </c>
    </row>
    <row r="941" spans="4:17" customFormat="1" hidden="1" x14ac:dyDescent="0.15">
      <c r="D941" t="s">
        <v>6</v>
      </c>
      <c r="E941" s="1">
        <v>479655</v>
      </c>
      <c r="F941" s="1">
        <v>479655</v>
      </c>
      <c r="G941" s="8">
        <v>43237</v>
      </c>
      <c r="H941" s="1" t="s">
        <v>56</v>
      </c>
      <c r="I941" s="1">
        <v>0</v>
      </c>
      <c r="J941" s="1">
        <v>1</v>
      </c>
      <c r="K941" s="1">
        <v>0</v>
      </c>
      <c r="L941" s="1" t="s">
        <v>57</v>
      </c>
      <c r="M941" s="1">
        <v>1</v>
      </c>
      <c r="N941" s="1">
        <v>3</v>
      </c>
      <c r="O941" s="1">
        <v>0</v>
      </c>
      <c r="P941" s="11" t="str">
        <f t="shared" si="14"/>
        <v>负</v>
      </c>
      <c r="Q941" s="11" t="str">
        <f t="shared" si="14"/>
        <v>负</v>
      </c>
    </row>
    <row r="942" spans="4:17" customFormat="1" hidden="1" x14ac:dyDescent="0.15">
      <c r="D942" t="s">
        <v>6</v>
      </c>
      <c r="E942" s="1">
        <v>479656</v>
      </c>
      <c r="F942" s="1">
        <v>479656</v>
      </c>
      <c r="G942" s="8">
        <v>43237</v>
      </c>
      <c r="H942" s="1" t="s">
        <v>38</v>
      </c>
      <c r="I942" s="1">
        <v>0</v>
      </c>
      <c r="J942" s="1">
        <v>2</v>
      </c>
      <c r="K942" s="1">
        <v>0</v>
      </c>
      <c r="L942" s="1" t="s">
        <v>40</v>
      </c>
      <c r="M942" s="1">
        <v>0</v>
      </c>
      <c r="N942" s="1">
        <v>0</v>
      </c>
      <c r="O942" s="1">
        <v>0</v>
      </c>
      <c r="P942" s="11" t="str">
        <f t="shared" si="14"/>
        <v>平</v>
      </c>
      <c r="Q942" s="11" t="str">
        <f t="shared" si="14"/>
        <v>胜</v>
      </c>
    </row>
    <row r="943" spans="4:17" customFormat="1" hidden="1" x14ac:dyDescent="0.15">
      <c r="D943" t="s">
        <v>6</v>
      </c>
      <c r="E943" s="1">
        <v>479657</v>
      </c>
      <c r="F943" s="1">
        <v>479657</v>
      </c>
      <c r="G943" s="8">
        <v>43236.999305555553</v>
      </c>
      <c r="H943" s="1" t="s">
        <v>54</v>
      </c>
      <c r="I943" s="1">
        <v>3</v>
      </c>
      <c r="J943" s="1">
        <v>5</v>
      </c>
      <c r="K943" s="1">
        <v>0</v>
      </c>
      <c r="L943" s="1" t="s">
        <v>52</v>
      </c>
      <c r="M943" s="1">
        <v>0</v>
      </c>
      <c r="N943" s="1">
        <v>0</v>
      </c>
      <c r="O943" s="1">
        <v>0</v>
      </c>
      <c r="P943" s="11" t="str">
        <f t="shared" si="14"/>
        <v>胜</v>
      </c>
      <c r="Q943" s="11" t="str">
        <f t="shared" si="14"/>
        <v>胜</v>
      </c>
    </row>
    <row r="944" spans="4:17" customFormat="1" hidden="1" x14ac:dyDescent="0.15">
      <c r="D944" t="s">
        <v>6</v>
      </c>
      <c r="E944" s="1">
        <v>479658</v>
      </c>
      <c r="F944" s="1">
        <v>479658</v>
      </c>
      <c r="G944" s="8">
        <v>43237</v>
      </c>
      <c r="H944" s="1" t="s">
        <v>37</v>
      </c>
      <c r="I944" s="1">
        <v>1</v>
      </c>
      <c r="J944" s="1">
        <v>3</v>
      </c>
      <c r="K944" s="1">
        <v>0</v>
      </c>
      <c r="L944" s="1" t="s">
        <v>44</v>
      </c>
      <c r="M944" s="1">
        <v>0</v>
      </c>
      <c r="N944" s="1">
        <v>0</v>
      </c>
      <c r="O944" s="1">
        <v>0</v>
      </c>
      <c r="P944" s="11" t="str">
        <f t="shared" si="14"/>
        <v>胜</v>
      </c>
      <c r="Q944" s="11" t="str">
        <f t="shared" si="14"/>
        <v>胜</v>
      </c>
    </row>
    <row r="945" spans="4:17" customFormat="1" hidden="1" x14ac:dyDescent="0.15">
      <c r="D945" t="s">
        <v>6</v>
      </c>
      <c r="E945" s="1">
        <v>479659</v>
      </c>
      <c r="F945" s="1">
        <v>479659</v>
      </c>
      <c r="G945" s="8">
        <v>43237</v>
      </c>
      <c r="H945" s="1" t="s">
        <v>41</v>
      </c>
      <c r="I945" s="1">
        <v>2</v>
      </c>
      <c r="J945" s="1">
        <v>4</v>
      </c>
      <c r="K945" s="1">
        <v>0</v>
      </c>
      <c r="L945" s="1" t="s">
        <v>36</v>
      </c>
      <c r="M945" s="1">
        <v>0</v>
      </c>
      <c r="N945" s="1">
        <v>0</v>
      </c>
      <c r="O945" s="1">
        <v>0</v>
      </c>
      <c r="P945" s="11" t="str">
        <f t="shared" si="14"/>
        <v>胜</v>
      </c>
      <c r="Q945" s="11" t="str">
        <f t="shared" si="14"/>
        <v>胜</v>
      </c>
    </row>
    <row r="946" spans="4:17" customFormat="1" hidden="1" x14ac:dyDescent="0.15">
      <c r="D946" t="s">
        <v>6</v>
      </c>
      <c r="E946" s="1">
        <v>479660</v>
      </c>
      <c r="F946" s="1">
        <v>479660</v>
      </c>
      <c r="G946" s="8">
        <v>43237</v>
      </c>
      <c r="H946" s="1" t="s">
        <v>49</v>
      </c>
      <c r="I946" s="1">
        <v>1</v>
      </c>
      <c r="J946" s="1">
        <v>1</v>
      </c>
      <c r="K946" s="1">
        <v>0</v>
      </c>
      <c r="L946" s="1" t="s">
        <v>42</v>
      </c>
      <c r="M946" s="1">
        <v>0</v>
      </c>
      <c r="N946" s="1">
        <v>0</v>
      </c>
      <c r="O946" s="1">
        <v>0</v>
      </c>
      <c r="P946" s="11" t="str">
        <f t="shared" si="14"/>
        <v>胜</v>
      </c>
      <c r="Q946" s="11" t="str">
        <f t="shared" si="14"/>
        <v>胜</v>
      </c>
    </row>
    <row r="947" spans="4:17" customFormat="1" hidden="1" x14ac:dyDescent="0.15">
      <c r="D947" t="s">
        <v>6</v>
      </c>
      <c r="E947" s="1">
        <v>481869</v>
      </c>
      <c r="F947" s="1">
        <v>481869</v>
      </c>
      <c r="G947" s="8">
        <v>43242</v>
      </c>
      <c r="H947" s="1" t="s">
        <v>48</v>
      </c>
      <c r="I947" s="1">
        <v>0</v>
      </c>
      <c r="J947" s="1">
        <v>1</v>
      </c>
      <c r="K947" s="1">
        <v>0</v>
      </c>
      <c r="L947" s="1" t="s">
        <v>37</v>
      </c>
      <c r="M947" s="1">
        <v>2</v>
      </c>
      <c r="N947" s="1">
        <v>2</v>
      </c>
      <c r="O947" s="1">
        <v>0</v>
      </c>
      <c r="P947" s="11" t="str">
        <f t="shared" si="14"/>
        <v>负</v>
      </c>
      <c r="Q947" s="11" t="str">
        <f t="shared" si="14"/>
        <v>负</v>
      </c>
    </row>
    <row r="948" spans="4:17" customFormat="1" hidden="1" x14ac:dyDescent="0.15">
      <c r="D948" t="s">
        <v>6</v>
      </c>
      <c r="E948" s="1">
        <v>481870</v>
      </c>
      <c r="F948" s="1">
        <v>481870</v>
      </c>
      <c r="G948" s="8">
        <v>43242.000694444447</v>
      </c>
      <c r="H948" s="1" t="s">
        <v>56</v>
      </c>
      <c r="I948" s="1">
        <v>3</v>
      </c>
      <c r="J948" s="1">
        <v>4</v>
      </c>
      <c r="K948" s="1">
        <v>0</v>
      </c>
      <c r="L948" s="1" t="s">
        <v>40</v>
      </c>
      <c r="M948" s="1">
        <v>0</v>
      </c>
      <c r="N948" s="1">
        <v>0</v>
      </c>
      <c r="O948" s="1">
        <v>0</v>
      </c>
      <c r="P948" s="11" t="str">
        <f t="shared" si="14"/>
        <v>胜</v>
      </c>
      <c r="Q948" s="11" t="str">
        <f t="shared" si="14"/>
        <v>胜</v>
      </c>
    </row>
    <row r="949" spans="4:17" customFormat="1" hidden="1" x14ac:dyDescent="0.15">
      <c r="D949" t="s">
        <v>6</v>
      </c>
      <c r="E949" s="1">
        <v>481871</v>
      </c>
      <c r="F949" s="1">
        <v>481871</v>
      </c>
      <c r="G949" s="8">
        <v>43242</v>
      </c>
      <c r="H949" s="1" t="s">
        <v>53</v>
      </c>
      <c r="I949" s="1">
        <v>2</v>
      </c>
      <c r="J949" s="1">
        <v>3</v>
      </c>
      <c r="K949" s="1">
        <v>0</v>
      </c>
      <c r="L949" s="1" t="s">
        <v>49</v>
      </c>
      <c r="M949" s="1">
        <v>0</v>
      </c>
      <c r="N949" s="1">
        <v>0</v>
      </c>
      <c r="O949" s="1">
        <v>0</v>
      </c>
      <c r="P949" s="11" t="str">
        <f t="shared" si="14"/>
        <v>胜</v>
      </c>
      <c r="Q949" s="11" t="str">
        <f t="shared" si="14"/>
        <v>胜</v>
      </c>
    </row>
    <row r="950" spans="4:17" customFormat="1" hidden="1" x14ac:dyDescent="0.15">
      <c r="D950" t="s">
        <v>6</v>
      </c>
      <c r="E950" s="1">
        <v>481872</v>
      </c>
      <c r="F950" s="1">
        <v>481872</v>
      </c>
      <c r="G950" s="8">
        <v>43241.998611111114</v>
      </c>
      <c r="H950" s="1" t="s">
        <v>57</v>
      </c>
      <c r="I950" s="1">
        <v>0</v>
      </c>
      <c r="J950" s="1">
        <v>3</v>
      </c>
      <c r="K950" s="1">
        <v>0</v>
      </c>
      <c r="L950" s="1" t="s">
        <v>38</v>
      </c>
      <c r="M950" s="1">
        <v>1</v>
      </c>
      <c r="N950" s="1">
        <v>1</v>
      </c>
      <c r="O950" s="1">
        <v>0</v>
      </c>
      <c r="P950" s="11" t="str">
        <f t="shared" si="14"/>
        <v>负</v>
      </c>
      <c r="Q950" s="11" t="str">
        <f t="shared" si="14"/>
        <v>胜</v>
      </c>
    </row>
    <row r="951" spans="4:17" customFormat="1" hidden="1" x14ac:dyDescent="0.15">
      <c r="D951" t="s">
        <v>6</v>
      </c>
      <c r="E951" s="1">
        <v>481873</v>
      </c>
      <c r="F951" s="1">
        <v>481873</v>
      </c>
      <c r="G951" s="8">
        <v>43242</v>
      </c>
      <c r="H951" s="1" t="s">
        <v>52</v>
      </c>
      <c r="I951" s="1">
        <v>0</v>
      </c>
      <c r="J951" s="1">
        <v>0</v>
      </c>
      <c r="K951" s="1">
        <v>0</v>
      </c>
      <c r="L951" s="1" t="s">
        <v>41</v>
      </c>
      <c r="M951" s="1">
        <v>1</v>
      </c>
      <c r="N951" s="1">
        <v>1</v>
      </c>
      <c r="O951" s="1">
        <v>0</v>
      </c>
      <c r="P951" s="11" t="str">
        <f t="shared" si="14"/>
        <v>负</v>
      </c>
      <c r="Q951" s="11" t="str">
        <f t="shared" si="14"/>
        <v>负</v>
      </c>
    </row>
    <row r="952" spans="4:17" customFormat="1" hidden="1" x14ac:dyDescent="0.15">
      <c r="D952" t="s">
        <v>6</v>
      </c>
      <c r="E952" s="1">
        <v>481874</v>
      </c>
      <c r="F952" s="1">
        <v>481874</v>
      </c>
      <c r="G952" s="8">
        <v>43242</v>
      </c>
      <c r="H952" s="1" t="s">
        <v>42</v>
      </c>
      <c r="I952" s="1">
        <v>0</v>
      </c>
      <c r="J952" s="1">
        <v>2</v>
      </c>
      <c r="K952" s="1">
        <v>0</v>
      </c>
      <c r="L952" s="1" t="s">
        <v>54</v>
      </c>
      <c r="M952" s="1">
        <v>0</v>
      </c>
      <c r="N952" s="1">
        <v>1</v>
      </c>
      <c r="O952" s="1">
        <v>0</v>
      </c>
      <c r="P952" s="11" t="str">
        <f t="shared" si="14"/>
        <v>平</v>
      </c>
      <c r="Q952" s="11" t="str">
        <f t="shared" si="14"/>
        <v>胜</v>
      </c>
    </row>
    <row r="953" spans="4:17" customFormat="1" x14ac:dyDescent="0.15">
      <c r="D953" t="s">
        <v>6</v>
      </c>
      <c r="E953" s="1">
        <v>481875</v>
      </c>
      <c r="F953" s="1">
        <v>481875</v>
      </c>
      <c r="G953" s="8">
        <v>43242</v>
      </c>
      <c r="H953" s="1" t="s">
        <v>36</v>
      </c>
      <c r="I953" s="1">
        <v>1</v>
      </c>
      <c r="J953" s="1">
        <v>1</v>
      </c>
      <c r="K953" s="1">
        <v>0</v>
      </c>
      <c r="L953" s="1" t="s">
        <v>32</v>
      </c>
      <c r="M953" s="1">
        <v>0</v>
      </c>
      <c r="N953" s="1">
        <v>0</v>
      </c>
      <c r="O953" s="1">
        <v>0</v>
      </c>
      <c r="P953" s="11" t="str">
        <f t="shared" si="14"/>
        <v>胜</v>
      </c>
      <c r="Q953" s="11" t="str">
        <f t="shared" si="14"/>
        <v>胜</v>
      </c>
    </row>
    <row r="954" spans="4:17" customFormat="1" hidden="1" x14ac:dyDescent="0.15">
      <c r="D954" t="s">
        <v>6</v>
      </c>
      <c r="E954" s="1">
        <v>481876</v>
      </c>
      <c r="F954" s="1">
        <v>481876</v>
      </c>
      <c r="G954" s="8">
        <v>43242.084027777775</v>
      </c>
      <c r="H954" s="1" t="s">
        <v>44</v>
      </c>
      <c r="I954" s="1">
        <v>1</v>
      </c>
      <c r="J954" s="1">
        <v>1</v>
      </c>
      <c r="K954" s="1">
        <v>0</v>
      </c>
      <c r="L954" s="1" t="s">
        <v>46</v>
      </c>
      <c r="M954" s="1">
        <v>0</v>
      </c>
      <c r="N954" s="1">
        <v>1</v>
      </c>
      <c r="O954" s="1">
        <v>0</v>
      </c>
      <c r="P954" s="11" t="str">
        <f t="shared" si="14"/>
        <v>胜</v>
      </c>
      <c r="Q954" s="11" t="str">
        <f t="shared" si="14"/>
        <v>平</v>
      </c>
    </row>
    <row r="955" spans="4:17" customFormat="1" hidden="1" x14ac:dyDescent="0.15">
      <c r="D955" t="s">
        <v>6</v>
      </c>
      <c r="E955" s="1">
        <v>483633</v>
      </c>
      <c r="F955" s="1">
        <v>483633</v>
      </c>
      <c r="G955" s="8">
        <v>43246.958333333336</v>
      </c>
      <c r="H955" s="1" t="s">
        <v>49</v>
      </c>
      <c r="I955" s="1">
        <v>0</v>
      </c>
      <c r="J955" s="1">
        <v>1</v>
      </c>
      <c r="K955" s="1">
        <v>0</v>
      </c>
      <c r="L955" s="1" t="s">
        <v>44</v>
      </c>
      <c r="M955" s="1">
        <v>0</v>
      </c>
      <c r="N955" s="1">
        <v>0</v>
      </c>
      <c r="O955" s="1">
        <v>0</v>
      </c>
      <c r="P955" s="11" t="str">
        <f t="shared" si="14"/>
        <v>平</v>
      </c>
      <c r="Q955" s="11" t="str">
        <f t="shared" si="14"/>
        <v>胜</v>
      </c>
    </row>
    <row r="956" spans="4:17" customFormat="1" hidden="1" x14ac:dyDescent="0.15">
      <c r="D956" t="s">
        <v>6</v>
      </c>
      <c r="E956" s="1">
        <v>484224</v>
      </c>
      <c r="F956" s="1">
        <v>484224</v>
      </c>
      <c r="G956" s="8">
        <v>43248</v>
      </c>
      <c r="H956" s="1" t="s">
        <v>40</v>
      </c>
      <c r="I956" s="1">
        <v>1</v>
      </c>
      <c r="J956" s="1">
        <v>2</v>
      </c>
      <c r="K956" s="1">
        <v>0</v>
      </c>
      <c r="L956" s="1" t="s">
        <v>52</v>
      </c>
      <c r="M956" s="1">
        <v>0</v>
      </c>
      <c r="N956" s="1">
        <v>0</v>
      </c>
      <c r="O956" s="1">
        <v>0</v>
      </c>
      <c r="P956" s="11" t="str">
        <f t="shared" si="14"/>
        <v>胜</v>
      </c>
      <c r="Q956" s="11" t="str">
        <f t="shared" si="14"/>
        <v>胜</v>
      </c>
    </row>
    <row r="957" spans="4:17" customFormat="1" hidden="1" x14ac:dyDescent="0.15">
      <c r="D957" t="s">
        <v>6</v>
      </c>
      <c r="E957" s="1">
        <v>484225</v>
      </c>
      <c r="F957" s="1">
        <v>484225</v>
      </c>
      <c r="G957" s="8">
        <v>43248</v>
      </c>
      <c r="H957" s="1" t="s">
        <v>38</v>
      </c>
      <c r="I957" s="1">
        <v>1</v>
      </c>
      <c r="J957" s="1">
        <v>3</v>
      </c>
      <c r="K957" s="1">
        <v>0</v>
      </c>
      <c r="L957" s="1" t="s">
        <v>36</v>
      </c>
      <c r="M957" s="1">
        <v>1</v>
      </c>
      <c r="N957" s="1">
        <v>1</v>
      </c>
      <c r="O957" s="1">
        <v>0</v>
      </c>
      <c r="P957" s="11" t="str">
        <f t="shared" si="14"/>
        <v>平</v>
      </c>
      <c r="Q957" s="11" t="str">
        <f t="shared" si="14"/>
        <v>胜</v>
      </c>
    </row>
    <row r="958" spans="4:17" customFormat="1" hidden="1" x14ac:dyDescent="0.15">
      <c r="D958" t="s">
        <v>6</v>
      </c>
      <c r="E958" s="1">
        <v>484226</v>
      </c>
      <c r="F958" s="1">
        <v>484226</v>
      </c>
      <c r="G958" s="8">
        <v>43248</v>
      </c>
      <c r="H958" s="1" t="s">
        <v>54</v>
      </c>
      <c r="I958" s="1">
        <v>0</v>
      </c>
      <c r="J958" s="1">
        <v>1</v>
      </c>
      <c r="K958" s="1">
        <v>0</v>
      </c>
      <c r="L958" s="1" t="s">
        <v>56</v>
      </c>
      <c r="M958" s="1">
        <v>0</v>
      </c>
      <c r="N958" s="1">
        <v>2</v>
      </c>
      <c r="O958" s="1">
        <v>0</v>
      </c>
      <c r="P958" s="11" t="str">
        <f t="shared" si="14"/>
        <v>平</v>
      </c>
      <c r="Q958" s="11" t="str">
        <f t="shared" si="14"/>
        <v>负</v>
      </c>
    </row>
    <row r="959" spans="4:17" hidden="1" x14ac:dyDescent="0.15">
      <c r="D959" s="2" t="s">
        <v>6</v>
      </c>
      <c r="E959" s="6">
        <v>484227</v>
      </c>
      <c r="F959" s="6">
        <v>484227</v>
      </c>
      <c r="G959" s="24">
        <v>43248</v>
      </c>
      <c r="H959" s="6" t="s">
        <v>32</v>
      </c>
      <c r="I959" s="6">
        <v>1</v>
      </c>
      <c r="J959" s="6">
        <v>4</v>
      </c>
      <c r="K959" s="6">
        <v>0</v>
      </c>
      <c r="L959" s="6" t="s">
        <v>57</v>
      </c>
      <c r="M959" s="6">
        <v>0</v>
      </c>
      <c r="N959" s="6">
        <v>0</v>
      </c>
      <c r="O959" s="6">
        <v>0</v>
      </c>
      <c r="P959" s="11" t="str">
        <f t="shared" si="14"/>
        <v>胜</v>
      </c>
      <c r="Q959" s="11" t="str">
        <f t="shared" si="14"/>
        <v>胜</v>
      </c>
    </row>
    <row r="960" spans="4:17" customFormat="1" hidden="1" x14ac:dyDescent="0.15">
      <c r="D960" t="s">
        <v>6</v>
      </c>
      <c r="E960" s="1">
        <v>484228</v>
      </c>
      <c r="F960" s="1">
        <v>484228</v>
      </c>
      <c r="G960" s="8">
        <v>43248.000694444447</v>
      </c>
      <c r="H960" s="1" t="s">
        <v>48</v>
      </c>
      <c r="I960" s="1">
        <v>1</v>
      </c>
      <c r="J960" s="1">
        <v>1</v>
      </c>
      <c r="K960" s="1">
        <v>0</v>
      </c>
      <c r="L960" s="1" t="s">
        <v>53</v>
      </c>
      <c r="M960" s="1">
        <v>0</v>
      </c>
      <c r="N960" s="1">
        <v>0</v>
      </c>
      <c r="O960" s="1">
        <v>0</v>
      </c>
      <c r="P960" s="11" t="str">
        <f t="shared" si="14"/>
        <v>胜</v>
      </c>
      <c r="Q960" s="11" t="str">
        <f t="shared" si="14"/>
        <v>胜</v>
      </c>
    </row>
    <row r="961" spans="4:17" customFormat="1" hidden="1" x14ac:dyDescent="0.15">
      <c r="D961" t="s">
        <v>6</v>
      </c>
      <c r="E961" s="1">
        <v>484229</v>
      </c>
      <c r="F961" s="1">
        <v>484229</v>
      </c>
      <c r="G961" s="8">
        <v>43248.083333333336</v>
      </c>
      <c r="H961" s="1" t="s">
        <v>37</v>
      </c>
      <c r="I961" s="1">
        <v>0</v>
      </c>
      <c r="J961" s="1">
        <v>1</v>
      </c>
      <c r="K961" s="1">
        <v>0</v>
      </c>
      <c r="L961" s="1" t="s">
        <v>46</v>
      </c>
      <c r="M961" s="1">
        <v>0</v>
      </c>
      <c r="N961" s="1">
        <v>2</v>
      </c>
      <c r="O961" s="1">
        <v>0</v>
      </c>
      <c r="P961" s="11" t="str">
        <f t="shared" si="14"/>
        <v>平</v>
      </c>
      <c r="Q961" s="11" t="str">
        <f t="shared" si="14"/>
        <v>负</v>
      </c>
    </row>
    <row r="962" spans="4:17" customFormat="1" hidden="1" x14ac:dyDescent="0.15">
      <c r="D962" t="s">
        <v>6</v>
      </c>
      <c r="E962" s="1">
        <v>486472</v>
      </c>
      <c r="F962" s="1">
        <v>486472</v>
      </c>
      <c r="G962" s="8">
        <v>43262.000694444447</v>
      </c>
      <c r="H962" s="1" t="s">
        <v>44</v>
      </c>
      <c r="I962" s="1">
        <v>0</v>
      </c>
      <c r="J962" s="1">
        <v>0</v>
      </c>
      <c r="K962" s="1">
        <v>0</v>
      </c>
      <c r="L962" s="1" t="s">
        <v>54</v>
      </c>
      <c r="M962" s="1">
        <v>0</v>
      </c>
      <c r="N962" s="1">
        <v>0</v>
      </c>
      <c r="O962" s="1">
        <v>0</v>
      </c>
      <c r="P962" s="11" t="str">
        <f t="shared" si="14"/>
        <v>平</v>
      </c>
      <c r="Q962" s="11" t="str">
        <f t="shared" si="14"/>
        <v>平</v>
      </c>
    </row>
    <row r="963" spans="4:17" customFormat="1" hidden="1" x14ac:dyDescent="0.15">
      <c r="D963" t="s">
        <v>6</v>
      </c>
      <c r="E963" s="1">
        <v>486476</v>
      </c>
      <c r="F963" s="1">
        <v>486476</v>
      </c>
      <c r="G963" s="8">
        <v>43262.084027777775</v>
      </c>
      <c r="H963" s="1" t="s">
        <v>46</v>
      </c>
      <c r="I963" s="1">
        <v>0</v>
      </c>
      <c r="J963" s="1">
        <v>0</v>
      </c>
      <c r="K963" s="1">
        <v>0</v>
      </c>
      <c r="L963" s="1" t="s">
        <v>49</v>
      </c>
      <c r="M963" s="1">
        <v>0</v>
      </c>
      <c r="N963" s="1">
        <v>0</v>
      </c>
      <c r="O963" s="1">
        <v>0</v>
      </c>
      <c r="P963" s="11" t="str">
        <f t="shared" si="14"/>
        <v>平</v>
      </c>
      <c r="Q963" s="11" t="str">
        <f t="shared" si="14"/>
        <v>平</v>
      </c>
    </row>
    <row r="964" spans="4:17" customFormat="1" hidden="1" x14ac:dyDescent="0.15">
      <c r="D964" t="s">
        <v>6</v>
      </c>
      <c r="E964" s="1">
        <v>486477</v>
      </c>
      <c r="F964" s="1">
        <v>486477</v>
      </c>
      <c r="G964" s="8">
        <v>43263.040972222225</v>
      </c>
      <c r="H964" s="1" t="s">
        <v>53</v>
      </c>
      <c r="I964" s="1">
        <v>1</v>
      </c>
      <c r="J964" s="1">
        <v>2</v>
      </c>
      <c r="K964" s="1">
        <v>0</v>
      </c>
      <c r="L964" s="1" t="s">
        <v>37</v>
      </c>
      <c r="M964" s="1">
        <v>0</v>
      </c>
      <c r="N964" s="1">
        <v>1</v>
      </c>
      <c r="O964" s="1">
        <v>0</v>
      </c>
      <c r="P964" s="11" t="str">
        <f t="shared" si="14"/>
        <v>胜</v>
      </c>
      <c r="Q964" s="11" t="str">
        <f t="shared" si="14"/>
        <v>胜</v>
      </c>
    </row>
    <row r="965" spans="4:17" customFormat="1" hidden="1" x14ac:dyDescent="0.15">
      <c r="D965" t="s">
        <v>6</v>
      </c>
      <c r="E965" s="1">
        <v>490575</v>
      </c>
      <c r="F965" s="1">
        <v>490575</v>
      </c>
      <c r="G965" s="8">
        <v>43275</v>
      </c>
      <c r="H965" s="1" t="s">
        <v>38</v>
      </c>
      <c r="I965" s="1">
        <v>2</v>
      </c>
      <c r="J965" s="1">
        <v>3</v>
      </c>
      <c r="K965" s="1">
        <v>0</v>
      </c>
      <c r="L965" s="1" t="s">
        <v>42</v>
      </c>
      <c r="M965" s="1">
        <v>0</v>
      </c>
      <c r="N965" s="1">
        <v>0</v>
      </c>
      <c r="O965" s="1">
        <v>0</v>
      </c>
      <c r="P965" s="11" t="str">
        <f t="shared" si="14"/>
        <v>胜</v>
      </c>
      <c r="Q965" s="11" t="str">
        <f t="shared" si="14"/>
        <v>胜</v>
      </c>
    </row>
    <row r="966" spans="4:17" hidden="1" x14ac:dyDescent="0.15">
      <c r="D966" s="2" t="s">
        <v>6</v>
      </c>
      <c r="E966" s="6">
        <v>490576</v>
      </c>
      <c r="F966" s="6">
        <v>490576</v>
      </c>
      <c r="G966" s="24">
        <v>43276</v>
      </c>
      <c r="H966" s="6" t="s">
        <v>32</v>
      </c>
      <c r="I966" s="6">
        <v>1</v>
      </c>
      <c r="J966" s="6">
        <v>1</v>
      </c>
      <c r="K966" s="6">
        <v>0</v>
      </c>
      <c r="L966" s="6" t="s">
        <v>52</v>
      </c>
      <c r="M966" s="6">
        <v>1</v>
      </c>
      <c r="N966" s="6">
        <v>1</v>
      </c>
      <c r="O966" s="6">
        <v>0</v>
      </c>
      <c r="P966" s="11" t="str">
        <f t="shared" si="14"/>
        <v>平</v>
      </c>
      <c r="Q966" s="11" t="str">
        <f t="shared" si="14"/>
        <v>平</v>
      </c>
    </row>
    <row r="967" spans="4:17" customFormat="1" hidden="1" x14ac:dyDescent="0.15">
      <c r="D967" t="s">
        <v>6</v>
      </c>
      <c r="E967" s="1">
        <v>490577</v>
      </c>
      <c r="F967" s="1">
        <v>490577</v>
      </c>
      <c r="G967" s="8">
        <v>43276.000694444447</v>
      </c>
      <c r="H967" s="1" t="s">
        <v>48</v>
      </c>
      <c r="I967" s="1">
        <v>1</v>
      </c>
      <c r="J967" s="1">
        <v>2</v>
      </c>
      <c r="K967" s="1">
        <v>0</v>
      </c>
      <c r="L967" s="1" t="s">
        <v>44</v>
      </c>
      <c r="M967" s="1">
        <v>1</v>
      </c>
      <c r="N967" s="1">
        <v>2</v>
      </c>
      <c r="O967" s="1">
        <v>0</v>
      </c>
      <c r="P967" s="11" t="str">
        <f t="shared" si="14"/>
        <v>平</v>
      </c>
      <c r="Q967" s="11" t="str">
        <f t="shared" si="14"/>
        <v>平</v>
      </c>
    </row>
    <row r="968" spans="4:17" customFormat="1" x14ac:dyDescent="0.15">
      <c r="D968" t="s">
        <v>6</v>
      </c>
      <c r="E968" s="1">
        <v>490578</v>
      </c>
      <c r="F968" s="1">
        <v>490578</v>
      </c>
      <c r="G968" s="8">
        <v>43276.000694444447</v>
      </c>
      <c r="H968" s="1" t="s">
        <v>36</v>
      </c>
      <c r="I968" s="1">
        <v>0</v>
      </c>
      <c r="J968" s="1">
        <v>2</v>
      </c>
      <c r="K968" s="1">
        <v>0</v>
      </c>
      <c r="L968" s="1" t="s">
        <v>56</v>
      </c>
      <c r="M968" s="1">
        <v>0</v>
      </c>
      <c r="N968" s="1">
        <v>0</v>
      </c>
      <c r="O968" s="1">
        <v>0</v>
      </c>
      <c r="P968" s="11" t="str">
        <f t="shared" si="14"/>
        <v>平</v>
      </c>
      <c r="Q968" s="11" t="str">
        <f t="shared" si="14"/>
        <v>胜</v>
      </c>
    </row>
    <row r="969" spans="4:17" customFormat="1" hidden="1" x14ac:dyDescent="0.15">
      <c r="D969" t="s">
        <v>6</v>
      </c>
      <c r="E969" s="1">
        <v>490579</v>
      </c>
      <c r="F969" s="1">
        <v>490579</v>
      </c>
      <c r="G969" s="8">
        <v>43276</v>
      </c>
      <c r="H969" s="1" t="s">
        <v>41</v>
      </c>
      <c r="I969" s="1">
        <v>1</v>
      </c>
      <c r="J969" s="1">
        <v>2</v>
      </c>
      <c r="K969" s="1">
        <v>0</v>
      </c>
      <c r="L969" s="1" t="s">
        <v>53</v>
      </c>
      <c r="M969" s="1">
        <v>0</v>
      </c>
      <c r="N969" s="1">
        <v>3</v>
      </c>
      <c r="O969" s="1">
        <v>0</v>
      </c>
      <c r="P969" s="11" t="str">
        <f t="shared" si="14"/>
        <v>胜</v>
      </c>
      <c r="Q969" s="11" t="str">
        <f t="shared" si="14"/>
        <v>负</v>
      </c>
    </row>
    <row r="970" spans="4:17" customFormat="1" hidden="1" x14ac:dyDescent="0.15">
      <c r="D970" t="s">
        <v>6</v>
      </c>
      <c r="E970" s="1">
        <v>490580</v>
      </c>
      <c r="F970" s="1">
        <v>490580</v>
      </c>
      <c r="G970" s="8">
        <v>43276</v>
      </c>
      <c r="H970" s="1" t="s">
        <v>40</v>
      </c>
      <c r="I970" s="1">
        <v>2</v>
      </c>
      <c r="J970" s="1">
        <v>3</v>
      </c>
      <c r="K970" s="1">
        <v>0</v>
      </c>
      <c r="L970" s="1" t="s">
        <v>57</v>
      </c>
      <c r="M970" s="1">
        <v>0</v>
      </c>
      <c r="N970" s="1">
        <v>0</v>
      </c>
      <c r="O970" s="1">
        <v>0</v>
      </c>
      <c r="P970" s="11" t="str">
        <f t="shared" si="14"/>
        <v>胜</v>
      </c>
      <c r="Q970" s="11" t="str">
        <f t="shared" si="14"/>
        <v>胜</v>
      </c>
    </row>
    <row r="971" spans="4:17" customFormat="1" hidden="1" x14ac:dyDescent="0.15">
      <c r="D971" t="s">
        <v>6</v>
      </c>
      <c r="E971" s="1">
        <v>490581</v>
      </c>
      <c r="F971" s="1">
        <v>490581</v>
      </c>
      <c r="G971" s="8">
        <v>43276.083333333336</v>
      </c>
      <c r="H971" s="1" t="s">
        <v>37</v>
      </c>
      <c r="I971" s="1">
        <v>2</v>
      </c>
      <c r="J971" s="1">
        <v>3</v>
      </c>
      <c r="K971" s="1">
        <v>0</v>
      </c>
      <c r="L971" s="1" t="s">
        <v>49</v>
      </c>
      <c r="M971" s="1">
        <v>0</v>
      </c>
      <c r="N971" s="1">
        <v>0</v>
      </c>
      <c r="O971" s="1">
        <v>0</v>
      </c>
      <c r="P971" s="11" t="str">
        <f t="shared" si="14"/>
        <v>胜</v>
      </c>
      <c r="Q971" s="11" t="str">
        <f t="shared" si="14"/>
        <v>胜</v>
      </c>
    </row>
    <row r="972" spans="4:17" customFormat="1" hidden="1" x14ac:dyDescent="0.15">
      <c r="D972" t="s">
        <v>6</v>
      </c>
      <c r="E972" s="1">
        <v>490582</v>
      </c>
      <c r="F972" s="1">
        <v>490582</v>
      </c>
      <c r="G972" s="8">
        <v>43277.041666666664</v>
      </c>
      <c r="H972" s="1" t="s">
        <v>54</v>
      </c>
      <c r="I972" s="1">
        <v>0</v>
      </c>
      <c r="J972" s="1">
        <v>0</v>
      </c>
      <c r="K972" s="1">
        <v>0</v>
      </c>
      <c r="L972" s="1" t="s">
        <v>46</v>
      </c>
      <c r="M972" s="1">
        <v>0</v>
      </c>
      <c r="N972" s="1">
        <v>1</v>
      </c>
      <c r="O972" s="1">
        <v>0</v>
      </c>
      <c r="P972" s="11" t="str">
        <f t="shared" si="14"/>
        <v>平</v>
      </c>
      <c r="Q972" s="11" t="str">
        <f t="shared" si="14"/>
        <v>负</v>
      </c>
    </row>
    <row r="973" spans="4:17" customFormat="1" hidden="1" x14ac:dyDescent="0.15">
      <c r="D973" t="s">
        <v>6</v>
      </c>
      <c r="E973" s="1">
        <v>493536</v>
      </c>
      <c r="F973" s="1">
        <v>493536</v>
      </c>
      <c r="G973" s="8">
        <v>43282</v>
      </c>
      <c r="H973" s="1" t="s">
        <v>49</v>
      </c>
      <c r="I973" s="1">
        <v>1</v>
      </c>
      <c r="J973" s="1">
        <v>2</v>
      </c>
      <c r="K973" s="1">
        <v>0</v>
      </c>
      <c r="L973" s="1" t="s">
        <v>32</v>
      </c>
      <c r="M973" s="1">
        <v>1</v>
      </c>
      <c r="N973" s="1">
        <v>2</v>
      </c>
      <c r="O973" s="1">
        <v>0</v>
      </c>
      <c r="P973" s="11" t="str">
        <f t="shared" ref="P973:Q981" si="15">IF(I973=M973,"平",IF(I973&gt;M973,"胜","负"))</f>
        <v>平</v>
      </c>
      <c r="Q973" s="11" t="str">
        <f t="shared" si="15"/>
        <v>平</v>
      </c>
    </row>
    <row r="974" spans="4:17" customFormat="1" hidden="1" x14ac:dyDescent="0.15">
      <c r="D974" t="s">
        <v>6</v>
      </c>
      <c r="E974" s="1">
        <v>493688</v>
      </c>
      <c r="F974" s="1">
        <v>493688</v>
      </c>
      <c r="G974" s="8">
        <v>43283.000694444447</v>
      </c>
      <c r="H974" s="1" t="s">
        <v>56</v>
      </c>
      <c r="I974" s="1">
        <v>1</v>
      </c>
      <c r="J974" s="1">
        <v>1</v>
      </c>
      <c r="K974" s="1">
        <v>0</v>
      </c>
      <c r="L974" s="1" t="s">
        <v>41</v>
      </c>
      <c r="M974" s="1">
        <v>0</v>
      </c>
      <c r="N974" s="1">
        <v>1</v>
      </c>
      <c r="O974" s="1">
        <v>0</v>
      </c>
      <c r="P974" s="11" t="str">
        <f t="shared" si="15"/>
        <v>胜</v>
      </c>
      <c r="Q974" s="11" t="str">
        <f t="shared" si="15"/>
        <v>平</v>
      </c>
    </row>
    <row r="975" spans="4:17" customFormat="1" hidden="1" x14ac:dyDescent="0.15">
      <c r="D975" t="s">
        <v>6</v>
      </c>
      <c r="E975" s="1">
        <v>493689</v>
      </c>
      <c r="F975" s="1">
        <v>493689</v>
      </c>
      <c r="G975" s="8">
        <v>43283.000694444447</v>
      </c>
      <c r="H975" s="1" t="s">
        <v>53</v>
      </c>
      <c r="I975" s="1">
        <v>1</v>
      </c>
      <c r="J975" s="1">
        <v>2</v>
      </c>
      <c r="K975" s="1">
        <v>0</v>
      </c>
      <c r="L975" s="1" t="s">
        <v>54</v>
      </c>
      <c r="M975" s="1">
        <v>1</v>
      </c>
      <c r="N975" s="1">
        <v>1</v>
      </c>
      <c r="O975" s="1">
        <v>0</v>
      </c>
      <c r="P975" s="11" t="str">
        <f t="shared" si="15"/>
        <v>平</v>
      </c>
      <c r="Q975" s="11" t="str">
        <f t="shared" si="15"/>
        <v>胜</v>
      </c>
    </row>
    <row r="976" spans="4:17" customFormat="1" hidden="1" x14ac:dyDescent="0.15">
      <c r="D976" t="s">
        <v>6</v>
      </c>
      <c r="E976" s="1">
        <v>493690</v>
      </c>
      <c r="F976" s="1">
        <v>493690</v>
      </c>
      <c r="G976" s="8">
        <v>43283</v>
      </c>
      <c r="H976" s="1" t="s">
        <v>57</v>
      </c>
      <c r="I976" s="1">
        <v>1</v>
      </c>
      <c r="J976" s="1">
        <v>2</v>
      </c>
      <c r="K976" s="1">
        <v>0</v>
      </c>
      <c r="L976" s="1" t="s">
        <v>36</v>
      </c>
      <c r="M976" s="1">
        <v>0</v>
      </c>
      <c r="N976" s="1">
        <v>0</v>
      </c>
      <c r="O976" s="1">
        <v>0</v>
      </c>
      <c r="P976" s="11" t="str">
        <f t="shared" si="15"/>
        <v>胜</v>
      </c>
      <c r="Q976" s="11" t="str">
        <f t="shared" si="15"/>
        <v>胜</v>
      </c>
    </row>
    <row r="977" spans="4:17" customFormat="1" hidden="1" x14ac:dyDescent="0.15">
      <c r="D977" t="s">
        <v>6</v>
      </c>
      <c r="E977" s="1">
        <v>493691</v>
      </c>
      <c r="F977" s="1">
        <v>493691</v>
      </c>
      <c r="G977" s="8">
        <v>43283</v>
      </c>
      <c r="H977" s="1" t="s">
        <v>52</v>
      </c>
      <c r="I977" s="1">
        <v>0</v>
      </c>
      <c r="J977" s="1">
        <v>0</v>
      </c>
      <c r="K977" s="1">
        <v>0</v>
      </c>
      <c r="L977" s="1" t="s">
        <v>37</v>
      </c>
      <c r="M977" s="1">
        <v>0</v>
      </c>
      <c r="N977" s="1">
        <v>1</v>
      </c>
      <c r="O977" s="1">
        <v>0</v>
      </c>
      <c r="P977" s="11" t="str">
        <f t="shared" si="15"/>
        <v>平</v>
      </c>
      <c r="Q977" s="11" t="str">
        <f t="shared" si="15"/>
        <v>负</v>
      </c>
    </row>
    <row r="978" spans="4:17" customFormat="1" hidden="1" x14ac:dyDescent="0.15">
      <c r="D978" t="s">
        <v>6</v>
      </c>
      <c r="E978" s="1">
        <v>493692</v>
      </c>
      <c r="F978" s="1">
        <v>493692</v>
      </c>
      <c r="G978" s="8">
        <v>43283.002083333333</v>
      </c>
      <c r="H978" s="1" t="s">
        <v>46</v>
      </c>
      <c r="I978" s="1">
        <v>0</v>
      </c>
      <c r="J978" s="1">
        <v>0</v>
      </c>
      <c r="K978" s="1">
        <v>0</v>
      </c>
      <c r="L978" s="1" t="s">
        <v>38</v>
      </c>
      <c r="M978" s="1">
        <v>4</v>
      </c>
      <c r="N978" s="1">
        <v>4</v>
      </c>
      <c r="O978" s="1">
        <v>0</v>
      </c>
      <c r="P978" s="11" t="str">
        <f t="shared" si="15"/>
        <v>负</v>
      </c>
      <c r="Q978" s="11" t="str">
        <f t="shared" si="15"/>
        <v>负</v>
      </c>
    </row>
    <row r="979" spans="4:17" customFormat="1" hidden="1" x14ac:dyDescent="0.15">
      <c r="D979" t="s">
        <v>6</v>
      </c>
      <c r="E979" s="1">
        <v>493693</v>
      </c>
      <c r="F979" s="1">
        <v>493693</v>
      </c>
      <c r="G979" s="8">
        <v>43283.083333333336</v>
      </c>
      <c r="H979" s="1" t="s">
        <v>42</v>
      </c>
      <c r="I979" s="1">
        <v>1</v>
      </c>
      <c r="J979" s="1">
        <v>2</v>
      </c>
      <c r="K979" s="1">
        <v>0</v>
      </c>
      <c r="L979" s="1" t="s">
        <v>48</v>
      </c>
      <c r="M979" s="1">
        <v>0</v>
      </c>
      <c r="N979" s="1">
        <v>1</v>
      </c>
      <c r="O979" s="1">
        <v>0</v>
      </c>
      <c r="P979" s="11" t="str">
        <f t="shared" si="15"/>
        <v>胜</v>
      </c>
      <c r="Q979" s="11" t="str">
        <f t="shared" si="15"/>
        <v>胜</v>
      </c>
    </row>
    <row r="980" spans="4:17" customFormat="1" hidden="1" x14ac:dyDescent="0.15">
      <c r="D980" t="s">
        <v>6</v>
      </c>
      <c r="E980" s="1">
        <v>493786</v>
      </c>
      <c r="F980" s="1">
        <v>493786</v>
      </c>
      <c r="G980" s="8">
        <v>43284.001388888886</v>
      </c>
      <c r="H980" s="1" t="s">
        <v>44</v>
      </c>
      <c r="I980" s="1">
        <v>0</v>
      </c>
      <c r="J980" s="1">
        <v>1</v>
      </c>
      <c r="K980" s="1">
        <v>0</v>
      </c>
      <c r="L980" s="1" t="s">
        <v>40</v>
      </c>
      <c r="M980" s="1">
        <v>1</v>
      </c>
      <c r="N980" s="1">
        <v>1</v>
      </c>
      <c r="O980" s="1">
        <v>0</v>
      </c>
      <c r="P980" s="11" t="str">
        <f t="shared" si="15"/>
        <v>负</v>
      </c>
      <c r="Q980" s="11" t="str">
        <f t="shared" si="15"/>
        <v>平</v>
      </c>
    </row>
    <row r="981" spans="4:17" customFormat="1" hidden="1" x14ac:dyDescent="0.15">
      <c r="D981" t="s">
        <v>6</v>
      </c>
      <c r="E981" s="1">
        <v>495195</v>
      </c>
      <c r="F981" s="1">
        <v>495195</v>
      </c>
      <c r="G981" s="8">
        <v>43289</v>
      </c>
      <c r="H981" s="1" t="s">
        <v>37</v>
      </c>
      <c r="I981" s="1">
        <v>1</v>
      </c>
      <c r="J981" s="1">
        <v>2</v>
      </c>
      <c r="K981" s="1">
        <v>0</v>
      </c>
      <c r="L981" s="1" t="s">
        <v>53</v>
      </c>
      <c r="M981" s="1">
        <v>0</v>
      </c>
      <c r="N981" s="1">
        <v>1</v>
      </c>
      <c r="O981" s="1">
        <v>0</v>
      </c>
      <c r="P981" s="11" t="str">
        <f t="shared" si="15"/>
        <v>胜</v>
      </c>
      <c r="Q981" s="11" t="str">
        <f t="shared" si="15"/>
        <v>胜</v>
      </c>
    </row>
    <row r="982" spans="4:17" x14ac:dyDescent="0.15"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7"/>
      <c r="Q982" s="7"/>
    </row>
    <row r="983" spans="4:17" x14ac:dyDescent="0.15"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7"/>
      <c r="Q983" s="7"/>
    </row>
    <row r="984" spans="4:17" x14ac:dyDescent="0.15"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7"/>
      <c r="Q984" s="7"/>
    </row>
    <row r="985" spans="4:17" x14ac:dyDescent="0.15"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7"/>
      <c r="Q985" s="7"/>
    </row>
    <row r="986" spans="4:17" x14ac:dyDescent="0.15"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7"/>
      <c r="Q986" s="7"/>
    </row>
    <row r="987" spans="4:17" x14ac:dyDescent="0.15"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7"/>
      <c r="Q987" s="7"/>
    </row>
    <row r="988" spans="4:17" x14ac:dyDescent="0.15"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7"/>
      <c r="Q988" s="7"/>
    </row>
    <row r="989" spans="4:17" x14ac:dyDescent="0.15"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7"/>
      <c r="Q989" s="7"/>
    </row>
    <row r="990" spans="4:17" x14ac:dyDescent="0.15"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7"/>
      <c r="Q990" s="7"/>
    </row>
    <row r="991" spans="4:17" x14ac:dyDescent="0.15"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7"/>
      <c r="Q991" s="7"/>
    </row>
  </sheetData>
  <autoFilter ref="D11:O981">
    <filterColumn colId="4">
      <filters>
        <filter val="史達"/>
      </filters>
    </filterColumn>
  </autoFilter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Q24"/>
  <sheetViews>
    <sheetView workbookViewId="0">
      <selection activeCell="Q13" sqref="Q13"/>
    </sheetView>
  </sheetViews>
  <sheetFormatPr defaultRowHeight="13.5" x14ac:dyDescent="0.15"/>
  <cols>
    <col min="1" max="3" width="9" style="5"/>
    <col min="4" max="4" width="11.625" style="5" bestFit="1" customWidth="1"/>
    <col min="5" max="5" width="9" style="5"/>
    <col min="6" max="8" width="5.25" style="5" bestFit="1" customWidth="1"/>
    <col min="9" max="10" width="6.5" style="5" bestFit="1" customWidth="1"/>
    <col min="11" max="11" width="5.5" style="5" bestFit="1" customWidth="1"/>
    <col min="12" max="12" width="18.5" style="5" bestFit="1" customWidth="1"/>
    <col min="13" max="13" width="10.125" style="5" bestFit="1" customWidth="1"/>
    <col min="14" max="14" width="6.5" style="5" bestFit="1" customWidth="1"/>
    <col min="15" max="15" width="5.25" style="5" bestFit="1" customWidth="1"/>
    <col min="16" max="16384" width="9" style="5"/>
  </cols>
  <sheetData>
    <row r="1" spans="3:17" s="13" customFormat="1" ht="27" x14ac:dyDescent="0.15">
      <c r="H1" s="27" t="s">
        <v>1773</v>
      </c>
      <c r="I1" s="27" t="s">
        <v>1777</v>
      </c>
      <c r="J1" s="27" t="s">
        <v>1779</v>
      </c>
      <c r="K1" s="27" t="s">
        <v>1783</v>
      </c>
      <c r="L1" s="28" t="s">
        <v>4</v>
      </c>
      <c r="M1" s="28" t="s">
        <v>1777</v>
      </c>
      <c r="N1" s="28" t="s">
        <v>1779</v>
      </c>
      <c r="O1" s="28" t="s">
        <v>1783</v>
      </c>
      <c r="P1" s="20"/>
      <c r="Q1" s="20"/>
    </row>
    <row r="2" spans="3:17" s="13" customFormat="1" ht="40.5" x14ac:dyDescent="0.15">
      <c r="H2" s="29" t="s">
        <v>32</v>
      </c>
      <c r="I2" s="30">
        <v>29</v>
      </c>
      <c r="J2" s="30">
        <v>75</v>
      </c>
      <c r="K2" s="30">
        <v>45</v>
      </c>
      <c r="L2" s="29" t="s">
        <v>46</v>
      </c>
      <c r="M2" s="30">
        <v>21</v>
      </c>
      <c r="N2" s="30">
        <v>67</v>
      </c>
      <c r="O2" s="30">
        <v>46</v>
      </c>
      <c r="P2" s="20"/>
      <c r="Q2" s="20"/>
    </row>
    <row r="3" spans="3:17" s="13" customFormat="1" x14ac:dyDescent="0.15">
      <c r="H3" s="27"/>
      <c r="I3" s="27" t="s">
        <v>1786</v>
      </c>
      <c r="J3" s="27" t="s">
        <v>1786</v>
      </c>
      <c r="K3" s="27"/>
      <c r="L3" s="28"/>
      <c r="M3" s="28" t="s">
        <v>1786</v>
      </c>
      <c r="N3" s="28" t="s">
        <v>1786</v>
      </c>
      <c r="O3" s="28"/>
      <c r="P3" s="20"/>
      <c r="Q3" s="20"/>
    </row>
    <row r="4" spans="3:17" s="25" customFormat="1" x14ac:dyDescent="0.15">
      <c r="H4" s="31"/>
      <c r="I4" s="31">
        <v>0.64444444444444449</v>
      </c>
      <c r="J4" s="31">
        <v>1.6666666666666667</v>
      </c>
      <c r="K4" s="31"/>
      <c r="L4" s="31"/>
      <c r="M4" s="31">
        <v>0.45652173913043476</v>
      </c>
      <c r="N4" s="31">
        <v>1.4565217391304348</v>
      </c>
      <c r="O4" s="31"/>
      <c r="P4" s="26"/>
      <c r="Q4" s="26"/>
    </row>
    <row r="5" spans="3:17" s="13" customFormat="1" ht="54" x14ac:dyDescent="0.15">
      <c r="H5" s="27"/>
      <c r="I5" s="27" t="s">
        <v>1790</v>
      </c>
      <c r="J5" s="27"/>
      <c r="K5" s="27"/>
      <c r="L5" s="28"/>
      <c r="M5" s="28" t="s">
        <v>1790</v>
      </c>
      <c r="N5" s="28"/>
      <c r="O5" s="28"/>
      <c r="P5" s="20"/>
      <c r="Q5" s="20"/>
    </row>
    <row r="6" spans="3:17" s="13" customFormat="1" x14ac:dyDescent="0.15">
      <c r="H6" s="30"/>
      <c r="I6" s="30">
        <v>21</v>
      </c>
      <c r="J6" s="30"/>
      <c r="K6" s="30"/>
      <c r="L6" s="30"/>
      <c r="M6" s="30">
        <v>19</v>
      </c>
      <c r="N6" s="30"/>
      <c r="O6" s="30"/>
      <c r="P6" s="20"/>
      <c r="Q6" s="20"/>
    </row>
    <row r="7" spans="3:17" s="13" customFormat="1" ht="54" x14ac:dyDescent="0.15">
      <c r="H7" s="27"/>
      <c r="I7" s="27" t="s">
        <v>1792</v>
      </c>
      <c r="J7" s="27"/>
      <c r="K7" s="27"/>
      <c r="L7" s="28"/>
      <c r="M7" s="28" t="s">
        <v>1792</v>
      </c>
      <c r="N7" s="28"/>
      <c r="O7" s="28"/>
      <c r="P7" s="20"/>
      <c r="Q7" s="20"/>
    </row>
    <row r="8" spans="3:17" s="32" customFormat="1" x14ac:dyDescent="0.15">
      <c r="H8" s="33"/>
      <c r="I8" s="33">
        <v>26</v>
      </c>
      <c r="J8" s="33"/>
      <c r="K8" s="33"/>
      <c r="L8" s="33"/>
      <c r="M8" s="33">
        <v>28</v>
      </c>
      <c r="N8" s="33"/>
      <c r="O8" s="33"/>
    </row>
    <row r="10" spans="3:17" x14ac:dyDescent="0.15">
      <c r="Q10" s="4" t="s">
        <v>1834</v>
      </c>
    </row>
    <row r="11" spans="3:17" x14ac:dyDescent="0.15">
      <c r="Q11" s="4" t="s">
        <v>1835</v>
      </c>
    </row>
    <row r="12" spans="3:17" x14ac:dyDescent="0.15">
      <c r="Q12" s="5" t="s">
        <v>1836</v>
      </c>
    </row>
    <row r="14" spans="3:17" x14ac:dyDescent="0.15">
      <c r="C14" s="34" t="s">
        <v>0</v>
      </c>
      <c r="D14" s="34" t="s">
        <v>1</v>
      </c>
      <c r="E14" s="34" t="s">
        <v>2</v>
      </c>
      <c r="F14" s="34" t="s">
        <v>3</v>
      </c>
      <c r="G14" s="34" t="s">
        <v>4</v>
      </c>
      <c r="H14" s="34" t="s">
        <v>5</v>
      </c>
      <c r="I14" s="34"/>
      <c r="J14" s="34"/>
      <c r="K14" s="34"/>
      <c r="L14" s="34" t="s">
        <v>1796</v>
      </c>
      <c r="M14" s="34"/>
      <c r="N14" s="34"/>
      <c r="O14" s="34" t="s">
        <v>1797</v>
      </c>
    </row>
    <row r="15" spans="3:17" x14ac:dyDescent="0.15">
      <c r="C15" s="7" t="s">
        <v>6</v>
      </c>
      <c r="D15" s="7" t="s">
        <v>1809</v>
      </c>
      <c r="E15" s="7" t="s">
        <v>7</v>
      </c>
      <c r="F15" s="7" t="s">
        <v>1810</v>
      </c>
      <c r="G15" s="7" t="s">
        <v>46</v>
      </c>
      <c r="H15" s="7" t="s">
        <v>8</v>
      </c>
      <c r="I15" s="7" t="s">
        <v>1811</v>
      </c>
      <c r="J15" s="7" t="s">
        <v>1812</v>
      </c>
      <c r="K15" s="7" t="s">
        <v>1813</v>
      </c>
      <c r="L15" s="7" t="s">
        <v>1814</v>
      </c>
      <c r="M15" s="7" t="s">
        <v>1798</v>
      </c>
      <c r="N15" s="7" t="s">
        <v>1815</v>
      </c>
      <c r="O15" s="7" t="s">
        <v>1799</v>
      </c>
    </row>
    <row r="16" spans="3:17" x14ac:dyDescent="0.15">
      <c r="C16" s="7" t="s">
        <v>6</v>
      </c>
      <c r="D16" s="7" t="s">
        <v>1816</v>
      </c>
      <c r="E16" s="7" t="s">
        <v>7</v>
      </c>
      <c r="F16" s="7" t="s">
        <v>1817</v>
      </c>
      <c r="G16" s="7" t="s">
        <v>46</v>
      </c>
      <c r="H16" s="7" t="s">
        <v>1800</v>
      </c>
      <c r="I16" s="7" t="s">
        <v>1818</v>
      </c>
      <c r="J16" s="7" t="s">
        <v>1819</v>
      </c>
      <c r="K16" s="7" t="s">
        <v>1820</v>
      </c>
      <c r="L16" s="7" t="s">
        <v>1821</v>
      </c>
      <c r="M16" s="7" t="s">
        <v>1801</v>
      </c>
      <c r="N16" s="7" t="s">
        <v>1822</v>
      </c>
      <c r="O16" s="7" t="s">
        <v>1802</v>
      </c>
    </row>
    <row r="17" spans="3:15" x14ac:dyDescent="0.15">
      <c r="C17" s="7" t="s">
        <v>6</v>
      </c>
      <c r="D17" s="7" t="s">
        <v>1823</v>
      </c>
      <c r="E17" s="7" t="s">
        <v>7</v>
      </c>
      <c r="F17" s="7" t="s">
        <v>1803</v>
      </c>
      <c r="G17" s="7" t="s">
        <v>46</v>
      </c>
      <c r="H17" s="7" t="s">
        <v>1804</v>
      </c>
      <c r="I17" s="7" t="s">
        <v>1805</v>
      </c>
      <c r="J17" s="7" t="s">
        <v>1805</v>
      </c>
      <c r="K17" s="7" t="s">
        <v>1805</v>
      </c>
      <c r="L17" s="7" t="s">
        <v>1805</v>
      </c>
      <c r="M17" s="7" t="s">
        <v>1805</v>
      </c>
      <c r="N17" s="7" t="s">
        <v>1805</v>
      </c>
      <c r="O17" s="7" t="s">
        <v>1805</v>
      </c>
    </row>
    <row r="18" spans="3:15" x14ac:dyDescent="0.15">
      <c r="C18" s="7" t="s">
        <v>6</v>
      </c>
      <c r="D18" s="7" t="s">
        <v>1824</v>
      </c>
      <c r="E18" s="7" t="s">
        <v>7</v>
      </c>
      <c r="F18" s="7" t="s">
        <v>1825</v>
      </c>
      <c r="G18" s="7" t="s">
        <v>46</v>
      </c>
      <c r="H18" s="7" t="s">
        <v>8</v>
      </c>
      <c r="I18" s="7" t="s">
        <v>1805</v>
      </c>
      <c r="J18" s="7" t="s">
        <v>1805</v>
      </c>
      <c r="K18" s="7" t="s">
        <v>1805</v>
      </c>
      <c r="L18" s="7" t="s">
        <v>1805</v>
      </c>
      <c r="M18" s="7" t="s">
        <v>1805</v>
      </c>
      <c r="N18" s="7" t="s">
        <v>1805</v>
      </c>
      <c r="O18" s="7" t="s">
        <v>1805</v>
      </c>
    </row>
    <row r="19" spans="3:15" x14ac:dyDescent="0.15">
      <c r="C19" s="7" t="s">
        <v>6</v>
      </c>
      <c r="D19" s="7" t="s">
        <v>1826</v>
      </c>
      <c r="E19" s="7" t="s">
        <v>7</v>
      </c>
      <c r="F19" s="7" t="s">
        <v>1817</v>
      </c>
      <c r="G19" s="7" t="s">
        <v>46</v>
      </c>
      <c r="H19" s="7" t="s">
        <v>1806</v>
      </c>
      <c r="I19" s="7" t="s">
        <v>1805</v>
      </c>
      <c r="J19" s="7" t="s">
        <v>1805</v>
      </c>
      <c r="K19" s="7" t="s">
        <v>1805</v>
      </c>
      <c r="L19" s="7" t="s">
        <v>1805</v>
      </c>
      <c r="M19" s="7" t="s">
        <v>1805</v>
      </c>
      <c r="N19" s="7" t="s">
        <v>1805</v>
      </c>
      <c r="O19" s="7" t="s">
        <v>1805</v>
      </c>
    </row>
    <row r="20" spans="3:15" x14ac:dyDescent="0.15">
      <c r="C20" s="7" t="s">
        <v>6</v>
      </c>
      <c r="D20" s="7" t="s">
        <v>1827</v>
      </c>
      <c r="E20" s="7" t="s">
        <v>7</v>
      </c>
      <c r="F20" s="7" t="s">
        <v>8</v>
      </c>
      <c r="G20" s="7" t="s">
        <v>46</v>
      </c>
      <c r="H20" s="7" t="s">
        <v>1807</v>
      </c>
      <c r="I20" s="7" t="s">
        <v>1805</v>
      </c>
      <c r="J20" s="7" t="s">
        <v>1805</v>
      </c>
      <c r="K20" s="7" t="s">
        <v>1805</v>
      </c>
      <c r="L20" s="7" t="s">
        <v>1805</v>
      </c>
      <c r="M20" s="7" t="s">
        <v>1805</v>
      </c>
      <c r="N20" s="7" t="s">
        <v>1805</v>
      </c>
      <c r="O20" s="7" t="s">
        <v>1805</v>
      </c>
    </row>
    <row r="21" spans="3:15" x14ac:dyDescent="0.15">
      <c r="C21" s="7" t="s">
        <v>6</v>
      </c>
      <c r="D21" s="7" t="s">
        <v>1828</v>
      </c>
      <c r="E21" s="7" t="s">
        <v>7</v>
      </c>
      <c r="F21" s="7" t="s">
        <v>1808</v>
      </c>
      <c r="G21" s="7" t="s">
        <v>46</v>
      </c>
      <c r="H21" s="7" t="s">
        <v>1806</v>
      </c>
      <c r="I21" s="7" t="s">
        <v>1805</v>
      </c>
      <c r="J21" s="7" t="s">
        <v>1805</v>
      </c>
      <c r="K21" s="7" t="s">
        <v>1805</v>
      </c>
      <c r="L21" s="7" t="s">
        <v>1805</v>
      </c>
      <c r="M21" s="7" t="s">
        <v>1805</v>
      </c>
      <c r="N21" s="7" t="s">
        <v>1805</v>
      </c>
      <c r="O21" s="7" t="s">
        <v>1805</v>
      </c>
    </row>
    <row r="22" spans="3:15" x14ac:dyDescent="0.15">
      <c r="C22" s="7" t="s">
        <v>6</v>
      </c>
      <c r="D22" s="7" t="s">
        <v>1829</v>
      </c>
      <c r="E22" s="7" t="s">
        <v>7</v>
      </c>
      <c r="F22" s="7" t="s">
        <v>1804</v>
      </c>
      <c r="G22" s="7" t="s">
        <v>46</v>
      </c>
      <c r="H22" s="7" t="s">
        <v>1805</v>
      </c>
      <c r="I22" s="7" t="s">
        <v>1805</v>
      </c>
      <c r="J22" s="7" t="s">
        <v>1805</v>
      </c>
      <c r="K22" s="7" t="s">
        <v>1805</v>
      </c>
      <c r="L22" s="7" t="s">
        <v>1805</v>
      </c>
      <c r="M22" s="7" t="s">
        <v>1805</v>
      </c>
      <c r="N22" s="7" t="s">
        <v>1805</v>
      </c>
      <c r="O22" s="7" t="s">
        <v>1805</v>
      </c>
    </row>
    <row r="23" spans="3:15" x14ac:dyDescent="0.15">
      <c r="C23" s="7" t="s">
        <v>6</v>
      </c>
      <c r="D23" s="7" t="s">
        <v>1830</v>
      </c>
      <c r="E23" s="7" t="s">
        <v>7</v>
      </c>
      <c r="F23" s="7" t="s">
        <v>1831</v>
      </c>
      <c r="G23" s="7" t="s">
        <v>46</v>
      </c>
      <c r="H23" s="7" t="s">
        <v>1805</v>
      </c>
      <c r="I23" s="7" t="s">
        <v>1805</v>
      </c>
      <c r="J23" s="7" t="s">
        <v>1805</v>
      </c>
      <c r="K23" s="7" t="s">
        <v>1805</v>
      </c>
      <c r="L23" s="7" t="s">
        <v>1805</v>
      </c>
      <c r="M23" s="7" t="s">
        <v>1805</v>
      </c>
      <c r="N23" s="7" t="s">
        <v>1805</v>
      </c>
      <c r="O23" s="7" t="s">
        <v>1805</v>
      </c>
    </row>
    <row r="24" spans="3:15" x14ac:dyDescent="0.15">
      <c r="C24" s="7" t="s">
        <v>6</v>
      </c>
      <c r="D24" s="7" t="s">
        <v>1832</v>
      </c>
      <c r="E24" s="7" t="s">
        <v>7</v>
      </c>
      <c r="F24" s="7" t="s">
        <v>1833</v>
      </c>
      <c r="G24" s="7" t="s">
        <v>46</v>
      </c>
      <c r="H24" s="7" t="s">
        <v>1805</v>
      </c>
      <c r="I24" s="7" t="s">
        <v>1805</v>
      </c>
      <c r="J24" s="7" t="s">
        <v>1805</v>
      </c>
      <c r="K24" s="7" t="s">
        <v>1805</v>
      </c>
      <c r="L24" s="7" t="s">
        <v>1805</v>
      </c>
      <c r="M24" s="7" t="s">
        <v>1805</v>
      </c>
      <c r="N24" s="7" t="s">
        <v>1805</v>
      </c>
      <c r="O24" s="7" t="s">
        <v>1805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Sheet2 (2)</vt:lpstr>
      <vt:lpstr>Sheet3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2018-07-08T08:09:18Z</dcterms:created>
  <dcterms:modified xsi:type="dcterms:W3CDTF">2018-07-08T14:58:59Z</dcterms:modified>
</cp:coreProperties>
</file>