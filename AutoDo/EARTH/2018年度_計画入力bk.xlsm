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0" windowWidth="15375" windowHeight="4005" tabRatio="891" activeTab="3"/>
  </bookViews>
  <sheets>
    <sheet name="計画作成（原紙） (2)" sheetId="22" r:id="rId1"/>
    <sheet name="計画作成（原紙）" sheetId="5" r:id="rId2"/>
    <sheet name="計画と集計差異確認" sheetId="21" r:id="rId3"/>
    <sheet name="商品別_集計" sheetId="10" r:id="rId4"/>
    <sheet name="重点先別_調査集計" sheetId="8" r:id="rId5"/>
    <sheet name="都道府県別_集計" sheetId="11" r:id="rId6"/>
    <sheet name="2018年度の計画商品" sheetId="13" r:id="rId7"/>
    <sheet name="変更点につきまして" sheetId="7" r:id="rId8"/>
  </sheets>
  <functionGroups builtInGroupCount="17"/>
  <definedNames>
    <definedName name="_xlnm._FilterDatabase" localSheetId="1" hidden="1">'計画作成（原紙）'!$B$8:$CI$29</definedName>
    <definedName name="_xlnm._FilterDatabase" localSheetId="0" hidden="1">'計画作成（原紙） (2)'!$B$8:$CI$10</definedName>
  </definedNames>
  <calcPr calcId="145621"/>
</workbook>
</file>

<file path=xl/calcChain.xml><?xml version="1.0" encoding="utf-8"?>
<calcChain xmlns="http://schemas.openxmlformats.org/spreadsheetml/2006/main">
  <c r="G25" i="10" l="1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F30" i="10"/>
  <c r="F29" i="10"/>
  <c r="F28" i="10"/>
  <c r="F27" i="10"/>
  <c r="F26" i="10"/>
  <c r="F25" i="10"/>
  <c r="CI17" i="22"/>
  <c r="CH17" i="22"/>
  <c r="CG17" i="22"/>
  <c r="CI16" i="22"/>
  <c r="CH16" i="22"/>
  <c r="CG16" i="22"/>
  <c r="CI15" i="22"/>
  <c r="CH15" i="22"/>
  <c r="CG15" i="22"/>
  <c r="CI14" i="22"/>
  <c r="CH14" i="22"/>
  <c r="CG14" i="22"/>
  <c r="CI13" i="22"/>
  <c r="CH13" i="22"/>
  <c r="CG13" i="22"/>
  <c r="CI12" i="22"/>
  <c r="CH12" i="22"/>
  <c r="CG12" i="22"/>
  <c r="CI11" i="22"/>
  <c r="CH11" i="22"/>
  <c r="CG11" i="22"/>
  <c r="CI10" i="22"/>
  <c r="CH10" i="22"/>
  <c r="CG10" i="22"/>
  <c r="CI9" i="22"/>
  <c r="CH9" i="22"/>
  <c r="CH33" i="22" s="1"/>
  <c r="CG9" i="22"/>
  <c r="CG33" i="22" s="1"/>
  <c r="CF33" i="22"/>
  <c r="CE33" i="22"/>
  <c r="CD33" i="22"/>
  <c r="BZ33" i="22"/>
  <c r="BY33" i="22"/>
  <c r="BX33" i="22"/>
  <c r="BT33" i="22"/>
  <c r="BS33" i="22"/>
  <c r="BR33" i="22"/>
  <c r="BN33" i="22"/>
  <c r="BM33" i="22"/>
  <c r="BL33" i="22"/>
  <c r="BH33" i="22"/>
  <c r="BG33" i="22"/>
  <c r="BF33" i="22"/>
  <c r="BB33" i="22"/>
  <c r="BA33" i="22"/>
  <c r="AZ33" i="22"/>
  <c r="AV33" i="22"/>
  <c r="AU33" i="22"/>
  <c r="AT33" i="22"/>
  <c r="AP33" i="22"/>
  <c r="AO33" i="22"/>
  <c r="AN33" i="22"/>
  <c r="AJ33" i="22"/>
  <c r="AI33" i="22"/>
  <c r="AH33" i="22"/>
  <c r="AD33" i="22"/>
  <c r="AC33" i="22"/>
  <c r="AB33" i="22"/>
  <c r="X33" i="22"/>
  <c r="W33" i="22"/>
  <c r="V33" i="22"/>
  <c r="R33" i="22"/>
  <c r="Q33" i="22"/>
  <c r="P33" i="22"/>
  <c r="CF5" i="22"/>
  <c r="CE5" i="22"/>
  <c r="CD5" i="22"/>
  <c r="BZ5" i="22"/>
  <c r="BY5" i="22"/>
  <c r="BX5" i="22"/>
  <c r="BT5" i="22"/>
  <c r="BS5" i="22"/>
  <c r="BR5" i="22"/>
  <c r="BN5" i="22"/>
  <c r="BM5" i="22"/>
  <c r="BL5" i="22"/>
  <c r="BH5" i="22"/>
  <c r="BG5" i="22"/>
  <c r="BF5" i="22"/>
  <c r="BB5" i="22"/>
  <c r="BA5" i="22"/>
  <c r="AZ5" i="22"/>
  <c r="AV5" i="22"/>
  <c r="AU5" i="22"/>
  <c r="AT5" i="22"/>
  <c r="AP5" i="22"/>
  <c r="AO5" i="22"/>
  <c r="AN5" i="22"/>
  <c r="AJ5" i="22"/>
  <c r="AI5" i="22"/>
  <c r="AH5" i="22"/>
  <c r="AD5" i="22"/>
  <c r="AC5" i="22"/>
  <c r="AB5" i="22"/>
  <c r="X5" i="22"/>
  <c r="W5" i="22"/>
  <c r="V5" i="22"/>
  <c r="R5" i="22"/>
  <c r="Q5" i="22"/>
  <c r="P5" i="22"/>
  <c r="G3" i="22" l="1"/>
  <c r="I3" i="22"/>
  <c r="H3" i="22"/>
  <c r="CI33" i="22"/>
  <c r="P5" i="5" l="1"/>
  <c r="CF5" i="5" l="1"/>
  <c r="AA22" i="21" l="1"/>
  <c r="AA28" i="21" s="1"/>
  <c r="R21" i="21"/>
  <c r="R27" i="21" s="1"/>
  <c r="D22" i="21"/>
  <c r="AM22" i="21"/>
  <c r="AM28" i="21" s="1"/>
  <c r="AL22" i="21"/>
  <c r="AL28" i="21" s="1"/>
  <c r="AK22" i="21"/>
  <c r="AK28" i="21" s="1"/>
  <c r="AJ22" i="21"/>
  <c r="AJ28" i="21" s="1"/>
  <c r="AI22" i="21"/>
  <c r="AI28" i="21" s="1"/>
  <c r="AH22" i="21"/>
  <c r="AH28" i="21" s="1"/>
  <c r="AG22" i="21"/>
  <c r="AG28" i="21" s="1"/>
  <c r="AF22" i="21"/>
  <c r="AF28" i="21" s="1"/>
  <c r="AE22" i="21"/>
  <c r="AE28" i="21" s="1"/>
  <c r="AD22" i="21"/>
  <c r="AD28" i="21" s="1"/>
  <c r="AC22" i="21"/>
  <c r="AC28" i="21" s="1"/>
  <c r="AB22" i="21"/>
  <c r="AB28" i="21" s="1"/>
  <c r="Z22" i="21"/>
  <c r="Z28" i="21" s="1"/>
  <c r="Y22" i="21"/>
  <c r="Y28" i="21" s="1"/>
  <c r="X22" i="21"/>
  <c r="X28" i="21" s="1"/>
  <c r="W22" i="21"/>
  <c r="W28" i="21" s="1"/>
  <c r="V22" i="21"/>
  <c r="V28" i="21" s="1"/>
  <c r="U22" i="21"/>
  <c r="U28" i="21" s="1"/>
  <c r="T22" i="21"/>
  <c r="T28" i="21" s="1"/>
  <c r="S22" i="21"/>
  <c r="S28" i="21" s="1"/>
  <c r="R22" i="21"/>
  <c r="R28" i="21" s="1"/>
  <c r="Q22" i="21"/>
  <c r="Q28" i="21" s="1"/>
  <c r="P22" i="21"/>
  <c r="P28" i="21" s="1"/>
  <c r="O22" i="21"/>
  <c r="O28" i="21" s="1"/>
  <c r="N22" i="21"/>
  <c r="N28" i="21" s="1"/>
  <c r="M22" i="21"/>
  <c r="M28" i="21" s="1"/>
  <c r="L22" i="21"/>
  <c r="K22" i="21"/>
  <c r="K28" i="21" s="1"/>
  <c r="J22" i="21"/>
  <c r="J28" i="21" s="1"/>
  <c r="I22" i="21"/>
  <c r="I28" i="21" s="1"/>
  <c r="H22" i="21"/>
  <c r="G22" i="21"/>
  <c r="G28" i="21" s="1"/>
  <c r="F22" i="21"/>
  <c r="F28" i="21" s="1"/>
  <c r="E22" i="21"/>
  <c r="E28" i="21" s="1"/>
  <c r="AM21" i="21"/>
  <c r="AM27" i="21" s="1"/>
  <c r="AL21" i="21"/>
  <c r="AL27" i="21" s="1"/>
  <c r="AK21" i="21"/>
  <c r="AK27" i="21" s="1"/>
  <c r="AJ21" i="21"/>
  <c r="AJ27" i="21" s="1"/>
  <c r="AI21" i="21"/>
  <c r="AI27" i="21" s="1"/>
  <c r="AH21" i="21"/>
  <c r="AH27" i="21" s="1"/>
  <c r="AG21" i="21"/>
  <c r="AG27" i="21" s="1"/>
  <c r="AF21" i="21"/>
  <c r="AF27" i="21" s="1"/>
  <c r="AE21" i="21"/>
  <c r="AE27" i="21" s="1"/>
  <c r="AD21" i="21"/>
  <c r="AD27" i="21" s="1"/>
  <c r="AC21" i="21"/>
  <c r="AC27" i="21" s="1"/>
  <c r="AB21" i="21"/>
  <c r="AB27" i="21" s="1"/>
  <c r="AA21" i="21"/>
  <c r="AA27" i="21" s="1"/>
  <c r="Z21" i="21"/>
  <c r="Z27" i="21" s="1"/>
  <c r="Y21" i="21"/>
  <c r="Y27" i="21" s="1"/>
  <c r="X21" i="21"/>
  <c r="X27" i="21" s="1"/>
  <c r="W21" i="21"/>
  <c r="W27" i="21" s="1"/>
  <c r="V21" i="21"/>
  <c r="V27" i="21" s="1"/>
  <c r="U21" i="21"/>
  <c r="U27" i="21" s="1"/>
  <c r="T21" i="21"/>
  <c r="T27" i="21" s="1"/>
  <c r="S21" i="21"/>
  <c r="S27" i="21" s="1"/>
  <c r="Q21" i="21"/>
  <c r="Q27" i="21" s="1"/>
  <c r="P21" i="21"/>
  <c r="P27" i="21" s="1"/>
  <c r="O21" i="21"/>
  <c r="O27" i="21" s="1"/>
  <c r="N21" i="21"/>
  <c r="N27" i="21" s="1"/>
  <c r="M21" i="21"/>
  <c r="M27" i="21" s="1"/>
  <c r="L21" i="21"/>
  <c r="L27" i="21" s="1"/>
  <c r="K21" i="21"/>
  <c r="K27" i="21" s="1"/>
  <c r="J21" i="21"/>
  <c r="J27" i="21" s="1"/>
  <c r="I21" i="21"/>
  <c r="I27" i="21" s="1"/>
  <c r="H21" i="21"/>
  <c r="H27" i="21" s="1"/>
  <c r="G21" i="21"/>
  <c r="G27" i="21" s="1"/>
  <c r="F21" i="21"/>
  <c r="E21" i="21"/>
  <c r="E27" i="21" s="1"/>
  <c r="AL20" i="21"/>
  <c r="AL26" i="21" s="1"/>
  <c r="AK19" i="21"/>
  <c r="AK25" i="21" s="1"/>
  <c r="AJ19" i="21"/>
  <c r="AJ25" i="21" s="1"/>
  <c r="AH19" i="21"/>
  <c r="AH25" i="21" s="1"/>
  <c r="AF20" i="21"/>
  <c r="AF26" i="21" s="1"/>
  <c r="AE20" i="21"/>
  <c r="AE26" i="21" s="1"/>
  <c r="AE19" i="21"/>
  <c r="AE25" i="21" s="1"/>
  <c r="AD19" i="21"/>
  <c r="AD25" i="21" s="1"/>
  <c r="Z20" i="21"/>
  <c r="Z26" i="21" s="1"/>
  <c r="Y19" i="21"/>
  <c r="Y25" i="21" s="1"/>
  <c r="W20" i="21"/>
  <c r="W26" i="21" s="1"/>
  <c r="T20" i="21"/>
  <c r="T26" i="21" s="1"/>
  <c r="Q20" i="21"/>
  <c r="Q26" i="21" s="1"/>
  <c r="P20" i="21"/>
  <c r="P26" i="21" s="1"/>
  <c r="K19" i="21"/>
  <c r="K25" i="21" s="1"/>
  <c r="H20" i="21"/>
  <c r="H26" i="21" s="1"/>
  <c r="G19" i="21"/>
  <c r="G25" i="21" s="1"/>
  <c r="D20" i="21"/>
  <c r="D26" i="21" s="1"/>
  <c r="F20" i="21"/>
  <c r="F26" i="21" s="1"/>
  <c r="E20" i="21"/>
  <c r="E26" i="21" s="1"/>
  <c r="AM18" i="21"/>
  <c r="AM24" i="21" s="1"/>
  <c r="AJ18" i="21"/>
  <c r="AJ24" i="21" s="1"/>
  <c r="AG18" i="21"/>
  <c r="AG24" i="21" s="1"/>
  <c r="AD18" i="21"/>
  <c r="AD24" i="21" s="1"/>
  <c r="AA18" i="21"/>
  <c r="AA24" i="21" s="1"/>
  <c r="X18" i="21"/>
  <c r="X24" i="21" s="1"/>
  <c r="U18" i="21"/>
  <c r="U24" i="21" s="1"/>
  <c r="R18" i="21"/>
  <c r="R24" i="21" s="1"/>
  <c r="O18" i="21"/>
  <c r="O24" i="21" s="1"/>
  <c r="L18" i="21"/>
  <c r="L24" i="21" s="1"/>
  <c r="I18" i="21"/>
  <c r="I24" i="21" s="1"/>
  <c r="AL18" i="21"/>
  <c r="AL24" i="21" s="1"/>
  <c r="AI18" i="21"/>
  <c r="AI24" i="21" s="1"/>
  <c r="AF18" i="21"/>
  <c r="AF24" i="21" s="1"/>
  <c r="AC18" i="21"/>
  <c r="AC24" i="21" s="1"/>
  <c r="Z18" i="21"/>
  <c r="Z24" i="21" s="1"/>
  <c r="W18" i="21"/>
  <c r="W24" i="21" s="1"/>
  <c r="T18" i="21"/>
  <c r="T24" i="21" s="1"/>
  <c r="Q18" i="21"/>
  <c r="Q24" i="21" s="1"/>
  <c r="N18" i="21"/>
  <c r="N24" i="21" s="1"/>
  <c r="K18" i="21"/>
  <c r="K24" i="21" s="1"/>
  <c r="H18" i="21"/>
  <c r="H24" i="21" s="1"/>
  <c r="AK18" i="21"/>
  <c r="AK24" i="21" s="1"/>
  <c r="AH18" i="21"/>
  <c r="AH24" i="21" s="1"/>
  <c r="AE18" i="21"/>
  <c r="AE24" i="21" s="1"/>
  <c r="AB18" i="21"/>
  <c r="AB24" i="21" s="1"/>
  <c r="Y18" i="21"/>
  <c r="Y24" i="21" s="1"/>
  <c r="V18" i="21"/>
  <c r="V24" i="21" s="1"/>
  <c r="S18" i="21"/>
  <c r="S24" i="21" s="1"/>
  <c r="P18" i="21"/>
  <c r="P24" i="21" s="1"/>
  <c r="M18" i="21"/>
  <c r="M24" i="21" s="1"/>
  <c r="J18" i="21"/>
  <c r="J24" i="21" s="1"/>
  <c r="G18" i="21"/>
  <c r="G24" i="21" s="1"/>
  <c r="G23" i="21"/>
  <c r="G29" i="21" s="1"/>
  <c r="H23" i="21"/>
  <c r="H29" i="21" s="1"/>
  <c r="I23" i="21"/>
  <c r="I29" i="21" s="1"/>
  <c r="J23" i="21"/>
  <c r="J29" i="21" s="1"/>
  <c r="K23" i="21"/>
  <c r="K29" i="21" s="1"/>
  <c r="L23" i="21"/>
  <c r="L29" i="21" s="1"/>
  <c r="M23" i="21"/>
  <c r="M29" i="21" s="1"/>
  <c r="N23" i="21"/>
  <c r="N29" i="21" s="1"/>
  <c r="O23" i="21"/>
  <c r="O29" i="21" s="1"/>
  <c r="P23" i="21"/>
  <c r="P29" i="21" s="1"/>
  <c r="Q23" i="21"/>
  <c r="Q29" i="21" s="1"/>
  <c r="R23" i="21"/>
  <c r="R29" i="21" s="1"/>
  <c r="S23" i="21"/>
  <c r="S29" i="21" s="1"/>
  <c r="T23" i="21"/>
  <c r="T29" i="21" s="1"/>
  <c r="U23" i="21"/>
  <c r="U29" i="21" s="1"/>
  <c r="V23" i="21"/>
  <c r="V29" i="21" s="1"/>
  <c r="W23" i="21"/>
  <c r="W29" i="21" s="1"/>
  <c r="X23" i="21"/>
  <c r="X29" i="21" s="1"/>
  <c r="Y23" i="21"/>
  <c r="Y29" i="21" s="1"/>
  <c r="Z23" i="21"/>
  <c r="Z29" i="21" s="1"/>
  <c r="AA23" i="21"/>
  <c r="AA29" i="21" s="1"/>
  <c r="AB23" i="21"/>
  <c r="AB29" i="21" s="1"/>
  <c r="AC23" i="21"/>
  <c r="AC29" i="21" s="1"/>
  <c r="AD23" i="21"/>
  <c r="AD29" i="21" s="1"/>
  <c r="AE23" i="21"/>
  <c r="AE29" i="21" s="1"/>
  <c r="AF23" i="21"/>
  <c r="AF29" i="21" s="1"/>
  <c r="AG23" i="21"/>
  <c r="AG29" i="21" s="1"/>
  <c r="AH23" i="21"/>
  <c r="AH29" i="21" s="1"/>
  <c r="AI23" i="21"/>
  <c r="AI29" i="21" s="1"/>
  <c r="AJ23" i="21"/>
  <c r="AJ29" i="21" s="1"/>
  <c r="AK23" i="21"/>
  <c r="AK29" i="21" s="1"/>
  <c r="AL23" i="21"/>
  <c r="AL29" i="21" s="1"/>
  <c r="AM23" i="21"/>
  <c r="AM29" i="21" s="1"/>
  <c r="G20" i="21"/>
  <c r="G26" i="21" s="1"/>
  <c r="I20" i="21"/>
  <c r="I26" i="21" s="1"/>
  <c r="J20" i="21"/>
  <c r="J26" i="21" s="1"/>
  <c r="K20" i="21"/>
  <c r="K26" i="21" s="1"/>
  <c r="L20" i="21"/>
  <c r="L26" i="21" s="1"/>
  <c r="M20" i="21"/>
  <c r="M26" i="21" s="1"/>
  <c r="N20" i="21"/>
  <c r="N26" i="21" s="1"/>
  <c r="O20" i="21"/>
  <c r="O26" i="21" s="1"/>
  <c r="R20" i="21"/>
  <c r="R26" i="21" s="1"/>
  <c r="S20" i="21"/>
  <c r="S26" i="21" s="1"/>
  <c r="U20" i="21"/>
  <c r="U26" i="21" s="1"/>
  <c r="V20" i="21"/>
  <c r="V26" i="21" s="1"/>
  <c r="X20" i="21"/>
  <c r="X26" i="21" s="1"/>
  <c r="Y20" i="21"/>
  <c r="Y26" i="21" s="1"/>
  <c r="AA20" i="21"/>
  <c r="AA26" i="21" s="1"/>
  <c r="AB20" i="21"/>
  <c r="AB26" i="21" s="1"/>
  <c r="AC20" i="21"/>
  <c r="AC26" i="21" s="1"/>
  <c r="AD20" i="21"/>
  <c r="AD26" i="21" s="1"/>
  <c r="AG20" i="21"/>
  <c r="AG26" i="21" s="1"/>
  <c r="AH20" i="21"/>
  <c r="AH26" i="21" s="1"/>
  <c r="AI20" i="21"/>
  <c r="AI26" i="21" s="1"/>
  <c r="AJ20" i="21"/>
  <c r="AJ26" i="21" s="1"/>
  <c r="AK20" i="21"/>
  <c r="AK26" i="21" s="1"/>
  <c r="AM20" i="21"/>
  <c r="AM26" i="21" s="1"/>
  <c r="H19" i="21"/>
  <c r="H25" i="21" s="1"/>
  <c r="I19" i="21"/>
  <c r="I25" i="21" s="1"/>
  <c r="J19" i="21"/>
  <c r="J25" i="21" s="1"/>
  <c r="L19" i="21"/>
  <c r="L25" i="21" s="1"/>
  <c r="M19" i="21"/>
  <c r="M25" i="21" s="1"/>
  <c r="N19" i="21"/>
  <c r="N25" i="21" s="1"/>
  <c r="O19" i="21"/>
  <c r="O25" i="21" s="1"/>
  <c r="P19" i="21"/>
  <c r="P25" i="21" s="1"/>
  <c r="Q19" i="21"/>
  <c r="Q25" i="21" s="1"/>
  <c r="R19" i="21"/>
  <c r="R25" i="21" s="1"/>
  <c r="S19" i="21"/>
  <c r="S25" i="21" s="1"/>
  <c r="T19" i="21"/>
  <c r="T25" i="21" s="1"/>
  <c r="U19" i="21"/>
  <c r="U25" i="21" s="1"/>
  <c r="V19" i="21"/>
  <c r="V25" i="21" s="1"/>
  <c r="W19" i="21"/>
  <c r="W25" i="21" s="1"/>
  <c r="X19" i="21"/>
  <c r="X25" i="21" s="1"/>
  <c r="Z19" i="21"/>
  <c r="Z25" i="21" s="1"/>
  <c r="AA19" i="21"/>
  <c r="AA25" i="21" s="1"/>
  <c r="AB19" i="21"/>
  <c r="AB25" i="21" s="1"/>
  <c r="AC19" i="21"/>
  <c r="AC25" i="21" s="1"/>
  <c r="AF19" i="21"/>
  <c r="AF25" i="21" s="1"/>
  <c r="AG19" i="21"/>
  <c r="AG25" i="21" s="1"/>
  <c r="AI19" i="21"/>
  <c r="AI25" i="21" s="1"/>
  <c r="AL19" i="21"/>
  <c r="AL25" i="21" s="1"/>
  <c r="AM19" i="21"/>
  <c r="AM25" i="21" s="1"/>
  <c r="F23" i="21"/>
  <c r="F29" i="21" s="1"/>
  <c r="E23" i="21"/>
  <c r="E29" i="21" s="1"/>
  <c r="F19" i="21"/>
  <c r="F25" i="21" s="1"/>
  <c r="D23" i="21"/>
  <c r="D29" i="21" s="1"/>
  <c r="D19" i="21"/>
  <c r="AP22" i="21" l="1"/>
  <c r="AP28" i="21" s="1"/>
  <c r="AO22" i="21"/>
  <c r="AO28" i="21" s="1"/>
  <c r="H28" i="21"/>
  <c r="AN22" i="21"/>
  <c r="AN28" i="21" s="1"/>
  <c r="E19" i="21"/>
  <c r="E25" i="21" s="1"/>
  <c r="D21" i="21"/>
  <c r="L28" i="21"/>
  <c r="D28" i="21"/>
  <c r="AO21" i="21"/>
  <c r="AO27" i="21" s="1"/>
  <c r="AP21" i="21"/>
  <c r="AP27" i="21" s="1"/>
  <c r="F27" i="21"/>
  <c r="F18" i="21"/>
  <c r="F24" i="21" s="1"/>
  <c r="E18" i="21"/>
  <c r="E24" i="21" s="1"/>
  <c r="D18" i="21"/>
  <c r="D24" i="21" s="1"/>
  <c r="AN19" i="21"/>
  <c r="AN25" i="21" s="1"/>
  <c r="D25" i="21"/>
  <c r="AN23" i="21"/>
  <c r="AN29" i="21" s="1"/>
  <c r="AO20" i="21"/>
  <c r="AO26" i="21" s="1"/>
  <c r="AN20" i="21"/>
  <c r="AN26" i="21" s="1"/>
  <c r="AP19" i="21"/>
  <c r="AP25" i="21" s="1"/>
  <c r="AP23" i="21"/>
  <c r="AP29" i="21" s="1"/>
  <c r="AO23" i="21"/>
  <c r="AO29" i="21" s="1"/>
  <c r="AP20" i="21"/>
  <c r="AP26" i="21" s="1"/>
  <c r="AO19" i="21" l="1"/>
  <c r="AO25" i="21" s="1"/>
  <c r="D27" i="21"/>
  <c r="AN21" i="21"/>
  <c r="AN27" i="21" s="1"/>
  <c r="AP18" i="21"/>
  <c r="AP24" i="21" s="1"/>
  <c r="AO18" i="21"/>
  <c r="AO24" i="21" s="1"/>
  <c r="AN18" i="21"/>
  <c r="AN24" i="21" s="1"/>
  <c r="Q5" i="5" l="1"/>
  <c r="CG45" i="5" l="1"/>
  <c r="CH45" i="5"/>
  <c r="CI45" i="5"/>
  <c r="BF5" i="5" l="1"/>
  <c r="V5" i="5"/>
  <c r="AB5" i="5"/>
  <c r="AH5" i="5"/>
  <c r="AN5" i="5"/>
  <c r="AT5" i="5"/>
  <c r="AZ5" i="5"/>
  <c r="BL5" i="5"/>
  <c r="BR5" i="5"/>
  <c r="BX5" i="5"/>
  <c r="CD5" i="5"/>
  <c r="V45" i="5"/>
  <c r="AB45" i="5"/>
  <c r="AH45" i="5"/>
  <c r="AN45" i="5"/>
  <c r="AT45" i="5"/>
  <c r="AZ45" i="5"/>
  <c r="BF45" i="5"/>
  <c r="BL45" i="5"/>
  <c r="BR45" i="5"/>
  <c r="BX45" i="5"/>
  <c r="CD45" i="5"/>
  <c r="P45" i="5"/>
  <c r="G3" i="5" l="1"/>
  <c r="BS5" i="5"/>
  <c r="CE45" i="5"/>
  <c r="BY5" i="5"/>
  <c r="BM45" i="5"/>
  <c r="BA45" i="5"/>
  <c r="BA5" i="5"/>
  <c r="AO45" i="5"/>
  <c r="AI5" i="5"/>
  <c r="W45" i="5"/>
  <c r="W5" i="5"/>
  <c r="Q45" i="5"/>
  <c r="R5" i="5"/>
  <c r="R45" i="5"/>
  <c r="BS45" i="5"/>
  <c r="AC45" i="5"/>
  <c r="CE5" i="5"/>
  <c r="AI45" i="5"/>
  <c r="AU45" i="5"/>
  <c r="BM5" i="5"/>
  <c r="AC5" i="5"/>
  <c r="AU5" i="5"/>
  <c r="AO5" i="5"/>
  <c r="BG5" i="5"/>
  <c r="BY45" i="5"/>
  <c r="BG45" i="5"/>
  <c r="AD45" i="5"/>
  <c r="AD5" i="5"/>
  <c r="AP5" i="5"/>
  <c r="AP45" i="5"/>
  <c r="BB45" i="5"/>
  <c r="BB5" i="5"/>
  <c r="BN5" i="5"/>
  <c r="BN45" i="5"/>
  <c r="BZ45" i="5"/>
  <c r="BZ5" i="5"/>
  <c r="X45" i="5"/>
  <c r="X5" i="5"/>
  <c r="AJ45" i="5"/>
  <c r="AJ5" i="5"/>
  <c r="AV45" i="5"/>
  <c r="AV5" i="5"/>
  <c r="BH45" i="5"/>
  <c r="BH5" i="5"/>
  <c r="BT45" i="5"/>
  <c r="BT5" i="5"/>
  <c r="CF45" i="5"/>
  <c r="H3" i="5" l="1"/>
  <c r="I3" i="5"/>
</calcChain>
</file>

<file path=xl/sharedStrings.xml><?xml version="1.0" encoding="utf-8"?>
<sst xmlns="http://schemas.openxmlformats.org/spreadsheetml/2006/main" count="1377" uniqueCount="246">
  <si>
    <t>Ke1001</t>
  </si>
  <si>
    <t>Ke1002</t>
  </si>
  <si>
    <t>Ke1004</t>
  </si>
  <si>
    <t>Ke1005</t>
  </si>
  <si>
    <t>Ke2001</t>
  </si>
  <si>
    <t>Ke2002</t>
  </si>
  <si>
    <t>計画件数</t>
    <rPh sb="0" eb="2">
      <t>ケイカク</t>
    </rPh>
    <rPh sb="2" eb="4">
      <t>ケンスウ</t>
    </rPh>
    <phoneticPr fontId="5"/>
  </si>
  <si>
    <t>計画金額</t>
    <rPh sb="0" eb="2">
      <t>ケイカク</t>
    </rPh>
    <rPh sb="2" eb="4">
      <t>キンガク</t>
    </rPh>
    <phoneticPr fontId="5"/>
  </si>
  <si>
    <t>計画粗利</t>
    <rPh sb="0" eb="2">
      <t>ケイカク</t>
    </rPh>
    <rPh sb="2" eb="4">
      <t>アラリ</t>
    </rPh>
    <phoneticPr fontId="5"/>
  </si>
  <si>
    <t>加盟店名</t>
    <rPh sb="0" eb="2">
      <t>カメイ</t>
    </rPh>
    <rPh sb="2" eb="3">
      <t>テン</t>
    </rPh>
    <rPh sb="3" eb="4">
      <t>ナ</t>
    </rPh>
    <phoneticPr fontId="5"/>
  </si>
  <si>
    <t>小計</t>
    <rPh sb="0" eb="1">
      <t>ショウ</t>
    </rPh>
    <phoneticPr fontId="5"/>
  </si>
  <si>
    <t>合計</t>
    <rPh sb="0" eb="2">
      <t>ゴウケイ</t>
    </rPh>
    <phoneticPr fontId="5"/>
  </si>
  <si>
    <t>サポートシステム</t>
  </si>
  <si>
    <t>サポート調査</t>
  </si>
  <si>
    <t>調査のみ</t>
  </si>
  <si>
    <t>JHS工事</t>
  </si>
  <si>
    <t>解析品質保証</t>
  </si>
  <si>
    <t>直工事</t>
  </si>
  <si>
    <t>計画商品
コード</t>
    <rPh sb="0" eb="2">
      <t>ケイカク</t>
    </rPh>
    <rPh sb="2" eb="4">
      <t>ショウヒン</t>
    </rPh>
    <phoneticPr fontId="5"/>
  </si>
  <si>
    <t>加盟店
コード</t>
    <rPh sb="0" eb="2">
      <t>カメイ</t>
    </rPh>
    <rPh sb="2" eb="3">
      <t>テン</t>
    </rPh>
    <phoneticPr fontId="5"/>
  </si>
  <si>
    <t>系列
コード</t>
    <rPh sb="0" eb="2">
      <t>ケイレツ</t>
    </rPh>
    <phoneticPr fontId="5"/>
  </si>
  <si>
    <t>営業
特販</t>
    <rPh sb="0" eb="2">
      <t>エイギョウ</t>
    </rPh>
    <rPh sb="3" eb="5">
      <t>トクハン</t>
    </rPh>
    <phoneticPr fontId="5"/>
  </si>
  <si>
    <t>都道
府県</t>
    <rPh sb="0" eb="2">
      <t>トドウ</t>
    </rPh>
    <rPh sb="3" eb="5">
      <t>フケン</t>
    </rPh>
    <phoneticPr fontId="5"/>
  </si>
  <si>
    <t>計画商品名</t>
    <rPh sb="0" eb="2">
      <t>ケイカク</t>
    </rPh>
    <rPh sb="2" eb="4">
      <t>ショウヒン</t>
    </rPh>
    <rPh sb="4" eb="5">
      <t>ナ</t>
    </rPh>
    <phoneticPr fontId="5"/>
  </si>
  <si>
    <t xml:space="preserve">    列合計  ⇒⇒⇒</t>
    <rPh sb="4" eb="5">
      <t>レツ</t>
    </rPh>
    <rPh sb="5" eb="7">
      <t>ゴウケイ</t>
    </rPh>
    <phoneticPr fontId="5"/>
  </si>
  <si>
    <t>1</t>
  </si>
  <si>
    <t>東京都</t>
  </si>
  <si>
    <t>Ke9008</t>
  </si>
  <si>
    <t>Ke9006</t>
  </si>
  <si>
    <t>品質検査</t>
  </si>
  <si>
    <t>※↓ここは絶対にいじらない</t>
    <rPh sb="5" eb="7">
      <t>ゼッタイ</t>
    </rPh>
    <phoneticPr fontId="5"/>
  </si>
  <si>
    <t>Ke1003</t>
  </si>
  <si>
    <t>サポート調査後の解析品質保証</t>
  </si>
  <si>
    <t>Ke1016</t>
  </si>
  <si>
    <t>解析のみ</t>
  </si>
  <si>
    <t>Ke1020</t>
  </si>
  <si>
    <t>Ke1901</t>
  </si>
  <si>
    <t>その他調査商品（登録料、調査「その他」含</t>
  </si>
  <si>
    <t>Ke1902</t>
  </si>
  <si>
    <t>その他調査商品（販促品等）</t>
  </si>
  <si>
    <t>Ke9001</t>
  </si>
  <si>
    <t>耐震</t>
  </si>
  <si>
    <t>Ke9007</t>
  </si>
  <si>
    <t>定期点検</t>
  </si>
  <si>
    <t>建物検査(インスペクション)</t>
  </si>
  <si>
    <t>２０１８年</t>
    <rPh sb="4" eb="5">
      <t>ネン</t>
    </rPh>
    <phoneticPr fontId="5"/>
  </si>
  <si>
    <t>重点先
情報</t>
    <rPh sb="0" eb="2">
      <t>ジュウテン</t>
    </rPh>
    <rPh sb="2" eb="3">
      <t>サキ</t>
    </rPh>
    <rPh sb="4" eb="6">
      <t>ジョウホウ</t>
    </rPh>
    <phoneticPr fontId="5"/>
  </si>
  <si>
    <t>新規・ノンリピ</t>
  </si>
  <si>
    <t>守り</t>
  </si>
  <si>
    <t>年度</t>
    <rPh sb="0" eb="2">
      <t>ネンド</t>
    </rPh>
    <phoneticPr fontId="5"/>
  </si>
  <si>
    <t>営業担当</t>
    <rPh sb="0" eb="2">
      <t>エイギョウ</t>
    </rPh>
    <rPh sb="2" eb="4">
      <t>タントウ</t>
    </rPh>
    <phoneticPr fontId="5"/>
  </si>
  <si>
    <t>工事は事業者別に計画は立てない、営業マン別でまとめた計画とする （事業者個別では計画をたてない）</t>
    <rPh sb="0" eb="2">
      <t>コウジ</t>
    </rPh>
    <rPh sb="3" eb="5">
      <t>ジギョウ</t>
    </rPh>
    <rPh sb="5" eb="6">
      <t>シャ</t>
    </rPh>
    <rPh sb="6" eb="7">
      <t>ベツ</t>
    </rPh>
    <rPh sb="8" eb="10">
      <t>ケイカク</t>
    </rPh>
    <rPh sb="11" eb="12">
      <t>タ</t>
    </rPh>
    <rPh sb="16" eb="18">
      <t>エイギョウ</t>
    </rPh>
    <rPh sb="20" eb="21">
      <t>ベツ</t>
    </rPh>
    <rPh sb="26" eb="28">
      <t>ケイカク</t>
    </rPh>
    <rPh sb="33" eb="35">
      <t>ジギョウ</t>
    </rPh>
    <rPh sb="35" eb="36">
      <t>シャ</t>
    </rPh>
    <rPh sb="36" eb="38">
      <t>コベツ</t>
    </rPh>
    <rPh sb="40" eb="42">
      <t>ケイカク</t>
    </rPh>
    <phoneticPr fontId="9"/>
  </si>
  <si>
    <t>※建物検査、測量、設計関連商品も営業マン別でまとめた計画とする （事業者個別では計画をたてない）</t>
    <rPh sb="1" eb="3">
      <t>タテモノ</t>
    </rPh>
    <rPh sb="3" eb="5">
      <t>ケンサ</t>
    </rPh>
    <rPh sb="6" eb="8">
      <t>ソクリョウ</t>
    </rPh>
    <rPh sb="9" eb="11">
      <t>セッケイ</t>
    </rPh>
    <rPh sb="11" eb="13">
      <t>カンレン</t>
    </rPh>
    <rPh sb="13" eb="15">
      <t>ショウヒン</t>
    </rPh>
    <phoneticPr fontId="9"/>
  </si>
  <si>
    <t>6月</t>
    <rPh sb="1" eb="2">
      <t>ガツ</t>
    </rPh>
    <phoneticPr fontId="5"/>
  </si>
  <si>
    <t>4月</t>
    <rPh sb="1" eb="2">
      <t>ガツ</t>
    </rPh>
    <phoneticPr fontId="5"/>
  </si>
  <si>
    <t>5月</t>
    <rPh sb="1" eb="2">
      <t>ガツ</t>
    </rPh>
    <phoneticPr fontId="5"/>
  </si>
  <si>
    <t>7月</t>
    <rPh sb="1" eb="2">
      <t>ガツ</t>
    </rPh>
    <phoneticPr fontId="5"/>
  </si>
  <si>
    <t>8月</t>
    <rPh sb="1" eb="2">
      <t>ガツ</t>
    </rPh>
    <phoneticPr fontId="5"/>
  </si>
  <si>
    <t>9月</t>
    <rPh sb="1" eb="2">
      <t>ガツ</t>
    </rPh>
    <phoneticPr fontId="5"/>
  </si>
  <si>
    <t>10月</t>
    <rPh sb="2" eb="3">
      <t>ガツ</t>
    </rPh>
    <phoneticPr fontId="5"/>
  </si>
  <si>
    <t>11月</t>
    <rPh sb="2" eb="3">
      <t>ガツ</t>
    </rPh>
    <phoneticPr fontId="5"/>
  </si>
  <si>
    <t>12月</t>
    <rPh sb="2" eb="3">
      <t>ガツ</t>
    </rPh>
    <phoneticPr fontId="5"/>
  </si>
  <si>
    <t>1月</t>
    <rPh sb="1" eb="2">
      <t>ガツ</t>
    </rPh>
    <phoneticPr fontId="5"/>
  </si>
  <si>
    <t>2月</t>
    <rPh sb="1" eb="2">
      <t>ガツ</t>
    </rPh>
    <phoneticPr fontId="5"/>
  </si>
  <si>
    <t>3月</t>
    <rPh sb="1" eb="2">
      <t>ガツ</t>
    </rPh>
    <phoneticPr fontId="5"/>
  </si>
  <si>
    <t>★★↓ 入力合計 ↓★★</t>
    <rPh sb="4" eb="6">
      <t>ニュウリョク</t>
    </rPh>
    <rPh sb="6" eb="8">
      <t>ゴウケイ</t>
    </rPh>
    <phoneticPr fontId="5"/>
  </si>
  <si>
    <t>↓</t>
    <phoneticPr fontId="5"/>
  </si>
  <si>
    <t>フィルタ設定した合計が下記に表示されます。</t>
    <rPh sb="4" eb="6">
      <t>セッテイ</t>
    </rPh>
    <rPh sb="8" eb="10">
      <t>ゴウケイ</t>
    </rPh>
    <rPh sb="11" eb="13">
      <t>カキ</t>
    </rPh>
    <rPh sb="14" eb="16">
      <t>ヒョウジ</t>
    </rPh>
    <phoneticPr fontId="5"/>
  </si>
  <si>
    <t>４月_計画</t>
    <rPh sb="1" eb="2">
      <t>ガツ</t>
    </rPh>
    <rPh sb="3" eb="5">
      <t>ケイカク</t>
    </rPh>
    <phoneticPr fontId="5"/>
  </si>
  <si>
    <t>１２月_計画</t>
    <phoneticPr fontId="5"/>
  </si>
  <si>
    <t>１１月_計画</t>
    <phoneticPr fontId="5"/>
  </si>
  <si>
    <t>１０月_計画</t>
    <phoneticPr fontId="5"/>
  </si>
  <si>
    <t>９月_計画</t>
    <phoneticPr fontId="5"/>
  </si>
  <si>
    <t>８月_計画</t>
    <phoneticPr fontId="5"/>
  </si>
  <si>
    <t>７月_計画</t>
    <phoneticPr fontId="5"/>
  </si>
  <si>
    <t>６月_計画</t>
    <phoneticPr fontId="5"/>
  </si>
  <si>
    <t>５月_計画</t>
    <rPh sb="1" eb="2">
      <t>ツキ</t>
    </rPh>
    <rPh sb="3" eb="5">
      <t>ケイカク</t>
    </rPh>
    <phoneticPr fontId="5"/>
  </si>
  <si>
    <t>１月_計画</t>
    <phoneticPr fontId="5"/>
  </si>
  <si>
    <t>２月_計画</t>
    <phoneticPr fontId="5"/>
  </si>
  <si>
    <t>３月_計画</t>
    <phoneticPr fontId="5"/>
  </si>
  <si>
    <t>通年_計画値集計</t>
    <rPh sb="0" eb="2">
      <t>ツウネン</t>
    </rPh>
    <rPh sb="5" eb="6">
      <t>チ</t>
    </rPh>
    <rPh sb="6" eb="8">
      <t>シュウケイ</t>
    </rPh>
    <phoneticPr fontId="5"/>
  </si>
  <si>
    <t>重点先で組んだ計画値以外は営業マン_その他調整（SF9918****）枠での調整とする。</t>
    <rPh sb="0" eb="2">
      <t>ジュウテン</t>
    </rPh>
    <rPh sb="2" eb="3">
      <t>サキ</t>
    </rPh>
    <rPh sb="4" eb="5">
      <t>ク</t>
    </rPh>
    <rPh sb="7" eb="9">
      <t>ケイカク</t>
    </rPh>
    <rPh sb="9" eb="10">
      <t>チ</t>
    </rPh>
    <rPh sb="10" eb="12">
      <t>イガイ</t>
    </rPh>
    <rPh sb="13" eb="15">
      <t>エイギョウ</t>
    </rPh>
    <rPh sb="20" eb="21">
      <t>タ</t>
    </rPh>
    <rPh sb="21" eb="23">
      <t>チョウセイ</t>
    </rPh>
    <rPh sb="35" eb="36">
      <t>ワク</t>
    </rPh>
    <rPh sb="38" eb="40">
      <t>チョウセイ</t>
    </rPh>
    <phoneticPr fontId="9"/>
  </si>
  <si>
    <t>集計値を参照する際に上下スクロールは極力控えたい</t>
    <rPh sb="0" eb="2">
      <t>シュウケイ</t>
    </rPh>
    <rPh sb="2" eb="3">
      <t>チ</t>
    </rPh>
    <rPh sb="4" eb="6">
      <t>サンショウ</t>
    </rPh>
    <rPh sb="8" eb="9">
      <t>サイ</t>
    </rPh>
    <rPh sb="10" eb="12">
      <t>ジョウゲ</t>
    </rPh>
    <rPh sb="18" eb="20">
      <t>キョクリョク</t>
    </rPh>
    <rPh sb="20" eb="21">
      <t>ヒカ</t>
    </rPh>
    <phoneticPr fontId="9"/>
  </si>
  <si>
    <t>調査件数</t>
    <rPh sb="0" eb="2">
      <t>チョウサ</t>
    </rPh>
    <rPh sb="2" eb="4">
      <t>ケンスウ</t>
    </rPh>
    <phoneticPr fontId="5"/>
  </si>
  <si>
    <t>調査件数
カウント対象</t>
    <rPh sb="0" eb="2">
      <t>チョウサ</t>
    </rPh>
    <rPh sb="2" eb="4">
      <t>ケンスウ</t>
    </rPh>
    <rPh sb="9" eb="11">
      <t>タイショウ</t>
    </rPh>
    <phoneticPr fontId="5"/>
  </si>
  <si>
    <t>●商品別_集計</t>
    <phoneticPr fontId="9"/>
  </si>
  <si>
    <t>１・・・カウントする(有り)</t>
    <rPh sb="11" eb="12">
      <t>ア</t>
    </rPh>
    <phoneticPr fontId="5"/>
  </si>
  <si>
    <t>★2018年度の計画管理商品</t>
    <rPh sb="5" eb="6">
      <t>ネン</t>
    </rPh>
    <rPh sb="6" eb="7">
      <t>ド</t>
    </rPh>
    <rPh sb="8" eb="9">
      <t>ケイ</t>
    </rPh>
    <rPh sb="9" eb="10">
      <t>カク</t>
    </rPh>
    <rPh sb="10" eb="12">
      <t>カンリ</t>
    </rPh>
    <rPh sb="12" eb="14">
      <t>ショウヒン</t>
    </rPh>
    <phoneticPr fontId="5"/>
  </si>
  <si>
    <t>0・・・カウントしない(無し)</t>
    <rPh sb="12" eb="13">
      <t>ナ</t>
    </rPh>
    <phoneticPr fontId="5"/>
  </si>
  <si>
    <t>事業者個別の
計画商品</t>
    <rPh sb="0" eb="3">
      <t>ジギョウシャ</t>
    </rPh>
    <rPh sb="3" eb="5">
      <t>コベツ</t>
    </rPh>
    <rPh sb="7" eb="9">
      <t>ケイカク</t>
    </rPh>
    <rPh sb="9" eb="11">
      <t>ショウヒン</t>
    </rPh>
    <phoneticPr fontId="5"/>
  </si>
  <si>
    <t>営業マン別
計画作成</t>
    <rPh sb="0" eb="2">
      <t>エイギョウ</t>
    </rPh>
    <rPh sb="4" eb="5">
      <t>ベツ</t>
    </rPh>
    <rPh sb="6" eb="8">
      <t>ケイカク</t>
    </rPh>
    <rPh sb="8" eb="10">
      <t>サクセイ</t>
    </rPh>
    <phoneticPr fontId="5"/>
  </si>
  <si>
    <t>計画年度</t>
    <rPh sb="0" eb="1">
      <t>ケイ</t>
    </rPh>
    <rPh sb="1" eb="2">
      <t>カク</t>
    </rPh>
    <rPh sb="2" eb="4">
      <t>ネンド</t>
    </rPh>
    <phoneticPr fontId="5"/>
  </si>
  <si>
    <t>計画管理商品</t>
    <rPh sb="0" eb="1">
      <t>ケイ</t>
    </rPh>
    <rPh sb="1" eb="2">
      <t>カク</t>
    </rPh>
    <rPh sb="2" eb="4">
      <t>カンリ</t>
    </rPh>
    <rPh sb="4" eb="6">
      <t>ショウヒン</t>
    </rPh>
    <phoneticPr fontId="5"/>
  </si>
  <si>
    <t>分別</t>
    <rPh sb="0" eb="2">
      <t>ブンベツ</t>
    </rPh>
    <phoneticPr fontId="5"/>
  </si>
  <si>
    <t>区分け</t>
    <rPh sb="0" eb="2">
      <t>クワ</t>
    </rPh>
    <phoneticPr fontId="5"/>
  </si>
  <si>
    <t>計画管理_商品名</t>
    <rPh sb="0" eb="1">
      <t>ケイ</t>
    </rPh>
    <rPh sb="1" eb="2">
      <t>カク</t>
    </rPh>
    <rPh sb="2" eb="4">
      <t>カンリ</t>
    </rPh>
    <rPh sb="5" eb="7">
      <t>ショウヒン</t>
    </rPh>
    <rPh sb="7" eb="8">
      <t>ナ</t>
    </rPh>
    <phoneticPr fontId="5"/>
  </si>
  <si>
    <t>調査物件
カウント有無</t>
    <rPh sb="0" eb="2">
      <t>チョウサ</t>
    </rPh>
    <rPh sb="2" eb="4">
      <t>ブッケン</t>
    </rPh>
    <rPh sb="9" eb="11">
      <t>ウム</t>
    </rPh>
    <phoneticPr fontId="5"/>
  </si>
  <si>
    <t>●</t>
    <phoneticPr fontId="5"/>
  </si>
  <si>
    <t>調査</t>
    <rPh sb="0" eb="2">
      <t>チョウサ</t>
    </rPh>
    <phoneticPr fontId="5"/>
  </si>
  <si>
    <t>工事</t>
    <rPh sb="0" eb="2">
      <t>コウジ</t>
    </rPh>
    <phoneticPr fontId="5"/>
  </si>
  <si>
    <t>●</t>
    <phoneticPr fontId="5"/>
  </si>
  <si>
    <t>その他</t>
    <rPh sb="2" eb="3">
      <t>タ</t>
    </rPh>
    <phoneticPr fontId="5"/>
  </si>
  <si>
    <t>Ke1006</t>
  </si>
  <si>
    <t>サポートシステム+液状化</t>
  </si>
  <si>
    <t>Ke1007</t>
  </si>
  <si>
    <t>サポート調査+液状化</t>
  </si>
  <si>
    <t>Ke1008</t>
  </si>
  <si>
    <t>解析品質保証+液状化</t>
  </si>
  <si>
    <t>Ke1009</t>
  </si>
  <si>
    <t>解析のみ+液状化</t>
  </si>
  <si>
    <t>Ke1010</t>
  </si>
  <si>
    <t>調査のみ+液状化</t>
  </si>
  <si>
    <t>Ke1011</t>
  </si>
  <si>
    <t>サポートシステム+敷役</t>
  </si>
  <si>
    <t>Ke1012</t>
  </si>
  <si>
    <t>サポート調査+敷役</t>
  </si>
  <si>
    <t>Ke1013</t>
  </si>
  <si>
    <t>調査のみ+敷役</t>
  </si>
  <si>
    <t>Ke1014</t>
  </si>
  <si>
    <t>その他調査商品</t>
  </si>
  <si>
    <t>Ke1015</t>
  </si>
  <si>
    <t>サポートシステム+液状化保証</t>
  </si>
  <si>
    <t>液状化（調査件数に含む）</t>
  </si>
  <si>
    <t>Ke1021</t>
  </si>
  <si>
    <t>敷役</t>
    <phoneticPr fontId="5"/>
  </si>
  <si>
    <t>Ke1022</t>
  </si>
  <si>
    <t>液状化まとめ件数（調査件数に含めない）</t>
  </si>
  <si>
    <t>Ke1901</t>
    <phoneticPr fontId="5"/>
  </si>
  <si>
    <t>Ke1903</t>
  </si>
  <si>
    <t>登録料</t>
  </si>
  <si>
    <t>●</t>
  </si>
  <si>
    <t>9</t>
  </si>
  <si>
    <t>検査</t>
    <rPh sb="0" eb="2">
      <t>ケンサ</t>
    </rPh>
    <phoneticPr fontId="5"/>
  </si>
  <si>
    <t>Ke9002</t>
  </si>
  <si>
    <t>土地レポ</t>
  </si>
  <si>
    <t>Ke9003</t>
  </si>
  <si>
    <t>グリーンテスト</t>
  </si>
  <si>
    <t>Ke9004</t>
  </si>
  <si>
    <t>地盤審査制度</t>
  </si>
  <si>
    <t>Ke9005</t>
  </si>
  <si>
    <t>設計</t>
    <rPh sb="0" eb="2">
      <t>セッケイ</t>
    </rPh>
    <phoneticPr fontId="5"/>
  </si>
  <si>
    <t>SEJ基礎設計</t>
    <phoneticPr fontId="5"/>
  </si>
  <si>
    <t>Ke9009</t>
  </si>
  <si>
    <t>測量</t>
    <rPh sb="0" eb="2">
      <t>ソクリョウ</t>
    </rPh>
    <phoneticPr fontId="5"/>
  </si>
  <si>
    <t>測量</t>
  </si>
  <si>
    <t>Ke9010</t>
  </si>
  <si>
    <t>基礎地業設計</t>
  </si>
  <si>
    <t>Ke9011</t>
  </si>
  <si>
    <t>その他設計</t>
  </si>
  <si>
    <t>Ke9012</t>
  </si>
  <si>
    <t>設備検査</t>
  </si>
  <si>
    <t>●</t>
    <phoneticPr fontId="5"/>
  </si>
  <si>
    <t>Ke9020</t>
  </si>
  <si>
    <t>建物検査(その他)_計画調整用</t>
    <phoneticPr fontId="5"/>
  </si>
  <si>
    <t>SEJ基礎設計</t>
  </si>
  <si>
    <t>建物検査(その他)_計画調整用</t>
  </si>
  <si>
    <t>計画件数</t>
    <rPh sb="0" eb="2">
      <t>ケイカク</t>
    </rPh>
    <rPh sb="2" eb="4">
      <t>ケンスウ</t>
    </rPh>
    <phoneticPr fontId="9"/>
  </si>
  <si>
    <t>調査計画</t>
    <rPh sb="0" eb="2">
      <t>チョウサ</t>
    </rPh>
    <rPh sb="2" eb="4">
      <t>ケイカク</t>
    </rPh>
    <phoneticPr fontId="9"/>
  </si>
  <si>
    <t>分別</t>
    <rPh sb="0" eb="2">
      <t>ブンベツ</t>
    </rPh>
    <phoneticPr fontId="9"/>
  </si>
  <si>
    <t>調査</t>
    <rPh sb="0" eb="2">
      <t>チョウサ</t>
    </rPh>
    <phoneticPr fontId="9"/>
  </si>
  <si>
    <t>工事</t>
    <rPh sb="0" eb="2">
      <t>コウジ</t>
    </rPh>
    <phoneticPr fontId="9"/>
  </si>
  <si>
    <t>設計</t>
    <rPh sb="0" eb="2">
      <t>セッケイ</t>
    </rPh>
    <phoneticPr fontId="9"/>
  </si>
  <si>
    <t>測量</t>
    <rPh sb="0" eb="2">
      <t>ソクリョウ</t>
    </rPh>
    <phoneticPr fontId="9"/>
  </si>
  <si>
    <t>建物</t>
    <rPh sb="0" eb="2">
      <t>タテモノ</t>
    </rPh>
    <phoneticPr fontId="9"/>
  </si>
  <si>
    <t>設計計画</t>
    <rPh sb="0" eb="2">
      <t>セッケイ</t>
    </rPh>
    <rPh sb="2" eb="4">
      <t>ケイカク</t>
    </rPh>
    <phoneticPr fontId="9"/>
  </si>
  <si>
    <t>測量計画</t>
    <rPh sb="0" eb="2">
      <t>ソクリョウ</t>
    </rPh>
    <rPh sb="2" eb="4">
      <t>ケイカク</t>
    </rPh>
    <phoneticPr fontId="9"/>
  </si>
  <si>
    <t>建物計画</t>
    <rPh sb="0" eb="2">
      <t>タテモノ</t>
    </rPh>
    <rPh sb="2" eb="4">
      <t>ケイカク</t>
    </rPh>
    <phoneticPr fontId="9"/>
  </si>
  <si>
    <t>計画金額</t>
    <rPh sb="0" eb="2">
      <t>ケイカク</t>
    </rPh>
    <rPh sb="2" eb="4">
      <t>キンガク</t>
    </rPh>
    <phoneticPr fontId="9"/>
  </si>
  <si>
    <t>計画粗利</t>
    <rPh sb="0" eb="2">
      <t>ケイカク</t>
    </rPh>
    <rPh sb="2" eb="4">
      <t>アラリ</t>
    </rPh>
    <phoneticPr fontId="9"/>
  </si>
  <si>
    <t>合計</t>
    <rPh sb="0" eb="2">
      <t>ゴウケイ</t>
    </rPh>
    <phoneticPr fontId="9"/>
  </si>
  <si>
    <t>新規・ノンリピ</t>
    <phoneticPr fontId="9"/>
  </si>
  <si>
    <t>●重点先別_調査集計</t>
    <rPh sb="4" eb="5">
      <t>ベツ</t>
    </rPh>
    <rPh sb="6" eb="8">
      <t>チョウサ</t>
    </rPh>
    <phoneticPr fontId="9"/>
  </si>
  <si>
    <t>インシェアUP</t>
    <phoneticPr fontId="9"/>
  </si>
  <si>
    <t>守り</t>
    <rPh sb="0" eb="1">
      <t>マモ</t>
    </rPh>
    <phoneticPr fontId="9"/>
  </si>
  <si>
    <t>都道府県</t>
    <rPh sb="0" eb="4">
      <t>トドウフケン</t>
    </rPh>
    <phoneticPr fontId="5"/>
  </si>
  <si>
    <t>分類</t>
    <rPh sb="0" eb="2">
      <t>ブンルイ</t>
    </rPh>
    <phoneticPr fontId="9"/>
  </si>
  <si>
    <t>東京都</t>
    <rPh sb="0" eb="3">
      <t>トウキョウト</t>
    </rPh>
    <phoneticPr fontId="9"/>
  </si>
  <si>
    <t>神奈川県</t>
    <rPh sb="0" eb="3">
      <t>カナガワ</t>
    </rPh>
    <rPh sb="3" eb="4">
      <t>ケン</t>
    </rPh>
    <phoneticPr fontId="9"/>
  </si>
  <si>
    <t>集計項目</t>
    <rPh sb="0" eb="2">
      <t>シュウケイ</t>
    </rPh>
    <rPh sb="2" eb="4">
      <t>コウモク</t>
    </rPh>
    <phoneticPr fontId="9"/>
  </si>
  <si>
    <t xml:space="preserve"> 商品別_合計集計</t>
    <rPh sb="5" eb="7">
      <t>ゴウケイ</t>
    </rPh>
    <phoneticPr fontId="9"/>
  </si>
  <si>
    <t>重点先別_調査集計</t>
  </si>
  <si>
    <t>●都道府県別_集計</t>
    <phoneticPr fontId="9"/>
  </si>
  <si>
    <t>都道府県別_合計集計</t>
    <rPh sb="6" eb="8">
      <t>ゴウケイ</t>
    </rPh>
    <phoneticPr fontId="9"/>
  </si>
  <si>
    <t>前年４月_実績</t>
    <rPh sb="0" eb="2">
      <t>ゼンネン</t>
    </rPh>
    <rPh sb="3" eb="4">
      <t>ガツ</t>
    </rPh>
    <rPh sb="5" eb="7">
      <t>ジッセキ</t>
    </rPh>
    <phoneticPr fontId="5"/>
  </si>
  <si>
    <t>前年５月_実績</t>
    <rPh sb="0" eb="2">
      <t>ゼンネン</t>
    </rPh>
    <rPh sb="3" eb="4">
      <t>ガツ</t>
    </rPh>
    <rPh sb="5" eb="7">
      <t>ジッセキ</t>
    </rPh>
    <phoneticPr fontId="5"/>
  </si>
  <si>
    <t>前年６月_実績</t>
    <rPh sb="0" eb="2">
      <t>ゼンネン</t>
    </rPh>
    <rPh sb="3" eb="4">
      <t>ガツ</t>
    </rPh>
    <rPh sb="5" eb="7">
      <t>ジッセキ</t>
    </rPh>
    <phoneticPr fontId="5"/>
  </si>
  <si>
    <t>前年７月_実績</t>
    <rPh sb="0" eb="2">
      <t>ゼンネン</t>
    </rPh>
    <rPh sb="3" eb="4">
      <t>ガツ</t>
    </rPh>
    <rPh sb="5" eb="7">
      <t>ジッセキ</t>
    </rPh>
    <phoneticPr fontId="5"/>
  </si>
  <si>
    <t>前年８月_実績</t>
    <rPh sb="0" eb="2">
      <t>ゼンネン</t>
    </rPh>
    <rPh sb="3" eb="4">
      <t>ガツ</t>
    </rPh>
    <rPh sb="5" eb="7">
      <t>ジッセキ</t>
    </rPh>
    <phoneticPr fontId="5"/>
  </si>
  <si>
    <t>前年９月_実績</t>
    <rPh sb="0" eb="2">
      <t>ゼンネン</t>
    </rPh>
    <rPh sb="3" eb="4">
      <t>ガツ</t>
    </rPh>
    <rPh sb="5" eb="7">
      <t>ジッセキ</t>
    </rPh>
    <phoneticPr fontId="5"/>
  </si>
  <si>
    <t>前年１０月_実績</t>
    <rPh sb="0" eb="2">
      <t>ゼンネン</t>
    </rPh>
    <rPh sb="4" eb="5">
      <t>ガツ</t>
    </rPh>
    <rPh sb="6" eb="8">
      <t>ジッセキ</t>
    </rPh>
    <phoneticPr fontId="5"/>
  </si>
  <si>
    <t>前年１１月_実績</t>
    <rPh sb="0" eb="2">
      <t>ゼンネン</t>
    </rPh>
    <rPh sb="4" eb="5">
      <t>ガツ</t>
    </rPh>
    <rPh sb="6" eb="8">
      <t>ジッセキ</t>
    </rPh>
    <phoneticPr fontId="5"/>
  </si>
  <si>
    <t>前年１２月_実績</t>
    <rPh sb="0" eb="2">
      <t>ゼンネン</t>
    </rPh>
    <rPh sb="4" eb="5">
      <t>ガツ</t>
    </rPh>
    <rPh sb="6" eb="8">
      <t>ジッセキ</t>
    </rPh>
    <phoneticPr fontId="5"/>
  </si>
  <si>
    <t>前年１月_実績</t>
    <rPh sb="0" eb="2">
      <t>ゼンネン</t>
    </rPh>
    <rPh sb="3" eb="4">
      <t>ガツ</t>
    </rPh>
    <rPh sb="5" eb="7">
      <t>ジッセキ</t>
    </rPh>
    <phoneticPr fontId="5"/>
  </si>
  <si>
    <t>前年２月_実績</t>
    <rPh sb="0" eb="2">
      <t>ゼンネン</t>
    </rPh>
    <rPh sb="3" eb="4">
      <t>ガツ</t>
    </rPh>
    <rPh sb="5" eb="7">
      <t>ジッセキ</t>
    </rPh>
    <phoneticPr fontId="5"/>
  </si>
  <si>
    <t>前年３月_実績</t>
    <rPh sb="0" eb="2">
      <t>ゼンネン</t>
    </rPh>
    <rPh sb="3" eb="4">
      <t>ガツ</t>
    </rPh>
    <rPh sb="5" eb="7">
      <t>ジッセキ</t>
    </rPh>
    <phoneticPr fontId="5"/>
  </si>
  <si>
    <t>実績件数</t>
    <rPh sb="0" eb="2">
      <t>ジッセキ</t>
    </rPh>
    <rPh sb="2" eb="4">
      <t>ケンスウ</t>
    </rPh>
    <phoneticPr fontId="5"/>
  </si>
  <si>
    <t>実績金額</t>
    <rPh sb="2" eb="4">
      <t>キンガク</t>
    </rPh>
    <phoneticPr fontId="5"/>
  </si>
  <si>
    <t>実績粗利</t>
    <rPh sb="2" eb="4">
      <t>アラリ</t>
    </rPh>
    <phoneticPr fontId="5"/>
  </si>
  <si>
    <t>JHS工事計画</t>
    <rPh sb="3" eb="5">
      <t>コウジ</t>
    </rPh>
    <rPh sb="5" eb="7">
      <t>ケイカク</t>
    </rPh>
    <phoneticPr fontId="9"/>
  </si>
  <si>
    <t>直工事計画</t>
    <rPh sb="0" eb="1">
      <t>チョク</t>
    </rPh>
    <rPh sb="1" eb="3">
      <t>コウジ</t>
    </rPh>
    <rPh sb="3" eb="5">
      <t>ケイカク</t>
    </rPh>
    <phoneticPr fontId="9"/>
  </si>
  <si>
    <t>直工事</t>
    <rPh sb="0" eb="1">
      <t>チョク</t>
    </rPh>
    <rPh sb="1" eb="3">
      <t>コウジ</t>
    </rPh>
    <phoneticPr fontId="9"/>
  </si>
  <si>
    <t>直工事計画</t>
    <rPh sb="0" eb="1">
      <t>チョク</t>
    </rPh>
    <rPh sb="1" eb="3">
      <t>コウジ</t>
    </rPh>
    <phoneticPr fontId="9"/>
  </si>
  <si>
    <t>調査</t>
    <rPh sb="0" eb="2">
      <t>チョウサ</t>
    </rPh>
    <phoneticPr fontId="9"/>
  </si>
  <si>
    <t>JHS工事</t>
    <rPh sb="3" eb="5">
      <t>コウジ</t>
    </rPh>
    <phoneticPr fontId="9"/>
  </si>
  <si>
    <t>検査</t>
    <rPh sb="0" eb="2">
      <t>ケンサ</t>
    </rPh>
    <phoneticPr fontId="9"/>
  </si>
  <si>
    <t>計画予定値</t>
    <rPh sb="0" eb="2">
      <t>ケイカク</t>
    </rPh>
    <rPh sb="2" eb="4">
      <t>ヨテイ</t>
    </rPh>
    <rPh sb="4" eb="5">
      <t>アタイ</t>
    </rPh>
    <phoneticPr fontId="9"/>
  </si>
  <si>
    <t>集計値</t>
    <rPh sb="0" eb="2">
      <t>シュウケイ</t>
    </rPh>
    <rPh sb="2" eb="3">
      <t>チ</t>
    </rPh>
    <phoneticPr fontId="9"/>
  </si>
  <si>
    <t>差異確認</t>
    <rPh sb="0" eb="2">
      <t>サイ</t>
    </rPh>
    <rPh sb="2" eb="4">
      <t>カクニン</t>
    </rPh>
    <phoneticPr fontId="9"/>
  </si>
  <si>
    <t>計画件数</t>
    <rPh sb="0" eb="2">
      <t>ケイカク</t>
    </rPh>
    <rPh sb="2" eb="4">
      <t>ケンスウ</t>
    </rPh>
    <phoneticPr fontId="9"/>
  </si>
  <si>
    <t>計画金額</t>
    <rPh sb="0" eb="2">
      <t>ケイカク</t>
    </rPh>
    <rPh sb="2" eb="4">
      <t>キンガク</t>
    </rPh>
    <phoneticPr fontId="9"/>
  </si>
  <si>
    <t>計画粗利</t>
    <rPh sb="0" eb="2">
      <t>ケイカク</t>
    </rPh>
    <rPh sb="2" eb="4">
      <t>アラリ</t>
    </rPh>
    <phoneticPr fontId="9"/>
  </si>
  <si>
    <t>割振られた計画を</t>
    <rPh sb="0" eb="2">
      <t>ワリフ</t>
    </rPh>
    <rPh sb="5" eb="7">
      <t>ケイカク</t>
    </rPh>
    <phoneticPr fontId="9"/>
  </si>
  <si>
    <t>記載下さい</t>
    <phoneticPr fontId="9"/>
  </si>
  <si>
    <t>計画予定値-集計値</t>
    <rPh sb="0" eb="2">
      <t>ケイカク</t>
    </rPh>
    <rPh sb="2" eb="4">
      <t>ヨテイ</t>
    </rPh>
    <rPh sb="4" eb="5">
      <t>アタイ</t>
    </rPh>
    <rPh sb="6" eb="8">
      <t>シュウケイ</t>
    </rPh>
    <rPh sb="8" eb="9">
      <t>チ</t>
    </rPh>
    <phoneticPr fontId="9"/>
  </si>
  <si>
    <t>設計</t>
    <rPh sb="0" eb="2">
      <t>セッケイ</t>
    </rPh>
    <phoneticPr fontId="9"/>
  </si>
  <si>
    <t>測量</t>
    <rPh sb="0" eb="2">
      <t>ソクリョウ</t>
    </rPh>
    <phoneticPr fontId="9"/>
  </si>
  <si>
    <t>重点先情報</t>
    <rPh sb="0" eb="2">
      <t>ジュウテン</t>
    </rPh>
    <rPh sb="2" eb="3">
      <t>サキ</t>
    </rPh>
    <rPh sb="3" eb="5">
      <t>ジョウホウ</t>
    </rPh>
    <phoneticPr fontId="5"/>
  </si>
  <si>
    <t>今までの計画入力原紙との差異</t>
    <rPh sb="0" eb="1">
      <t>イマ</t>
    </rPh>
    <rPh sb="4" eb="6">
      <t>ケイカク</t>
    </rPh>
    <rPh sb="6" eb="8">
      <t>ニュウリョク</t>
    </rPh>
    <rPh sb="8" eb="10">
      <t>ゲンシ</t>
    </rPh>
    <rPh sb="12" eb="14">
      <t>サイ</t>
    </rPh>
    <phoneticPr fontId="9"/>
  </si>
  <si>
    <t>フィルタリングによるを計画入力実現</t>
    <rPh sb="11" eb="13">
      <t>ケイカク</t>
    </rPh>
    <rPh sb="13" eb="15">
      <t>ニュウリョク</t>
    </rPh>
    <rPh sb="15" eb="17">
      <t>ジツゲン</t>
    </rPh>
    <phoneticPr fontId="9"/>
  </si>
  <si>
    <t>計画金額や計画粗利を計算ではなく手入力可能</t>
    <rPh sb="0" eb="2">
      <t>ケイカク</t>
    </rPh>
    <rPh sb="2" eb="4">
      <t>キンガク</t>
    </rPh>
    <rPh sb="5" eb="7">
      <t>ケイカク</t>
    </rPh>
    <rPh sb="7" eb="9">
      <t>アラリ</t>
    </rPh>
    <rPh sb="10" eb="12">
      <t>ケイサン</t>
    </rPh>
    <rPh sb="16" eb="17">
      <t>テ</t>
    </rPh>
    <rPh sb="17" eb="19">
      <t>ニュウリョク</t>
    </rPh>
    <rPh sb="19" eb="21">
      <t>カノウ</t>
    </rPh>
    <phoneticPr fontId="9"/>
  </si>
  <si>
    <t>重点先でまとめた集計を実現可能</t>
    <rPh sb="0" eb="2">
      <t>ジュウテン</t>
    </rPh>
    <rPh sb="2" eb="3">
      <t>サキ</t>
    </rPh>
    <rPh sb="8" eb="10">
      <t>シュウケイ</t>
    </rPh>
    <rPh sb="11" eb="13">
      <t>ジツゲン</t>
    </rPh>
    <rPh sb="13" eb="15">
      <t>カノウ</t>
    </rPh>
    <phoneticPr fontId="9"/>
  </si>
  <si>
    <t xml:space="preserve"> 集計押下日時：</t>
    <rPh sb="1" eb="3">
      <t>シュウケイ</t>
    </rPh>
    <rPh sb="3" eb="5">
      <t>オウカ</t>
    </rPh>
    <rPh sb="5" eb="7">
      <t>ニチジ</t>
    </rPh>
    <phoneticPr fontId="9"/>
  </si>
  <si>
    <t xml:space="preserve"> 集計押下日時:</t>
    <rPh sb="1" eb="3">
      <t>シュウケイ</t>
    </rPh>
    <rPh sb="3" eb="5">
      <t>オウカ</t>
    </rPh>
    <rPh sb="5" eb="7">
      <t>ニチジ</t>
    </rPh>
    <phoneticPr fontId="9"/>
  </si>
  <si>
    <t>計</t>
    <rPh sb="0" eb="1">
      <t>ケイ</t>
    </rPh>
    <phoneticPr fontId="5"/>
  </si>
  <si>
    <t>画</t>
    <rPh sb="0" eb="1">
      <t>ガ</t>
    </rPh>
    <phoneticPr fontId="5"/>
  </si>
  <si>
    <t>他</t>
    <rPh sb="0" eb="1">
      <t>ホカ</t>
    </rPh>
    <phoneticPr fontId="5"/>
  </si>
  <si>
    <t>調</t>
    <rPh sb="0" eb="1">
      <t>チョウ</t>
    </rPh>
    <phoneticPr fontId="5"/>
  </si>
  <si>
    <t>整</t>
    <rPh sb="0" eb="1">
      <t>ヒトシ</t>
    </rPh>
    <phoneticPr fontId="5"/>
  </si>
  <si>
    <t>枠</t>
    <rPh sb="0" eb="1">
      <t>ワク</t>
    </rPh>
    <phoneticPr fontId="5"/>
  </si>
  <si>
    <t>そ</t>
    <phoneticPr fontId="5"/>
  </si>
  <si>
    <t>の</t>
    <phoneticPr fontId="5"/>
  </si>
  <si>
    <t/>
  </si>
  <si>
    <t xml:space="preserve"> 集計押下日時：2018/01/16 18:22</t>
    <phoneticPr fontId="9"/>
  </si>
  <si>
    <t>原沢 総一郎</t>
  </si>
  <si>
    <t>営業</t>
    <rPh sb="0" eb="2">
      <t>エイギョウ</t>
    </rPh>
    <phoneticPr fontId="5"/>
  </si>
  <si>
    <t>ASAH</t>
  </si>
  <si>
    <t>神奈川県</t>
  </si>
  <si>
    <t>52202</t>
  </si>
  <si>
    <t>株式会社ｵｰﾌﾟﾝﾊｳｽ･ｱｰｷﾃｸﾄ横浜ｾﾝﾀｰ南支店</t>
  </si>
  <si>
    <t>新規・ノンリピ</t>
    <rPh sb="0" eb="2">
      <t>シンキ</t>
    </rPh>
    <phoneticPr fontId="5"/>
  </si>
  <si>
    <t>液状化</t>
  </si>
  <si>
    <t>調査件数</t>
  </si>
  <si>
    <t>調査</t>
  </si>
  <si>
    <t>63965</t>
  </si>
  <si>
    <t>株式会社ｵｰﾌﾟﾝﾊｳｽ･ｱｰｷﾃｸﾄ藤沢住宅展示場</t>
  </si>
  <si>
    <t>守り</t>
    <rPh sb="0" eb="1">
      <t>マモ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</si>
</sst>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General&quot;年度&quot;"/>
  </numFmts>
  <fonts count="26"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ＭＳ Ｐ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8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indexed="8"/>
      <name val="ＭＳ Ｐ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b/>
      <sz val="9"/>
      <color rgb="FF0000FF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8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4" tint="0.79998168889431442"/>
        <bgColor indexed="64"/>
      </patternFill>
    </fill>
  </fills>
  <borders count="9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44">
    <xf numFmtId="0" fontId="0" fillId="0" borderId="0" xfId="0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4" fillId="0" borderId="2" xfId="2" applyNumberFormat="1" applyFont="1" applyFill="1" applyBorder="1" applyAlignment="1">
      <alignment horizontal="right" wrapText="1"/>
    </xf>
    <xf numFmtId="0" fontId="4" fillId="0" borderId="4" xfId="2" applyNumberFormat="1" applyFont="1" applyFill="1" applyBorder="1" applyAlignment="1">
      <alignment horizontal="right" wrapText="1"/>
    </xf>
    <xf numFmtId="0" fontId="4" fillId="0" borderId="3" xfId="2" applyNumberFormat="1" applyFont="1" applyFill="1" applyBorder="1" applyAlignment="1">
      <alignment horizontal="right" wrapText="1"/>
    </xf>
    <xf numFmtId="0" fontId="4" fillId="0" borderId="7" xfId="2" applyNumberFormat="1" applyFont="1" applyFill="1" applyBorder="1" applyAlignment="1">
      <alignment horizontal="right" wrapText="1"/>
    </xf>
    <xf numFmtId="0" fontId="4" fillId="0" borderId="9" xfId="2" applyNumberFormat="1" applyFont="1" applyFill="1" applyBorder="1" applyAlignment="1">
      <alignment horizontal="right" wrapText="1"/>
    </xf>
    <xf numFmtId="0" fontId="4" fillId="0" borderId="8" xfId="2" applyNumberFormat="1" applyFont="1" applyFill="1" applyBorder="1" applyAlignment="1">
      <alignment horizontal="right" wrapText="1"/>
    </xf>
    <xf numFmtId="176" fontId="6" fillId="4" borderId="5" xfId="0" applyNumberFormat="1" applyFont="1" applyFill="1" applyBorder="1">
      <alignment vertical="center"/>
    </xf>
    <xf numFmtId="176" fontId="6" fillId="4" borderId="6" xfId="0" applyNumberFormat="1" applyFont="1" applyFill="1" applyBorder="1">
      <alignment vertical="center"/>
    </xf>
    <xf numFmtId="176" fontId="6" fillId="0" borderId="5" xfId="0" applyNumberFormat="1" applyFont="1" applyBorder="1">
      <alignment vertical="center"/>
    </xf>
    <xf numFmtId="176" fontId="6" fillId="0" borderId="6" xfId="0" applyNumberFormat="1" applyFont="1" applyBorder="1">
      <alignment vertical="center"/>
    </xf>
    <xf numFmtId="0" fontId="8" fillId="0" borderId="0" xfId="0" applyFont="1" applyFill="1">
      <alignment vertical="center"/>
    </xf>
    <xf numFmtId="0" fontId="0" fillId="0" borderId="0" xfId="0" applyFont="1">
      <alignment vertical="center"/>
    </xf>
    <xf numFmtId="0" fontId="6" fillId="0" borderId="0" xfId="0" applyFont="1" applyAlignment="1">
      <alignment vertical="center"/>
    </xf>
    <xf numFmtId="14" fontId="0" fillId="0" borderId="0" xfId="0" applyNumberFormat="1" applyFont="1">
      <alignment vertical="center"/>
    </xf>
    <xf numFmtId="0" fontId="0" fillId="4" borderId="0" xfId="0" applyFont="1" applyFill="1">
      <alignment vertical="center"/>
    </xf>
    <xf numFmtId="0" fontId="1" fillId="4" borderId="0" xfId="2" applyFont="1" applyFill="1" applyBorder="1" applyAlignment="1">
      <alignment horizontal="left" wrapText="1"/>
    </xf>
    <xf numFmtId="0" fontId="1" fillId="5" borderId="0" xfId="2" applyNumberFormat="1" applyFont="1" applyFill="1" applyBorder="1" applyAlignment="1">
      <alignment horizontal="right" wrapText="1"/>
    </xf>
    <xf numFmtId="0" fontId="1" fillId="4" borderId="0" xfId="2" applyNumberFormat="1" applyFont="1" applyFill="1" applyBorder="1" applyAlignment="1">
      <alignment horizontal="right" wrapText="1"/>
    </xf>
    <xf numFmtId="0" fontId="0" fillId="0" borderId="2" xfId="0" applyBorder="1">
      <alignment vertical="center"/>
    </xf>
    <xf numFmtId="0" fontId="0" fillId="0" borderId="16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0" fillId="0" borderId="9" xfId="0" applyBorder="1">
      <alignment vertical="center"/>
    </xf>
    <xf numFmtId="0" fontId="0" fillId="0" borderId="12" xfId="0" applyBorder="1">
      <alignment vertical="center"/>
    </xf>
    <xf numFmtId="0" fontId="0" fillId="0" borderId="30" xfId="0" applyBorder="1">
      <alignment vertical="center"/>
    </xf>
    <xf numFmtId="0" fontId="0" fillId="0" borderId="25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11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Font="1" applyAlignment="1">
      <alignment horizontal="center" vertical="center"/>
    </xf>
    <xf numFmtId="176" fontId="6" fillId="4" borderId="16" xfId="0" applyNumberFormat="1" applyFont="1" applyFill="1" applyBorder="1">
      <alignment vertical="center"/>
    </xf>
    <xf numFmtId="176" fontId="6" fillId="0" borderId="16" xfId="0" applyNumberFormat="1" applyFont="1" applyBorder="1">
      <alignment vertical="center"/>
    </xf>
    <xf numFmtId="0" fontId="6" fillId="0" borderId="36" xfId="2" applyFont="1" applyFill="1" applyBorder="1" applyAlignment="1">
      <alignment horizontal="left" wrapText="1"/>
    </xf>
    <xf numFmtId="0" fontId="4" fillId="12" borderId="30" xfId="2" applyNumberFormat="1" applyFont="1" applyFill="1" applyBorder="1" applyAlignment="1">
      <alignment horizontal="right" wrapText="1"/>
    </xf>
    <xf numFmtId="0" fontId="4" fillId="12" borderId="25" xfId="2" applyNumberFormat="1" applyFont="1" applyFill="1" applyBorder="1" applyAlignment="1">
      <alignment horizontal="right" wrapText="1"/>
    </xf>
    <xf numFmtId="0" fontId="4" fillId="12" borderId="1" xfId="2" applyNumberFormat="1" applyFont="1" applyFill="1" applyBorder="1" applyAlignment="1">
      <alignment horizontal="right" wrapText="1"/>
    </xf>
    <xf numFmtId="0" fontId="4" fillId="12" borderId="11" xfId="2" applyNumberFormat="1" applyFont="1" applyFill="1" applyBorder="1" applyAlignment="1">
      <alignment horizontal="right" wrapText="1"/>
    </xf>
    <xf numFmtId="0" fontId="0" fillId="12" borderId="34" xfId="0" applyFill="1" applyBorder="1">
      <alignment vertical="center"/>
    </xf>
    <xf numFmtId="0" fontId="0" fillId="12" borderId="35" xfId="0" applyFill="1" applyBorder="1">
      <alignment vertical="center"/>
    </xf>
    <xf numFmtId="0" fontId="4" fillId="13" borderId="30" xfId="2" applyNumberFormat="1" applyFont="1" applyFill="1" applyBorder="1" applyAlignment="1">
      <alignment horizontal="right" wrapText="1"/>
    </xf>
    <xf numFmtId="0" fontId="4" fillId="13" borderId="25" xfId="2" applyNumberFormat="1" applyFont="1" applyFill="1" applyBorder="1" applyAlignment="1">
      <alignment horizontal="right" wrapText="1"/>
    </xf>
    <xf numFmtId="0" fontId="6" fillId="10" borderId="33" xfId="3" applyFont="1" applyFill="1" applyBorder="1" applyAlignment="1">
      <alignment horizontal="center" vertical="center"/>
    </xf>
    <xf numFmtId="0" fontId="6" fillId="10" borderId="5" xfId="3" applyFont="1" applyFill="1" applyBorder="1" applyAlignment="1">
      <alignment horizontal="center" vertical="center"/>
    </xf>
    <xf numFmtId="0" fontId="6" fillId="10" borderId="6" xfId="3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0" fillId="2" borderId="45" xfId="3" applyFont="1" applyFill="1" applyBorder="1" applyAlignment="1">
      <alignment horizontal="center" vertical="center" wrapText="1"/>
    </xf>
    <xf numFmtId="0" fontId="10" fillId="2" borderId="46" xfId="3" applyFont="1" applyFill="1" applyBorder="1" applyAlignment="1">
      <alignment horizontal="center" vertical="center" wrapText="1"/>
    </xf>
    <xf numFmtId="0" fontId="10" fillId="2" borderId="47" xfId="3" applyFont="1" applyFill="1" applyBorder="1" applyAlignment="1">
      <alignment horizontal="center" vertical="center"/>
    </xf>
    <xf numFmtId="0" fontId="10" fillId="2" borderId="48" xfId="3" applyFont="1" applyFill="1" applyBorder="1" applyAlignment="1">
      <alignment horizontal="center" vertical="center"/>
    </xf>
    <xf numFmtId="0" fontId="10" fillId="2" borderId="49" xfId="3" applyFont="1" applyFill="1" applyBorder="1" applyAlignment="1">
      <alignment horizontal="center" vertical="center"/>
    </xf>
    <xf numFmtId="0" fontId="10" fillId="2" borderId="50" xfId="3" applyFont="1" applyFill="1" applyBorder="1" applyAlignment="1">
      <alignment horizontal="center" vertical="center"/>
    </xf>
    <xf numFmtId="0" fontId="10" fillId="2" borderId="51" xfId="3" applyFont="1" applyFill="1" applyBorder="1" applyAlignment="1">
      <alignment horizontal="center" vertical="center"/>
    </xf>
    <xf numFmtId="0" fontId="10" fillId="2" borderId="52" xfId="3" applyFont="1" applyFill="1" applyBorder="1" applyAlignment="1">
      <alignment horizontal="center" vertical="center"/>
    </xf>
    <xf numFmtId="0" fontId="6" fillId="14" borderId="16" xfId="3" applyFont="1" applyFill="1" applyBorder="1" applyAlignment="1">
      <alignment horizontal="center" vertical="center" wrapText="1"/>
    </xf>
    <xf numFmtId="14" fontId="6" fillId="14" borderId="5" xfId="3" applyNumberFormat="1" applyFont="1" applyFill="1" applyBorder="1" applyAlignment="1">
      <alignment horizontal="center" vertical="center" wrapText="1"/>
    </xf>
    <xf numFmtId="0" fontId="6" fillId="14" borderId="5" xfId="3" applyFont="1" applyFill="1" applyBorder="1" applyAlignment="1">
      <alignment horizontal="center" vertical="center" wrapText="1"/>
    </xf>
    <xf numFmtId="0" fontId="6" fillId="14" borderId="5" xfId="3" applyFont="1" applyFill="1" applyBorder="1" applyAlignment="1">
      <alignment horizontal="center" vertical="center"/>
    </xf>
    <xf numFmtId="0" fontId="6" fillId="14" borderId="6" xfId="3" applyFont="1" applyFill="1" applyBorder="1" applyAlignment="1">
      <alignment horizontal="center" vertical="center"/>
    </xf>
    <xf numFmtId="0" fontId="6" fillId="14" borderId="12" xfId="3" applyFont="1" applyFill="1" applyBorder="1" applyAlignment="1">
      <alignment horizontal="center" vertical="center"/>
    </xf>
    <xf numFmtId="0" fontId="6" fillId="14" borderId="10" xfId="3" applyFont="1" applyFill="1" applyBorder="1" applyAlignment="1">
      <alignment horizontal="center" vertical="center"/>
    </xf>
    <xf numFmtId="0" fontId="6" fillId="14" borderId="16" xfId="3" applyFont="1" applyFill="1" applyBorder="1" applyAlignment="1">
      <alignment horizontal="center" vertical="center"/>
    </xf>
    <xf numFmtId="176" fontId="0" fillId="12" borderId="39" xfId="0" applyNumberFormat="1" applyFont="1" applyFill="1" applyBorder="1">
      <alignment vertical="center"/>
    </xf>
    <xf numFmtId="176" fontId="0" fillId="0" borderId="40" xfId="0" applyNumberFormat="1" applyFont="1" applyBorder="1">
      <alignment vertical="center"/>
    </xf>
    <xf numFmtId="176" fontId="0" fillId="0" borderId="42" xfId="0" applyNumberFormat="1" applyFont="1" applyBorder="1">
      <alignment vertical="center"/>
    </xf>
    <xf numFmtId="176" fontId="0" fillId="0" borderId="41" xfId="0" applyNumberFormat="1" applyFont="1" applyBorder="1">
      <alignment vertical="center"/>
    </xf>
    <xf numFmtId="176" fontId="0" fillId="12" borderId="43" xfId="0" applyNumberFormat="1" applyFont="1" applyFill="1" applyBorder="1">
      <alignment vertical="center"/>
    </xf>
    <xf numFmtId="176" fontId="0" fillId="12" borderId="44" xfId="0" applyNumberFormat="1" applyFont="1" applyFill="1" applyBorder="1">
      <alignment vertical="center"/>
    </xf>
    <xf numFmtId="0" fontId="10" fillId="14" borderId="46" xfId="3" applyFont="1" applyFill="1" applyBorder="1" applyAlignment="1">
      <alignment horizontal="center" vertical="center" wrapText="1"/>
    </xf>
    <xf numFmtId="0" fontId="0" fillId="16" borderId="0" xfId="0" applyFill="1">
      <alignment vertical="center"/>
    </xf>
    <xf numFmtId="0" fontId="12" fillId="16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11" borderId="19" xfId="0" applyFont="1" applyFill="1" applyBorder="1" applyAlignment="1">
      <alignment horizontal="center" vertical="center" wrapText="1"/>
    </xf>
    <xf numFmtId="0" fontId="15" fillId="17" borderId="19" xfId="0" applyFont="1" applyFill="1" applyBorder="1" applyAlignment="1">
      <alignment horizontal="center" vertical="center" wrapText="1"/>
    </xf>
    <xf numFmtId="0" fontId="16" fillId="18" borderId="43" xfId="0" applyFont="1" applyFill="1" applyBorder="1" applyAlignment="1">
      <alignment horizontal="center" vertical="center"/>
    </xf>
    <xf numFmtId="0" fontId="16" fillId="18" borderId="40" xfId="0" applyFont="1" applyFill="1" applyBorder="1" applyAlignment="1">
      <alignment horizontal="center" vertical="center"/>
    </xf>
    <xf numFmtId="0" fontId="16" fillId="18" borderId="42" xfId="0" applyFont="1" applyFill="1" applyBorder="1">
      <alignment vertical="center"/>
    </xf>
    <xf numFmtId="0" fontId="16" fillId="18" borderId="37" xfId="0" applyFont="1" applyFill="1" applyBorder="1">
      <alignment vertical="center"/>
    </xf>
    <xf numFmtId="0" fontId="16" fillId="18" borderId="38" xfId="0" applyFont="1" applyFill="1" applyBorder="1">
      <alignment vertical="center"/>
    </xf>
    <xf numFmtId="0" fontId="17" fillId="11" borderId="41" xfId="4" applyFont="1" applyFill="1" applyBorder="1" applyAlignment="1">
      <alignment horizontal="center" wrapText="1"/>
    </xf>
    <xf numFmtId="0" fontId="13" fillId="0" borderId="66" xfId="0" applyFont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62" xfId="0" applyFill="1" applyBorder="1">
      <alignment vertical="center"/>
    </xf>
    <xf numFmtId="0" fontId="0" fillId="12" borderId="18" xfId="0" applyFill="1" applyBorder="1">
      <alignment vertical="center"/>
    </xf>
    <xf numFmtId="0" fontId="17" fillId="12" borderId="6" xfId="4" applyFont="1" applyFill="1" applyBorder="1" applyAlignment="1">
      <alignment horizontal="center" wrapText="1"/>
    </xf>
    <xf numFmtId="0" fontId="13" fillId="0" borderId="67" xfId="0" applyFont="1" applyBorder="1" applyAlignment="1">
      <alignment horizontal="center" vertical="center"/>
    </xf>
    <xf numFmtId="0" fontId="0" fillId="12" borderId="3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4" xfId="0" applyFill="1" applyBorder="1">
      <alignment vertical="center"/>
    </xf>
    <xf numFmtId="0" fontId="0" fillId="12" borderId="64" xfId="0" applyFill="1" applyBorder="1">
      <alignment vertical="center"/>
    </xf>
    <xf numFmtId="0" fontId="0" fillId="12" borderId="68" xfId="0" applyFill="1" applyBorder="1">
      <alignment vertical="center"/>
    </xf>
    <xf numFmtId="0" fontId="17" fillId="12" borderId="3" xfId="4" applyFont="1" applyFill="1" applyBorder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>
      <alignment vertical="center"/>
    </xf>
    <xf numFmtId="0" fontId="0" fillId="10" borderId="64" xfId="0" applyFill="1" applyBorder="1">
      <alignment vertical="center"/>
    </xf>
    <xf numFmtId="0" fontId="0" fillId="10" borderId="68" xfId="0" applyFill="1" applyBorder="1">
      <alignment vertical="center"/>
    </xf>
    <xf numFmtId="0" fontId="17" fillId="0" borderId="3" xfId="4" applyFont="1" applyFill="1" applyBorder="1" applyAlignment="1">
      <alignment horizontal="center" wrapText="1"/>
    </xf>
    <xf numFmtId="0" fontId="17" fillId="10" borderId="3" xfId="4" applyFont="1" applyFill="1" applyBorder="1" applyAlignment="1">
      <alignment horizontal="center" wrapText="1"/>
    </xf>
    <xf numFmtId="0" fontId="19" fillId="0" borderId="0" xfId="0" applyFont="1">
      <alignment vertical="center"/>
    </xf>
    <xf numFmtId="0" fontId="13" fillId="0" borderId="69" xfId="0" applyFont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9" xfId="0" applyFill="1" applyBorder="1">
      <alignment vertical="center"/>
    </xf>
    <xf numFmtId="0" fontId="0" fillId="10" borderId="65" xfId="0" applyFill="1" applyBorder="1">
      <alignment vertical="center"/>
    </xf>
    <xf numFmtId="0" fontId="0" fillId="10" borderId="17" xfId="0" applyFill="1" applyBorder="1">
      <alignment vertical="center"/>
    </xf>
    <xf numFmtId="0" fontId="17" fillId="0" borderId="28" xfId="4" applyFont="1" applyFill="1" applyBorder="1" applyAlignment="1">
      <alignment horizontal="center" wrapText="1"/>
    </xf>
    <xf numFmtId="0" fontId="0" fillId="16" borderId="32" xfId="0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5" xfId="0" applyFill="1" applyBorder="1">
      <alignment vertical="center"/>
    </xf>
    <xf numFmtId="0" fontId="0" fillId="16" borderId="63" xfId="0" applyFill="1" applyBorder="1">
      <alignment vertical="center"/>
    </xf>
    <xf numFmtId="0" fontId="0" fillId="16" borderId="70" xfId="0" applyFill="1" applyBorder="1">
      <alignment vertical="center"/>
    </xf>
    <xf numFmtId="0" fontId="17" fillId="0" borderId="6" xfId="4" applyFont="1" applyFill="1" applyBorder="1" applyAlignment="1">
      <alignment horizontal="center" wrapText="1"/>
    </xf>
    <xf numFmtId="0" fontId="0" fillId="16" borderId="25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9" xfId="0" applyFill="1" applyBorder="1">
      <alignment vertical="center"/>
    </xf>
    <xf numFmtId="0" fontId="0" fillId="16" borderId="65" xfId="0" applyFill="1" applyBorder="1">
      <alignment vertical="center"/>
    </xf>
    <xf numFmtId="0" fontId="0" fillId="16" borderId="17" xfId="0" applyFill="1" applyBorder="1">
      <alignment vertical="center"/>
    </xf>
    <xf numFmtId="0" fontId="17" fillId="0" borderId="8" xfId="4" applyFont="1" applyFill="1" applyBorder="1" applyAlignment="1">
      <alignment horizontal="center" wrapText="1"/>
    </xf>
    <xf numFmtId="0" fontId="0" fillId="17" borderId="12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10" xfId="0" applyFill="1" applyBorder="1">
      <alignment vertical="center"/>
    </xf>
    <xf numFmtId="0" fontId="0" fillId="17" borderId="62" xfId="0" applyFill="1" applyBorder="1">
      <alignment vertical="center"/>
    </xf>
    <xf numFmtId="0" fontId="0" fillId="17" borderId="18" xfId="0" applyFill="1" applyBorder="1">
      <alignment vertical="center"/>
    </xf>
    <xf numFmtId="0" fontId="17" fillId="0" borderId="31" xfId="4" applyFont="1" applyFill="1" applyBorder="1" applyAlignment="1">
      <alignment horizontal="center" wrapText="1"/>
    </xf>
    <xf numFmtId="0" fontId="0" fillId="17" borderId="3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>
      <alignment vertical="center"/>
    </xf>
    <xf numFmtId="0" fontId="0" fillId="17" borderId="64" xfId="0" applyFill="1" applyBorder="1">
      <alignment vertical="center"/>
    </xf>
    <xf numFmtId="0" fontId="0" fillId="17" borderId="68" xfId="0" applyFill="1" applyBorder="1">
      <alignment vertical="center"/>
    </xf>
    <xf numFmtId="0" fontId="0" fillId="19" borderId="30" xfId="0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>
      <alignment vertical="center"/>
    </xf>
    <xf numFmtId="0" fontId="0" fillId="19" borderId="64" xfId="0" applyFill="1" applyBorder="1">
      <alignment vertical="center"/>
    </xf>
    <xf numFmtId="0" fontId="0" fillId="19" borderId="68" xfId="0" applyFill="1" applyBorder="1">
      <alignment vertical="center"/>
    </xf>
    <xf numFmtId="0" fontId="17" fillId="19" borderId="3" xfId="4" applyFont="1" applyFill="1" applyBorder="1" applyAlignment="1">
      <alignment horizontal="center" wrapText="1"/>
    </xf>
    <xf numFmtId="0" fontId="0" fillId="0" borderId="67" xfId="0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9" xfId="0" applyFill="1" applyBorder="1">
      <alignment vertical="center"/>
    </xf>
    <xf numFmtId="0" fontId="0" fillId="17" borderId="65" xfId="0" applyFill="1" applyBorder="1">
      <alignment vertical="center"/>
    </xf>
    <xf numFmtId="0" fontId="0" fillId="17" borderId="17" xfId="0" applyFill="1" applyBorder="1">
      <alignment vertical="center"/>
    </xf>
    <xf numFmtId="0" fontId="0" fillId="0" borderId="0" xfId="0" applyAlignment="1">
      <alignment horizontal="center" vertical="center"/>
    </xf>
    <xf numFmtId="0" fontId="12" fillId="0" borderId="0" xfId="0" applyFont="1">
      <alignment vertical="center"/>
    </xf>
    <xf numFmtId="0" fontId="0" fillId="0" borderId="27" xfId="0" applyBorder="1">
      <alignment vertical="center"/>
    </xf>
    <xf numFmtId="0" fontId="4" fillId="10" borderId="1" xfId="1" applyFont="1" applyFill="1" applyBorder="1" applyAlignment="1">
      <alignment horizontal="left"/>
    </xf>
    <xf numFmtId="0" fontId="4" fillId="10" borderId="2" xfId="1" applyFont="1" applyFill="1" applyBorder="1" applyAlignment="1">
      <alignment horizontal="left"/>
    </xf>
    <xf numFmtId="0" fontId="4" fillId="10" borderId="2" xfId="2" applyFont="1" applyFill="1" applyBorder="1" applyAlignment="1">
      <alignment horizontal="left"/>
    </xf>
    <xf numFmtId="49" fontId="4" fillId="10" borderId="2" xfId="2" applyNumberFormat="1" applyFont="1" applyFill="1" applyBorder="1" applyAlignment="1">
      <alignment horizontal="left"/>
    </xf>
    <xf numFmtId="0" fontId="4" fillId="10" borderId="3" xfId="2" applyFont="1" applyFill="1" applyBorder="1" applyAlignment="1">
      <alignment horizontal="left"/>
    </xf>
    <xf numFmtId="0" fontId="4" fillId="10" borderId="11" xfId="2" applyFont="1" applyFill="1" applyBorder="1" applyAlignment="1">
      <alignment horizontal="left" wrapText="1"/>
    </xf>
    <xf numFmtId="0" fontId="4" fillId="10" borderId="7" xfId="2" applyFont="1" applyFill="1" applyBorder="1" applyAlignment="1">
      <alignment horizontal="left" wrapText="1"/>
    </xf>
    <xf numFmtId="49" fontId="4" fillId="10" borderId="7" xfId="2" applyNumberFormat="1" applyFont="1" applyFill="1" applyBorder="1" applyAlignment="1">
      <alignment horizontal="center" wrapText="1"/>
    </xf>
    <xf numFmtId="0" fontId="4" fillId="10" borderId="7" xfId="2" applyFont="1" applyFill="1" applyBorder="1" applyAlignment="1">
      <alignment horizontal="center" wrapText="1"/>
    </xf>
    <xf numFmtId="0" fontId="4" fillId="10" borderId="8" xfId="2" applyFont="1" applyFill="1" applyBorder="1" applyAlignment="1">
      <alignment horizontal="left" wrapText="1"/>
    </xf>
    <xf numFmtId="176" fontId="6" fillId="4" borderId="0" xfId="0" applyNumberFormat="1" applyFont="1" applyFill="1" applyBorder="1" applyAlignment="1">
      <alignment horizontal="right" vertical="center"/>
    </xf>
    <xf numFmtId="176" fontId="6" fillId="0" borderId="0" xfId="0" applyNumberFormat="1" applyFont="1" applyBorder="1">
      <alignment vertical="center"/>
    </xf>
    <xf numFmtId="0" fontId="0" fillId="0" borderId="0" xfId="0" applyFont="1" applyBorder="1">
      <alignment vertical="center"/>
    </xf>
    <xf numFmtId="49" fontId="0" fillId="20" borderId="0" xfId="0" applyNumberFormat="1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center" vertical="center"/>
    </xf>
    <xf numFmtId="0" fontId="0" fillId="20" borderId="0" xfId="0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right" vertical="center"/>
    </xf>
    <xf numFmtId="0" fontId="0" fillId="20" borderId="0" xfId="0" applyFill="1" applyBorder="1" applyAlignment="1">
      <alignment horizontal="right" vertical="center"/>
    </xf>
    <xf numFmtId="0" fontId="10" fillId="10" borderId="48" xfId="3" applyFont="1" applyFill="1" applyBorder="1" applyAlignment="1">
      <alignment horizontal="center" vertical="center"/>
    </xf>
    <xf numFmtId="0" fontId="10" fillId="10" borderId="49" xfId="3" applyFont="1" applyFill="1" applyBorder="1" applyAlignment="1">
      <alignment horizontal="center" vertical="center"/>
    </xf>
    <xf numFmtId="0" fontId="10" fillId="10" borderId="50" xfId="3" applyFont="1" applyFill="1" applyBorder="1" applyAlignment="1">
      <alignment horizontal="center" vertical="center"/>
    </xf>
    <xf numFmtId="0" fontId="10" fillId="10" borderId="51" xfId="3" applyFont="1" applyFill="1" applyBorder="1" applyAlignment="1">
      <alignment horizontal="center" vertical="center"/>
    </xf>
    <xf numFmtId="0" fontId="10" fillId="10" borderId="52" xfId="3" applyFont="1" applyFill="1" applyBorder="1" applyAlignment="1">
      <alignment horizontal="center" vertical="center"/>
    </xf>
    <xf numFmtId="0" fontId="12" fillId="21" borderId="26" xfId="0" applyFont="1" applyFill="1" applyBorder="1" applyAlignment="1">
      <alignment horizontal="center" vertical="center"/>
    </xf>
    <xf numFmtId="0" fontId="12" fillId="21" borderId="27" xfId="0" applyFont="1" applyFill="1" applyBorder="1" applyAlignment="1">
      <alignment horizontal="center" vertical="center"/>
    </xf>
    <xf numFmtId="0" fontId="12" fillId="21" borderId="28" xfId="0" applyFont="1" applyFill="1" applyBorder="1" applyAlignment="1">
      <alignment horizontal="center" vertical="center"/>
    </xf>
    <xf numFmtId="0" fontId="20" fillId="0" borderId="10" xfId="0" applyFont="1" applyBorder="1">
      <alignment vertical="center"/>
    </xf>
    <xf numFmtId="0" fontId="20" fillId="0" borderId="15" xfId="0" applyFont="1" applyBorder="1">
      <alignment vertical="center"/>
    </xf>
    <xf numFmtId="0" fontId="20" fillId="0" borderId="4" xfId="0" applyFont="1" applyBorder="1">
      <alignment vertical="center"/>
    </xf>
    <xf numFmtId="0" fontId="20" fillId="0" borderId="9" xfId="0" applyFont="1" applyBorder="1">
      <alignment vertical="center"/>
    </xf>
    <xf numFmtId="0" fontId="0" fillId="0" borderId="71" xfId="0" applyBorder="1">
      <alignment vertical="center"/>
    </xf>
    <xf numFmtId="0" fontId="0" fillId="0" borderId="72" xfId="0" applyBorder="1">
      <alignment vertical="center"/>
    </xf>
    <xf numFmtId="0" fontId="12" fillId="21" borderId="19" xfId="0" applyFont="1" applyFill="1" applyBorder="1">
      <alignment vertical="center"/>
    </xf>
    <xf numFmtId="0" fontId="12" fillId="21" borderId="74" xfId="0" applyFont="1" applyFill="1" applyBorder="1" applyAlignment="1">
      <alignment horizontal="center" vertical="center"/>
    </xf>
    <xf numFmtId="0" fontId="12" fillId="21" borderId="75" xfId="0" applyFont="1" applyFill="1" applyBorder="1" applyAlignment="1">
      <alignment horizontal="center" vertical="center"/>
    </xf>
    <xf numFmtId="0" fontId="6" fillId="22" borderId="5" xfId="3" applyFont="1" applyFill="1" applyBorder="1" applyAlignment="1">
      <alignment horizontal="center" vertical="center"/>
    </xf>
    <xf numFmtId="0" fontId="6" fillId="22" borderId="6" xfId="3" applyFont="1" applyFill="1" applyBorder="1" applyAlignment="1">
      <alignment horizontal="center" vertical="center"/>
    </xf>
    <xf numFmtId="0" fontId="6" fillId="22" borderId="16" xfId="3" applyFont="1" applyFill="1" applyBorder="1" applyAlignment="1">
      <alignment horizontal="center" vertical="center"/>
    </xf>
    <xf numFmtId="0" fontId="4" fillId="22" borderId="1" xfId="2" applyFont="1" applyFill="1" applyBorder="1" applyAlignment="1">
      <alignment horizontal="left"/>
    </xf>
    <xf numFmtId="0" fontId="4" fillId="22" borderId="2" xfId="2" applyFont="1" applyFill="1" applyBorder="1" applyAlignment="1">
      <alignment horizontal="left"/>
    </xf>
    <xf numFmtId="0" fontId="4" fillId="22" borderId="3" xfId="2" applyFont="1" applyFill="1" applyBorder="1" applyAlignment="1">
      <alignment horizontal="left"/>
    </xf>
    <xf numFmtId="0" fontId="6" fillId="22" borderId="39" xfId="2" applyFont="1" applyFill="1" applyBorder="1" applyAlignment="1">
      <alignment horizontal="left" wrapText="1"/>
    </xf>
    <xf numFmtId="0" fontId="6" fillId="22" borderId="40" xfId="2" applyFont="1" applyFill="1" applyBorder="1" applyAlignment="1">
      <alignment horizontal="left" wrapText="1"/>
    </xf>
    <xf numFmtId="0" fontId="6" fillId="22" borderId="41" xfId="2" applyFont="1" applyFill="1" applyBorder="1" applyAlignment="1">
      <alignment horizontal="left" wrapText="1"/>
    </xf>
    <xf numFmtId="0" fontId="4" fillId="22" borderId="11" xfId="2" applyFont="1" applyFill="1" applyBorder="1" applyAlignment="1">
      <alignment horizontal="left" wrapText="1"/>
    </xf>
    <xf numFmtId="0" fontId="4" fillId="22" borderId="7" xfId="2" applyFont="1" applyFill="1" applyBorder="1" applyAlignment="1">
      <alignment horizontal="left" wrapText="1"/>
    </xf>
    <xf numFmtId="0" fontId="4" fillId="22" borderId="8" xfId="2" applyFont="1" applyFill="1" applyBorder="1" applyAlignment="1">
      <alignment horizontal="left" wrapText="1"/>
    </xf>
    <xf numFmtId="176" fontId="6" fillId="4" borderId="39" xfId="0" applyNumberFormat="1" applyFont="1" applyFill="1" applyBorder="1" applyAlignment="1">
      <alignment horizontal="right" vertical="center"/>
    </xf>
    <xf numFmtId="176" fontId="6" fillId="4" borderId="40" xfId="0" applyNumberFormat="1" applyFont="1" applyFill="1" applyBorder="1" applyAlignment="1">
      <alignment horizontal="right" vertical="center"/>
    </xf>
    <xf numFmtId="176" fontId="6" fillId="4" borderId="41" xfId="0" applyNumberFormat="1" applyFont="1" applyFill="1" applyBorder="1" applyAlignment="1">
      <alignment horizontal="right" vertical="center"/>
    </xf>
    <xf numFmtId="176" fontId="6" fillId="0" borderId="39" xfId="0" applyNumberFormat="1" applyFont="1" applyBorder="1">
      <alignment vertical="center"/>
    </xf>
    <xf numFmtId="176" fontId="6" fillId="0" borderId="40" xfId="0" applyNumberFormat="1" applyFont="1" applyBorder="1">
      <alignment vertical="center"/>
    </xf>
    <xf numFmtId="176" fontId="6" fillId="0" borderId="41" xfId="0" applyNumberFormat="1" applyFont="1" applyBorder="1">
      <alignment vertical="center"/>
    </xf>
    <xf numFmtId="176" fontId="22" fillId="3" borderId="7" xfId="0" applyNumberFormat="1" applyFont="1" applyFill="1" applyBorder="1" applyAlignment="1">
      <alignment horizontal="right" vertical="center"/>
    </xf>
    <xf numFmtId="176" fontId="22" fillId="20" borderId="0" xfId="0" applyNumberFormat="1" applyFont="1" applyFill="1" applyBorder="1" applyAlignment="1">
      <alignment horizontal="right" vertical="center"/>
    </xf>
    <xf numFmtId="0" fontId="21" fillId="20" borderId="0" xfId="0" applyFont="1" applyFill="1" applyBorder="1" applyAlignment="1">
      <alignment horizontal="right" vertical="center"/>
    </xf>
    <xf numFmtId="0" fontId="23" fillId="15" borderId="20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49" fontId="21" fillId="15" borderId="21" xfId="0" applyNumberFormat="1" applyFont="1" applyFill="1" applyBorder="1" applyAlignment="1">
      <alignment horizontal="center" vertical="center"/>
    </xf>
    <xf numFmtId="0" fontId="0" fillId="12" borderId="16" xfId="0" applyFill="1" applyBorder="1">
      <alignment vertical="center"/>
    </xf>
    <xf numFmtId="0" fontId="0" fillId="12" borderId="13" xfId="0" applyFill="1" applyBorder="1">
      <alignment vertical="center"/>
    </xf>
    <xf numFmtId="0" fontId="0" fillId="12" borderId="1" xfId="0" applyFill="1" applyBorder="1">
      <alignment vertical="center"/>
    </xf>
    <xf numFmtId="0" fontId="0" fillId="12" borderId="11" xfId="0" applyFill="1" applyBorder="1">
      <alignment vertical="center"/>
    </xf>
    <xf numFmtId="0" fontId="0" fillId="12" borderId="30" xfId="0" applyFill="1" applyBorder="1">
      <alignment vertical="center"/>
    </xf>
    <xf numFmtId="0" fontId="0" fillId="12" borderId="25" xfId="0" applyFill="1" applyBorder="1">
      <alignment vertical="center"/>
    </xf>
    <xf numFmtId="0" fontId="24" fillId="10" borderId="76" xfId="0" applyFont="1" applyFill="1" applyBorder="1">
      <alignment vertical="center"/>
    </xf>
    <xf numFmtId="0" fontId="24" fillId="10" borderId="76" xfId="0" applyFont="1" applyFill="1" applyBorder="1" applyAlignment="1">
      <alignment horizontal="right" vertical="center"/>
    </xf>
    <xf numFmtId="0" fontId="0" fillId="10" borderId="59" xfId="0" applyFill="1" applyBorder="1">
      <alignment vertical="center"/>
    </xf>
    <xf numFmtId="0" fontId="0" fillId="12" borderId="76" xfId="0" applyFill="1" applyBorder="1">
      <alignment vertical="center"/>
    </xf>
    <xf numFmtId="0" fontId="0" fillId="9" borderId="76" xfId="0" applyFill="1" applyBorder="1">
      <alignment vertical="center"/>
    </xf>
    <xf numFmtId="0" fontId="0" fillId="9" borderId="59" xfId="0" applyFill="1" applyBorder="1">
      <alignment vertical="center"/>
    </xf>
    <xf numFmtId="0" fontId="0" fillId="0" borderId="26" xfId="0" applyBorder="1">
      <alignment vertical="center"/>
    </xf>
    <xf numFmtId="0" fontId="0" fillId="0" borderId="29" xfId="0" applyBorder="1">
      <alignment vertical="center"/>
    </xf>
    <xf numFmtId="0" fontId="12" fillId="23" borderId="39" xfId="0" applyFont="1" applyFill="1" applyBorder="1" applyAlignment="1">
      <alignment horizontal="center" vertical="center"/>
    </xf>
    <xf numFmtId="0" fontId="12" fillId="23" borderId="40" xfId="0" applyFont="1" applyFill="1" applyBorder="1" applyAlignment="1">
      <alignment horizontal="center" vertical="center"/>
    </xf>
    <xf numFmtId="0" fontId="12" fillId="23" borderId="41" xfId="0" applyFont="1" applyFill="1" applyBorder="1" applyAlignment="1">
      <alignment horizontal="center" vertical="center"/>
    </xf>
    <xf numFmtId="0" fontId="12" fillId="0" borderId="16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5" xfId="0" applyFont="1" applyBorder="1">
      <alignment vertical="center"/>
    </xf>
    <xf numFmtId="0" fontId="12" fillId="0" borderId="6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3" xfId="0" applyFont="1" applyBorder="1">
      <alignment vertical="center"/>
    </xf>
    <xf numFmtId="0" fontId="12" fillId="0" borderId="11" xfId="0" applyFont="1" applyBorder="1">
      <alignment vertical="center"/>
    </xf>
    <xf numFmtId="0" fontId="12" fillId="0" borderId="7" xfId="0" applyFont="1" applyBorder="1">
      <alignment vertical="center"/>
    </xf>
    <xf numFmtId="0" fontId="12" fillId="0" borderId="8" xfId="0" applyFont="1" applyBorder="1">
      <alignment vertical="center"/>
    </xf>
    <xf numFmtId="0" fontId="12" fillId="0" borderId="13" xfId="0" applyFont="1" applyBorder="1">
      <alignment vertical="center"/>
    </xf>
    <xf numFmtId="0" fontId="12" fillId="0" borderId="14" xfId="0" applyFont="1" applyBorder="1">
      <alignment vertical="center"/>
    </xf>
    <xf numFmtId="0" fontId="12" fillId="0" borderId="31" xfId="0" applyFont="1" applyBorder="1">
      <alignment vertical="center"/>
    </xf>
    <xf numFmtId="0" fontId="25" fillId="9" borderId="76" xfId="0" applyFont="1" applyFill="1" applyBorder="1">
      <alignment vertical="center"/>
    </xf>
    <xf numFmtId="0" fontId="12" fillId="10" borderId="22" xfId="0" applyFont="1" applyFill="1" applyBorder="1">
      <alignment vertical="center"/>
    </xf>
    <xf numFmtId="0" fontId="12" fillId="12" borderId="22" xfId="0" applyFont="1" applyFill="1" applyBorder="1">
      <alignment vertical="center"/>
    </xf>
    <xf numFmtId="0" fontId="12" fillId="9" borderId="22" xfId="0" applyFont="1" applyFill="1" applyBorder="1">
      <alignment vertical="center"/>
    </xf>
    <xf numFmtId="0" fontId="12" fillId="10" borderId="10" xfId="0" applyFont="1" applyFill="1" applyBorder="1">
      <alignment vertical="center"/>
    </xf>
    <xf numFmtId="0" fontId="12" fillId="10" borderId="4" xfId="0" applyFont="1" applyFill="1" applyBorder="1">
      <alignment vertical="center"/>
    </xf>
    <xf numFmtId="0" fontId="12" fillId="10" borderId="9" xfId="0" applyFont="1" applyFill="1" applyBorder="1">
      <alignment vertical="center"/>
    </xf>
    <xf numFmtId="0" fontId="12" fillId="12" borderId="6" xfId="0" applyFont="1" applyFill="1" applyBorder="1">
      <alignment vertical="center"/>
    </xf>
    <xf numFmtId="0" fontId="12" fillId="12" borderId="3" xfId="0" applyFont="1" applyFill="1" applyBorder="1">
      <alignment vertical="center"/>
    </xf>
    <xf numFmtId="0" fontId="12" fillId="12" borderId="28" xfId="0" applyFont="1" applyFill="1" applyBorder="1">
      <alignment vertical="center"/>
    </xf>
    <xf numFmtId="0" fontId="12" fillId="9" borderId="10" xfId="0" applyFont="1" applyFill="1" applyBorder="1">
      <alignment vertical="center"/>
    </xf>
    <xf numFmtId="0" fontId="12" fillId="9" borderId="4" xfId="0" applyFont="1" applyFill="1" applyBorder="1">
      <alignment vertical="center"/>
    </xf>
    <xf numFmtId="0" fontId="12" fillId="9" borderId="9" xfId="0" applyFont="1" applyFill="1" applyBorder="1">
      <alignment vertical="center"/>
    </xf>
    <xf numFmtId="0" fontId="12" fillId="10" borderId="16" xfId="0" applyFont="1" applyFill="1" applyBorder="1">
      <alignment vertical="center"/>
    </xf>
    <xf numFmtId="0" fontId="12" fillId="10" borderId="5" xfId="0" applyFont="1" applyFill="1" applyBorder="1">
      <alignment vertical="center"/>
    </xf>
    <xf numFmtId="0" fontId="12" fillId="10" borderId="6" xfId="0" applyFont="1" applyFill="1" applyBorder="1">
      <alignment vertical="center"/>
    </xf>
    <xf numFmtId="0" fontId="12" fillId="10" borderId="1" xfId="0" applyFont="1" applyFill="1" applyBorder="1">
      <alignment vertical="center"/>
    </xf>
    <xf numFmtId="0" fontId="12" fillId="10" borderId="2" xfId="0" applyFont="1" applyFill="1" applyBorder="1">
      <alignment vertical="center"/>
    </xf>
    <xf numFmtId="0" fontId="12" fillId="10" borderId="3" xfId="0" applyFont="1" applyFill="1" applyBorder="1">
      <alignment vertical="center"/>
    </xf>
    <xf numFmtId="0" fontId="12" fillId="10" borderId="11" xfId="0" applyFont="1" applyFill="1" applyBorder="1">
      <alignment vertical="center"/>
    </xf>
    <xf numFmtId="0" fontId="12" fillId="10" borderId="7" xfId="0" applyFont="1" applyFill="1" applyBorder="1">
      <alignment vertical="center"/>
    </xf>
    <xf numFmtId="0" fontId="12" fillId="10" borderId="8" xfId="0" applyFont="1" applyFill="1" applyBorder="1">
      <alignment vertical="center"/>
    </xf>
    <xf numFmtId="0" fontId="12" fillId="10" borderId="26" xfId="0" applyFont="1" applyFill="1" applyBorder="1">
      <alignment vertical="center"/>
    </xf>
    <xf numFmtId="0" fontId="12" fillId="10" borderId="27" xfId="0" applyFont="1" applyFill="1" applyBorder="1">
      <alignment vertical="center"/>
    </xf>
    <xf numFmtId="0" fontId="12" fillId="10" borderId="28" xfId="0" applyFont="1" applyFill="1" applyBorder="1">
      <alignment vertical="center"/>
    </xf>
    <xf numFmtId="0" fontId="12" fillId="10" borderId="29" xfId="0" applyFont="1" applyFill="1" applyBorder="1">
      <alignment vertical="center"/>
    </xf>
    <xf numFmtId="0" fontId="12" fillId="9" borderId="29" xfId="0" applyFont="1" applyFill="1" applyBorder="1">
      <alignment vertical="center"/>
    </xf>
    <xf numFmtId="0" fontId="6" fillId="2" borderId="81" xfId="3" applyFont="1" applyFill="1" applyBorder="1" applyAlignment="1">
      <alignment horizontal="center" vertical="center" wrapText="1"/>
    </xf>
    <xf numFmtId="0" fontId="12" fillId="21" borderId="82" xfId="0" applyFont="1" applyFill="1" applyBorder="1">
      <alignment vertical="center"/>
    </xf>
    <xf numFmtId="0" fontId="12" fillId="21" borderId="83" xfId="0" applyFont="1" applyFill="1" applyBorder="1" applyAlignment="1">
      <alignment horizontal="center" vertical="center"/>
    </xf>
    <xf numFmtId="0" fontId="12" fillId="0" borderId="10" xfId="0" applyFont="1" applyBorder="1">
      <alignment vertical="center"/>
    </xf>
    <xf numFmtId="0" fontId="12" fillId="0" borderId="4" xfId="0" applyFont="1" applyBorder="1">
      <alignment vertical="center"/>
    </xf>
    <xf numFmtId="0" fontId="12" fillId="0" borderId="9" xfId="0" applyFont="1" applyBorder="1">
      <alignment vertical="center"/>
    </xf>
    <xf numFmtId="0" fontId="12" fillId="12" borderId="12" xfId="0" applyFont="1" applyFill="1" applyBorder="1">
      <alignment vertical="center"/>
    </xf>
    <xf numFmtId="0" fontId="12" fillId="12" borderId="30" xfId="0" applyFont="1" applyFill="1" applyBorder="1">
      <alignment vertical="center"/>
    </xf>
    <xf numFmtId="0" fontId="12" fillId="12" borderId="25" xfId="0" applyFont="1" applyFill="1" applyBorder="1">
      <alignment vertical="center"/>
    </xf>
    <xf numFmtId="0" fontId="12" fillId="12" borderId="16" xfId="0" applyFont="1" applyFill="1" applyBorder="1">
      <alignment vertical="center"/>
    </xf>
    <xf numFmtId="0" fontId="12" fillId="12" borderId="1" xfId="0" applyFont="1" applyFill="1" applyBorder="1">
      <alignment vertical="center"/>
    </xf>
    <xf numFmtId="0" fontId="12" fillId="12" borderId="11" xfId="0" applyFont="1" applyFill="1" applyBorder="1">
      <alignment vertical="center"/>
    </xf>
    <xf numFmtId="0" fontId="4" fillId="10" borderId="84" xfId="1" applyFont="1" applyFill="1" applyBorder="1" applyAlignment="1">
      <alignment horizontal="left"/>
    </xf>
    <xf numFmtId="0" fontId="4" fillId="10" borderId="85" xfId="1" applyFont="1" applyFill="1" applyBorder="1" applyAlignment="1">
      <alignment horizontal="left"/>
    </xf>
    <xf numFmtId="0" fontId="4" fillId="10" borderId="85" xfId="2" applyFont="1" applyFill="1" applyBorder="1" applyAlignment="1">
      <alignment horizontal="left"/>
    </xf>
    <xf numFmtId="49" fontId="4" fillId="10" borderId="85" xfId="2" applyNumberFormat="1" applyFont="1" applyFill="1" applyBorder="1" applyAlignment="1">
      <alignment horizontal="left"/>
    </xf>
    <xf numFmtId="0" fontId="4" fillId="10" borderId="86" xfId="2" applyFont="1" applyFill="1" applyBorder="1" applyAlignment="1">
      <alignment horizontal="left"/>
    </xf>
    <xf numFmtId="0" fontId="4" fillId="22" borderId="84" xfId="2" applyFont="1" applyFill="1" applyBorder="1" applyAlignment="1">
      <alignment horizontal="left"/>
    </xf>
    <xf numFmtId="0" fontId="4" fillId="22" borderId="85" xfId="2" applyFont="1" applyFill="1" applyBorder="1" applyAlignment="1">
      <alignment horizontal="left"/>
    </xf>
    <xf numFmtId="0" fontId="4" fillId="22" borderId="86" xfId="2" applyFont="1" applyFill="1" applyBorder="1" applyAlignment="1">
      <alignment horizontal="left"/>
    </xf>
    <xf numFmtId="0" fontId="4" fillId="13" borderId="87" xfId="2" applyNumberFormat="1" applyFont="1" applyFill="1" applyBorder="1" applyAlignment="1">
      <alignment horizontal="right" wrapText="1"/>
    </xf>
    <xf numFmtId="0" fontId="4" fillId="0" borderId="85" xfId="2" applyNumberFormat="1" applyFont="1" applyFill="1" applyBorder="1" applyAlignment="1">
      <alignment horizontal="right" wrapText="1"/>
    </xf>
    <xf numFmtId="0" fontId="4" fillId="0" borderId="86" xfId="2" applyNumberFormat="1" applyFont="1" applyFill="1" applyBorder="1" applyAlignment="1">
      <alignment horizontal="right" wrapText="1"/>
    </xf>
    <xf numFmtId="0" fontId="4" fillId="12" borderId="87" xfId="2" applyNumberFormat="1" applyFont="1" applyFill="1" applyBorder="1" applyAlignment="1">
      <alignment horizontal="right" wrapText="1"/>
    </xf>
    <xf numFmtId="0" fontId="4" fillId="0" borderId="88" xfId="2" applyNumberFormat="1" applyFont="1" applyFill="1" applyBorder="1" applyAlignment="1">
      <alignment horizontal="right" wrapText="1"/>
    </xf>
    <xf numFmtId="0" fontId="4" fillId="12" borderId="84" xfId="2" applyNumberFormat="1" applyFont="1" applyFill="1" applyBorder="1" applyAlignment="1">
      <alignment horizontal="right" wrapText="1"/>
    </xf>
    <xf numFmtId="0" fontId="0" fillId="12" borderId="89" xfId="0" applyFill="1" applyBorder="1">
      <alignment vertical="center"/>
    </xf>
    <xf numFmtId="0" fontId="0" fillId="0" borderId="85" xfId="0" applyBorder="1">
      <alignment vertical="center"/>
    </xf>
    <xf numFmtId="0" fontId="0" fillId="0" borderId="86" xfId="0" applyBorder="1">
      <alignment vertical="center"/>
    </xf>
    <xf numFmtId="0" fontId="6" fillId="22" borderId="22" xfId="0" applyFont="1" applyFill="1" applyBorder="1" applyAlignment="1">
      <alignment horizontal="center" vertical="center"/>
    </xf>
    <xf numFmtId="0" fontId="6" fillId="22" borderId="23" xfId="0" applyFont="1" applyFill="1" applyBorder="1" applyAlignment="1">
      <alignment horizontal="center" vertical="center"/>
    </xf>
    <xf numFmtId="0" fontId="6" fillId="22" borderId="24" xfId="0" applyFont="1" applyFill="1" applyBorder="1" applyAlignment="1">
      <alignment horizontal="center" vertical="center"/>
    </xf>
    <xf numFmtId="0" fontId="6" fillId="22" borderId="59" xfId="0" applyFont="1" applyFill="1" applyBorder="1" applyAlignment="1">
      <alignment horizontal="center" vertical="center"/>
    </xf>
    <xf numFmtId="0" fontId="6" fillId="22" borderId="55" xfId="0" applyFont="1" applyFill="1" applyBorder="1" applyAlignment="1">
      <alignment horizontal="center" vertical="center"/>
    </xf>
    <xf numFmtId="0" fontId="6" fillId="22" borderId="56" xfId="0" applyFont="1" applyFill="1" applyBorder="1" applyAlignment="1">
      <alignment horizontal="center" vertical="center"/>
    </xf>
    <xf numFmtId="0" fontId="6" fillId="10" borderId="53" xfId="0" applyFont="1" applyFill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/>
    </xf>
    <xf numFmtId="0" fontId="6" fillId="10" borderId="54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0" fontId="6" fillId="10" borderId="56" xfId="0" applyFont="1" applyFill="1" applyBorder="1" applyAlignment="1">
      <alignment horizontal="center" vertical="center"/>
    </xf>
    <xf numFmtId="0" fontId="6" fillId="7" borderId="57" xfId="0" applyFont="1" applyFill="1" applyBorder="1" applyAlignment="1">
      <alignment horizontal="center" vertical="center"/>
    </xf>
    <xf numFmtId="0" fontId="6" fillId="7" borderId="58" xfId="0" applyFont="1" applyFill="1" applyBorder="1" applyAlignment="1">
      <alignment horizontal="center" vertical="center"/>
    </xf>
    <xf numFmtId="0" fontId="6" fillId="7" borderId="61" xfId="0" applyFont="1" applyFill="1" applyBorder="1" applyAlignment="1">
      <alignment horizontal="center" vertical="center"/>
    </xf>
    <xf numFmtId="0" fontId="6" fillId="7" borderId="59" xfId="0" applyFont="1" applyFill="1" applyBorder="1" applyAlignment="1">
      <alignment horizontal="center" vertical="center"/>
    </xf>
    <xf numFmtId="0" fontId="6" fillId="7" borderId="55" xfId="0" applyFont="1" applyFill="1" applyBorder="1" applyAlignment="1">
      <alignment horizontal="center" vertical="center"/>
    </xf>
    <xf numFmtId="0" fontId="6" fillId="7" borderId="56" xfId="0" applyFont="1" applyFill="1" applyBorder="1" applyAlignment="1">
      <alignment horizontal="center" vertical="center"/>
    </xf>
    <xf numFmtId="0" fontId="6" fillId="8" borderId="76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6" fillId="8" borderId="73" xfId="0" applyFont="1" applyFill="1" applyBorder="1" applyAlignment="1">
      <alignment horizontal="center" vertical="center"/>
    </xf>
    <xf numFmtId="0" fontId="6" fillId="8" borderId="59" xfId="0" applyFont="1" applyFill="1" applyBorder="1" applyAlignment="1">
      <alignment horizontal="center" vertical="center"/>
    </xf>
    <xf numFmtId="0" fontId="6" fillId="8" borderId="55" xfId="0" applyFont="1" applyFill="1" applyBorder="1" applyAlignment="1">
      <alignment horizontal="center" vertical="center"/>
    </xf>
    <xf numFmtId="0" fontId="6" fillId="8" borderId="56" xfId="0" applyFont="1" applyFill="1" applyBorder="1" applyAlignment="1">
      <alignment horizontal="center" vertical="center"/>
    </xf>
    <xf numFmtId="0" fontId="6" fillId="8" borderId="77" xfId="0" applyFont="1" applyFill="1" applyBorder="1" applyAlignment="1">
      <alignment horizontal="center" vertical="center"/>
    </xf>
    <xf numFmtId="0" fontId="6" fillId="8" borderId="60" xfId="0" applyFont="1" applyFill="1" applyBorder="1" applyAlignment="1">
      <alignment horizontal="center" vertical="center"/>
    </xf>
    <xf numFmtId="177" fontId="22" fillId="3" borderId="16" xfId="0" applyNumberFormat="1" applyFont="1" applyFill="1" applyBorder="1" applyAlignment="1">
      <alignment horizontal="center" vertical="center"/>
    </xf>
    <xf numFmtId="177" fontId="21" fillId="0" borderId="5" xfId="0" applyNumberFormat="1" applyFont="1" applyBorder="1" applyAlignment="1">
      <alignment horizontal="center" vertical="center"/>
    </xf>
    <xf numFmtId="176" fontId="22" fillId="3" borderId="11" xfId="0" applyNumberFormat="1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176" fontId="22" fillId="3" borderId="9" xfId="0" applyNumberFormat="1" applyFont="1" applyFill="1" applyBorder="1" applyAlignment="1">
      <alignment horizontal="right" vertical="center"/>
    </xf>
    <xf numFmtId="0" fontId="21" fillId="0" borderId="17" xfId="0" applyFont="1" applyBorder="1" applyAlignment="1">
      <alignment horizontal="right" vertical="center"/>
    </xf>
    <xf numFmtId="0" fontId="22" fillId="3" borderId="10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2" fillId="7" borderId="2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 vertical="center"/>
    </xf>
    <xf numFmtId="0" fontId="12" fillId="7" borderId="24" xfId="0" applyFont="1" applyFill="1" applyBorder="1" applyAlignment="1">
      <alignment horizontal="center" vertical="center"/>
    </xf>
    <xf numFmtId="0" fontId="16" fillId="7" borderId="78" xfId="0" applyFont="1" applyFill="1" applyBorder="1" applyAlignment="1">
      <alignment horizontal="center" vertical="center"/>
    </xf>
    <xf numFmtId="0" fontId="16" fillId="7" borderId="79" xfId="0" applyFont="1" applyFill="1" applyBorder="1" applyAlignment="1">
      <alignment horizontal="center" vertical="center"/>
    </xf>
    <xf numFmtId="0" fontId="16" fillId="7" borderId="80" xfId="0" applyFont="1" applyFill="1" applyBorder="1" applyAlignment="1">
      <alignment horizontal="center" vertical="center"/>
    </xf>
    <xf numFmtId="0" fontId="6" fillId="8" borderId="23" xfId="0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6" fillId="7" borderId="22" xfId="0" applyFont="1" applyFill="1" applyBorder="1" applyAlignment="1">
      <alignment horizontal="center" vertical="center"/>
    </xf>
    <xf numFmtId="0" fontId="0" fillId="7" borderId="23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12" fillId="21" borderId="36" xfId="0" applyFont="1" applyFill="1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6" fillId="7" borderId="23" xfId="0" applyFont="1" applyFill="1" applyBorder="1" applyAlignment="1">
      <alignment horizontal="center" vertical="center"/>
    </xf>
    <xf numFmtId="0" fontId="12" fillId="21" borderId="16" xfId="0" applyFont="1" applyFill="1" applyBorder="1" applyAlignment="1">
      <alignment horizontal="center" vertical="center"/>
    </xf>
    <xf numFmtId="0" fontId="12" fillId="21" borderId="5" xfId="0" applyFont="1" applyFill="1" applyBorder="1" applyAlignment="1">
      <alignment horizontal="center" vertical="center"/>
    </xf>
    <xf numFmtId="0" fontId="12" fillId="21" borderId="6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0" fontId="10" fillId="2" borderId="91" xfId="3" applyFont="1" applyFill="1" applyBorder="1" applyAlignment="1">
      <alignment horizontal="center" vertical="center" wrapText="1"/>
    </xf>
    <xf numFmtId="0" fontId="4" fillId="0" borderId="64" xfId="5" applyFont="1" applyFill="1" applyBorder="1" applyAlignment="1">
      <alignment horizontal="left"/>
    </xf>
    <xf numFmtId="0" fontId="4" fillId="0" borderId="12" xfId="5" applyFont="1" applyFill="1" applyBorder="1" applyAlignment="1">
      <alignment horizontal="left"/>
    </xf>
    <xf numFmtId="0" fontId="10" fillId="2" borderId="92" xfId="3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176" fontId="6" fillId="4" borderId="5" xfId="0" applyNumberFormat="1" applyFont="1" applyFill="1" applyBorder="1">
      <alignment vertical="center"/>
    </xf>
    <xf numFmtId="176" fontId="6" fillId="4" borderId="6" xfId="0" applyNumberFormat="1" applyFont="1" applyFill="1" applyBorder="1">
      <alignment vertical="center"/>
    </xf>
    <xf numFmtId="176" fontId="6" fillId="0" borderId="5" xfId="0" applyNumberFormat="1" applyFont="1" applyBorder="1">
      <alignment vertical="center"/>
    </xf>
    <xf numFmtId="176" fontId="6" fillId="0" borderId="6" xfId="0" applyNumberFormat="1" applyFont="1" applyBorder="1">
      <alignment vertical="center"/>
    </xf>
    <xf numFmtId="0" fontId="1" fillId="0" borderId="2" xfId="6" applyNumberFormat="1" applyFont="1" applyFill="1" applyBorder="1" applyAlignment="1">
      <alignment horizontal="right" wrapText="1"/>
    </xf>
    <xf numFmtId="0" fontId="1" fillId="0" borderId="4" xfId="6" applyNumberFormat="1" applyFont="1" applyFill="1" applyBorder="1" applyAlignment="1">
      <alignment horizontal="right" wrapText="1"/>
    </xf>
    <xf numFmtId="0" fontId="8" fillId="0" borderId="0" xfId="0" applyFont="1" applyFill="1">
      <alignment vertical="center"/>
    </xf>
    <xf numFmtId="0" fontId="1" fillId="0" borderId="3" xfId="6" applyNumberFormat="1" applyFont="1" applyFill="1" applyBorder="1" applyAlignment="1">
      <alignment horizontal="right" wrapText="1"/>
    </xf>
    <xf numFmtId="0" fontId="0" fillId="0" borderId="0" xfId="0" applyFont="1">
      <alignment vertical="center"/>
    </xf>
    <xf numFmtId="0" fontId="6" fillId="0" borderId="0" xfId="0" applyFont="1" applyAlignment="1">
      <alignment vertical="center"/>
    </xf>
    <xf numFmtId="14" fontId="0" fillId="0" borderId="0" xfId="0" applyNumberFormat="1" applyFont="1">
      <alignment vertical="center"/>
    </xf>
    <xf numFmtId="0" fontId="0" fillId="4" borderId="0" xfId="0" applyFont="1" applyFill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Font="1" applyAlignment="1">
      <alignment horizontal="center" vertical="center"/>
    </xf>
    <xf numFmtId="176" fontId="6" fillId="4" borderId="16" xfId="0" applyNumberFormat="1" applyFont="1" applyFill="1" applyBorder="1">
      <alignment vertical="center"/>
    </xf>
    <xf numFmtId="176" fontId="6" fillId="0" borderId="16" xfId="0" applyNumberFormat="1" applyFont="1" applyBorder="1">
      <alignment vertical="center"/>
    </xf>
    <xf numFmtId="0" fontId="1" fillId="13" borderId="1" xfId="6" applyNumberFormat="1" applyFont="1" applyFill="1" applyBorder="1" applyAlignment="1">
      <alignment horizontal="right" wrapText="1"/>
    </xf>
    <xf numFmtId="0" fontId="1" fillId="12" borderId="30" xfId="6" applyNumberFormat="1" applyFont="1" applyFill="1" applyBorder="1" applyAlignment="1">
      <alignment horizontal="right" wrapText="1"/>
    </xf>
    <xf numFmtId="0" fontId="1" fillId="13" borderId="30" xfId="6" applyNumberFormat="1" applyFont="1" applyFill="1" applyBorder="1" applyAlignment="1">
      <alignment horizontal="right" wrapText="1"/>
    </xf>
    <xf numFmtId="0" fontId="1" fillId="12" borderId="1" xfId="6" applyNumberFormat="1" applyFont="1" applyFill="1" applyBorder="1" applyAlignment="1">
      <alignment horizontal="right" wrapText="1"/>
    </xf>
    <xf numFmtId="0" fontId="0" fillId="12" borderId="34" xfId="0" applyFill="1" applyBorder="1">
      <alignment vertical="center"/>
    </xf>
    <xf numFmtId="0" fontId="0" fillId="12" borderId="35" xfId="0" applyFill="1" applyBorder="1">
      <alignment vertical="center"/>
    </xf>
    <xf numFmtId="0" fontId="4" fillId="0" borderId="2" xfId="5" applyFont="1" applyFill="1" applyBorder="1" applyAlignment="1">
      <alignment horizontal="left"/>
    </xf>
    <xf numFmtId="0" fontId="4" fillId="6" borderId="2" xfId="5" applyFont="1" applyFill="1" applyBorder="1" applyAlignment="1">
      <alignment horizontal="left"/>
    </xf>
    <xf numFmtId="0" fontId="4" fillId="0" borderId="1" xfId="5" applyFont="1" applyFill="1" applyBorder="1" applyAlignment="1">
      <alignment horizontal="left"/>
    </xf>
    <xf numFmtId="0" fontId="4" fillId="0" borderId="3" xfId="5" applyFont="1" applyFill="1" applyBorder="1" applyAlignment="1">
      <alignment horizontal="left"/>
    </xf>
    <xf numFmtId="0" fontId="6" fillId="0" borderId="0" xfId="0" applyFont="1" applyAlignment="1">
      <alignment horizontal="right" vertical="center"/>
    </xf>
    <xf numFmtId="176" fontId="0" fillId="12" borderId="39" xfId="0" applyNumberFormat="1" applyFont="1" applyFill="1" applyBorder="1">
      <alignment vertical="center"/>
    </xf>
    <xf numFmtId="176" fontId="0" fillId="0" borderId="40" xfId="0" applyNumberFormat="1" applyFont="1" applyBorder="1">
      <alignment vertical="center"/>
    </xf>
    <xf numFmtId="176" fontId="0" fillId="0" borderId="42" xfId="0" applyNumberFormat="1" applyFont="1" applyBorder="1">
      <alignment vertical="center"/>
    </xf>
    <xf numFmtId="176" fontId="0" fillId="0" borderId="41" xfId="0" applyNumberFormat="1" applyFont="1" applyBorder="1">
      <alignment vertical="center"/>
    </xf>
    <xf numFmtId="176" fontId="0" fillId="12" borderId="43" xfId="0" applyNumberFormat="1" applyFont="1" applyFill="1" applyBorder="1">
      <alignment vertical="center"/>
    </xf>
    <xf numFmtId="176" fontId="0" fillId="12" borderId="44" xfId="0" applyNumberFormat="1" applyFont="1" applyFill="1" applyBorder="1">
      <alignment vertical="center"/>
    </xf>
    <xf numFmtId="0" fontId="0" fillId="16" borderId="0" xfId="0" applyFill="1">
      <alignment vertical="center"/>
    </xf>
    <xf numFmtId="0" fontId="12" fillId="16" borderId="0" xfId="0" applyFont="1" applyFill="1">
      <alignment vertical="center"/>
    </xf>
    <xf numFmtId="0" fontId="0" fillId="12" borderId="89" xfId="0" applyFill="1" applyBorder="1">
      <alignment vertical="center"/>
    </xf>
    <xf numFmtId="0" fontId="0" fillId="0" borderId="85" xfId="0" applyBorder="1">
      <alignment vertical="center"/>
    </xf>
    <xf numFmtId="0" fontId="0" fillId="0" borderId="86" xfId="0" applyBorder="1">
      <alignment vertical="center"/>
    </xf>
    <xf numFmtId="176" fontId="6" fillId="4" borderId="0" xfId="0" applyNumberFormat="1" applyFont="1" applyFill="1" applyBorder="1" applyAlignment="1">
      <alignment horizontal="right" vertical="center"/>
    </xf>
    <xf numFmtId="176" fontId="6" fillId="0" borderId="0" xfId="0" applyNumberFormat="1" applyFont="1" applyBorder="1">
      <alignment vertical="center"/>
    </xf>
    <xf numFmtId="0" fontId="0" fillId="0" borderId="0" xfId="0" applyFont="1" applyBorder="1">
      <alignment vertical="center"/>
    </xf>
    <xf numFmtId="49" fontId="0" fillId="20" borderId="0" xfId="0" applyNumberFormat="1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center" vertical="center"/>
    </xf>
    <xf numFmtId="0" fontId="0" fillId="20" borderId="0" xfId="0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right" vertical="center"/>
    </xf>
    <xf numFmtId="0" fontId="0" fillId="20" borderId="0" xfId="0" applyFill="1" applyBorder="1" applyAlignment="1">
      <alignment horizontal="right" vertical="center"/>
    </xf>
    <xf numFmtId="0" fontId="0" fillId="0" borderId="71" xfId="0" applyBorder="1">
      <alignment vertical="center"/>
    </xf>
    <xf numFmtId="0" fontId="0" fillId="0" borderId="72" xfId="0" applyBorder="1">
      <alignment vertical="center"/>
    </xf>
    <xf numFmtId="0" fontId="4" fillId="22" borderId="1" xfId="5" applyFont="1" applyFill="1" applyBorder="1" applyAlignment="1">
      <alignment horizontal="left"/>
    </xf>
    <xf numFmtId="0" fontId="4" fillId="22" borderId="2" xfId="5" applyFont="1" applyFill="1" applyBorder="1" applyAlignment="1">
      <alignment horizontal="left"/>
    </xf>
    <xf numFmtId="0" fontId="4" fillId="22" borderId="3" xfId="5" applyFont="1" applyFill="1" applyBorder="1" applyAlignment="1">
      <alignment horizontal="left"/>
    </xf>
    <xf numFmtId="176" fontId="6" fillId="4" borderId="39" xfId="0" applyNumberFormat="1" applyFont="1" applyFill="1" applyBorder="1" applyAlignment="1">
      <alignment horizontal="right" vertical="center"/>
    </xf>
    <xf numFmtId="176" fontId="6" fillId="4" borderId="40" xfId="0" applyNumberFormat="1" applyFont="1" applyFill="1" applyBorder="1" applyAlignment="1">
      <alignment horizontal="right" vertical="center"/>
    </xf>
    <xf numFmtId="176" fontId="6" fillId="4" borderId="41" xfId="0" applyNumberFormat="1" applyFont="1" applyFill="1" applyBorder="1" applyAlignment="1">
      <alignment horizontal="right" vertical="center"/>
    </xf>
    <xf numFmtId="176" fontId="6" fillId="0" borderId="39" xfId="0" applyNumberFormat="1" applyFont="1" applyBorder="1">
      <alignment vertical="center"/>
    </xf>
    <xf numFmtId="176" fontId="6" fillId="0" borderId="40" xfId="0" applyNumberFormat="1" applyFont="1" applyBorder="1">
      <alignment vertical="center"/>
    </xf>
    <xf numFmtId="176" fontId="6" fillId="0" borderId="41" xfId="0" applyNumberFormat="1" applyFont="1" applyBorder="1">
      <alignment vertical="center"/>
    </xf>
    <xf numFmtId="176" fontId="22" fillId="3" borderId="7" xfId="0" applyNumberFormat="1" applyFont="1" applyFill="1" applyBorder="1" applyAlignment="1">
      <alignment horizontal="right" vertical="center"/>
    </xf>
    <xf numFmtId="176" fontId="22" fillId="20" borderId="0" xfId="0" applyNumberFormat="1" applyFont="1" applyFill="1" applyBorder="1" applyAlignment="1">
      <alignment horizontal="right" vertical="center"/>
    </xf>
    <xf numFmtId="0" fontId="21" fillId="20" borderId="0" xfId="0" applyFont="1" applyFill="1" applyBorder="1" applyAlignment="1">
      <alignment horizontal="right" vertical="center"/>
    </xf>
    <xf numFmtId="0" fontId="23" fillId="15" borderId="20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49" fontId="21" fillId="15" borderId="21" xfId="0" applyNumberFormat="1" applyFont="1" applyFill="1" applyBorder="1" applyAlignment="1">
      <alignment horizontal="center" vertical="center"/>
    </xf>
    <xf numFmtId="0" fontId="4" fillId="22" borderId="1" xfId="5" applyFont="1" applyFill="1" applyBorder="1" applyAlignment="1"/>
    <xf numFmtId="0" fontId="4" fillId="22" borderId="2" xfId="5" applyFont="1" applyFill="1" applyBorder="1" applyAlignment="1"/>
    <xf numFmtId="0" fontId="4" fillId="22" borderId="3" xfId="5" applyFont="1" applyFill="1" applyBorder="1" applyAlignment="1"/>
    <xf numFmtId="0" fontId="4" fillId="0" borderId="93" xfId="2" applyNumberFormat="1" applyFont="1" applyFill="1" applyBorder="1" applyAlignment="1">
      <alignment horizontal="right" wrapText="1"/>
    </xf>
    <xf numFmtId="0" fontId="4" fillId="0" borderId="68" xfId="2" applyNumberFormat="1" applyFont="1" applyFill="1" applyBorder="1" applyAlignment="1">
      <alignment horizontal="right" wrapText="1"/>
    </xf>
    <xf numFmtId="0" fontId="6" fillId="14" borderId="48" xfId="3" applyFont="1" applyFill="1" applyBorder="1" applyAlignment="1">
      <alignment horizontal="center" vertical="center" wrapText="1"/>
    </xf>
    <xf numFmtId="0" fontId="6" fillId="14" borderId="49" xfId="3" applyFont="1" applyFill="1" applyBorder="1" applyAlignment="1">
      <alignment horizontal="center" vertical="center" wrapText="1"/>
    </xf>
    <xf numFmtId="14" fontId="6" fillId="14" borderId="49" xfId="3" applyNumberFormat="1" applyFont="1" applyFill="1" applyBorder="1" applyAlignment="1">
      <alignment horizontal="center" vertical="center" wrapText="1"/>
    </xf>
    <xf numFmtId="0" fontId="6" fillId="14" borderId="49" xfId="3" applyFont="1" applyFill="1" applyBorder="1" applyAlignment="1">
      <alignment horizontal="center" vertical="center"/>
    </xf>
    <xf numFmtId="0" fontId="6" fillId="14" borderId="50" xfId="3" applyFont="1" applyFill="1" applyBorder="1" applyAlignment="1">
      <alignment horizontal="center" vertical="center"/>
    </xf>
    <xf numFmtId="0" fontId="6" fillId="22" borderId="48" xfId="3" applyFont="1" applyFill="1" applyBorder="1" applyAlignment="1">
      <alignment horizontal="center" vertical="center"/>
    </xf>
    <xf numFmtId="0" fontId="6" fillId="22" borderId="49" xfId="3" applyFont="1" applyFill="1" applyBorder="1" applyAlignment="1">
      <alignment horizontal="center" vertical="center"/>
    </xf>
    <xf numFmtId="0" fontId="6" fillId="22" borderId="50" xfId="3" applyFont="1" applyFill="1" applyBorder="1" applyAlignment="1">
      <alignment horizontal="center" vertical="center"/>
    </xf>
    <xf numFmtId="0" fontId="6" fillId="14" borderId="51" xfId="3" applyFont="1" applyFill="1" applyBorder="1" applyAlignment="1">
      <alignment horizontal="center" vertical="center"/>
    </xf>
    <xf numFmtId="0" fontId="6" fillId="14" borderId="52" xfId="3" applyFont="1" applyFill="1" applyBorder="1" applyAlignment="1">
      <alignment horizontal="center" vertical="center"/>
    </xf>
    <xf numFmtId="0" fontId="6" fillId="14" borderId="48" xfId="3" applyFont="1" applyFill="1" applyBorder="1" applyAlignment="1">
      <alignment horizontal="center" vertical="center"/>
    </xf>
    <xf numFmtId="0" fontId="4" fillId="10" borderId="13" xfId="1" applyFont="1" applyFill="1" applyBorder="1" applyAlignment="1">
      <alignment horizontal="left"/>
    </xf>
    <xf numFmtId="0" fontId="4" fillId="10" borderId="14" xfId="1" applyFont="1" applyFill="1" applyBorder="1" applyAlignment="1">
      <alignment horizontal="left"/>
    </xf>
    <xf numFmtId="0" fontId="4" fillId="10" borderId="14" xfId="2" applyFont="1" applyFill="1" applyBorder="1" applyAlignment="1">
      <alignment horizontal="left"/>
    </xf>
    <xf numFmtId="49" fontId="4" fillId="10" borderId="14" xfId="2" applyNumberFormat="1" applyFont="1" applyFill="1" applyBorder="1" applyAlignment="1">
      <alignment horizontal="left"/>
    </xf>
    <xf numFmtId="0" fontId="4" fillId="10" borderId="31" xfId="2" applyFont="1" applyFill="1" applyBorder="1" applyAlignment="1">
      <alignment horizontal="left"/>
    </xf>
    <xf numFmtId="0" fontId="4" fillId="22" borderId="13" xfId="2" applyFont="1" applyFill="1" applyBorder="1" applyAlignment="1">
      <alignment horizontal="left"/>
    </xf>
    <xf numFmtId="0" fontId="4" fillId="22" borderId="14" xfId="2" applyFont="1" applyFill="1" applyBorder="1" applyAlignment="1">
      <alignment horizontal="left"/>
    </xf>
    <xf numFmtId="0" fontId="4" fillId="22" borderId="31" xfId="2" applyFont="1" applyFill="1" applyBorder="1" applyAlignment="1">
      <alignment horizontal="left"/>
    </xf>
    <xf numFmtId="0" fontId="4" fillId="13" borderId="32" xfId="2" applyNumberFormat="1" applyFont="1" applyFill="1" applyBorder="1" applyAlignment="1">
      <alignment horizontal="right" wrapText="1"/>
    </xf>
    <xf numFmtId="0" fontId="4" fillId="0" borderId="14" xfId="2" applyNumberFormat="1" applyFont="1" applyFill="1" applyBorder="1" applyAlignment="1">
      <alignment horizontal="right" wrapText="1"/>
    </xf>
    <xf numFmtId="0" fontId="4" fillId="0" borderId="31" xfId="2" applyNumberFormat="1" applyFont="1" applyFill="1" applyBorder="1" applyAlignment="1">
      <alignment horizontal="right" wrapText="1"/>
    </xf>
    <xf numFmtId="0" fontId="4" fillId="12" borderId="32" xfId="2" applyNumberFormat="1" applyFont="1" applyFill="1" applyBorder="1" applyAlignment="1">
      <alignment horizontal="right" wrapText="1"/>
    </xf>
    <xf numFmtId="0" fontId="4" fillId="0" borderId="15" xfId="2" applyNumberFormat="1" applyFont="1" applyFill="1" applyBorder="1" applyAlignment="1">
      <alignment horizontal="right" wrapText="1"/>
    </xf>
    <xf numFmtId="0" fontId="4" fillId="12" borderId="13" xfId="2" applyNumberFormat="1" applyFont="1" applyFill="1" applyBorder="1" applyAlignment="1">
      <alignment horizontal="right" wrapText="1"/>
    </xf>
    <xf numFmtId="0" fontId="4" fillId="10" borderId="11" xfId="1" applyFont="1" applyFill="1" applyBorder="1" applyAlignment="1">
      <alignment horizontal="left"/>
    </xf>
    <xf numFmtId="0" fontId="4" fillId="10" borderId="7" xfId="1" applyFont="1" applyFill="1" applyBorder="1" applyAlignment="1">
      <alignment horizontal="left"/>
    </xf>
    <xf numFmtId="0" fontId="4" fillId="10" borderId="7" xfId="2" applyFont="1" applyFill="1" applyBorder="1" applyAlignment="1">
      <alignment horizontal="left"/>
    </xf>
    <xf numFmtId="49" fontId="4" fillId="10" borderId="7" xfId="2" applyNumberFormat="1" applyFont="1" applyFill="1" applyBorder="1" applyAlignment="1">
      <alignment horizontal="left"/>
    </xf>
    <xf numFmtId="0" fontId="4" fillId="10" borderId="8" xfId="2" applyFont="1" applyFill="1" applyBorder="1" applyAlignment="1">
      <alignment horizontal="left"/>
    </xf>
    <xf numFmtId="0" fontId="4" fillId="22" borderId="11" xfId="2" applyFont="1" applyFill="1" applyBorder="1" applyAlignment="1">
      <alignment horizontal="left"/>
    </xf>
    <xf numFmtId="0" fontId="4" fillId="22" borderId="7" xfId="2" applyFont="1" applyFill="1" applyBorder="1" applyAlignment="1">
      <alignment horizontal="left"/>
    </xf>
    <xf numFmtId="0" fontId="4" fillId="22" borderId="8" xfId="2" applyFont="1" applyFill="1" applyBorder="1" applyAlignment="1">
      <alignment horizontal="left"/>
    </xf>
    <xf numFmtId="0" fontId="11" fillId="0" borderId="0" xfId="0" applyFont="1" applyBorder="1">
      <alignment vertical="center"/>
    </xf>
    <xf numFmtId="0" fontId="12" fillId="21" borderId="67" xfId="0" applyFont="1" applyFill="1" applyBorder="1">
      <alignment vertical="center"/>
    </xf>
    <xf numFmtId="0" fontId="12" fillId="21" borderId="1" xfId="0" applyFont="1" applyFill="1" applyBorder="1" applyAlignment="1">
      <alignment horizontal="center" vertical="center"/>
    </xf>
    <xf numFmtId="0" fontId="12" fillId="21" borderId="2" xfId="0" applyFont="1" applyFill="1" applyBorder="1" applyAlignment="1">
      <alignment horizontal="center" vertical="center"/>
    </xf>
    <xf numFmtId="0" fontId="12" fillId="21" borderId="94" xfId="0" applyFont="1" applyFill="1" applyBorder="1" applyAlignment="1">
      <alignment horizontal="center" vertical="center"/>
    </xf>
    <xf numFmtId="0" fontId="0" fillId="0" borderId="62" xfId="0" applyBorder="1" applyAlignment="1">
      <alignment vertical="center"/>
    </xf>
    <xf numFmtId="0" fontId="0" fillId="0" borderId="18" xfId="0" applyBorder="1" applyAlignment="1">
      <alignment vertical="center"/>
    </xf>
    <xf numFmtId="0" fontId="6" fillId="7" borderId="94" xfId="0" applyFont="1" applyFill="1" applyBorder="1" applyAlignment="1">
      <alignment horizontal="center" vertical="center"/>
    </xf>
    <xf numFmtId="0" fontId="0" fillId="7" borderId="62" xfId="0" applyFont="1" applyFill="1" applyBorder="1" applyAlignment="1">
      <alignment horizontal="center" vertical="center"/>
    </xf>
    <xf numFmtId="0" fontId="6" fillId="8" borderId="94" xfId="0" applyFont="1" applyFill="1" applyBorder="1" applyAlignment="1">
      <alignment horizontal="center" vertical="center"/>
    </xf>
    <xf numFmtId="0" fontId="0" fillId="8" borderId="62" xfId="0" applyFont="1" applyFill="1" applyBorder="1" applyAlignment="1">
      <alignment horizontal="center" vertical="center"/>
    </xf>
    <xf numFmtId="0" fontId="6" fillId="8" borderId="62" xfId="0" applyFont="1" applyFill="1" applyBorder="1" applyAlignment="1">
      <alignment horizontal="center" vertical="center"/>
    </xf>
    <xf numFmtId="0" fontId="6" fillId="7" borderId="62" xfId="0" applyFont="1" applyFill="1" applyBorder="1" applyAlignment="1">
      <alignment horizontal="center" vertical="center"/>
    </xf>
    <xf numFmtId="0" fontId="10" fillId="10" borderId="90" xfId="7" applyFont="1" applyFill="1" applyBorder="1" applyAlignment="1">
      <alignment horizontal="center" vertical="center"/>
    </xf>
    <xf numFmtId="0" fontId="10" fillId="10" borderId="27" xfId="7" applyFont="1" applyFill="1" applyBorder="1" applyAlignment="1">
      <alignment horizontal="center" vertical="center"/>
    </xf>
    <xf numFmtId="0" fontId="10" fillId="10" borderId="26" xfId="7" applyFont="1" applyFill="1" applyBorder="1" applyAlignment="1">
      <alignment horizontal="center" vertical="center"/>
    </xf>
    <xf numFmtId="0" fontId="10" fillId="10" borderId="28" xfId="7" applyFont="1" applyFill="1" applyBorder="1" applyAlignment="1">
      <alignment horizontal="center" vertical="center"/>
    </xf>
    <xf numFmtId="0" fontId="12" fillId="21" borderId="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" fillId="0" borderId="2" xfId="6" applyNumberFormat="1" applyFont="1" applyFill="1" applyBorder="1" applyAlignment="1">
      <alignment horizontal="right" wrapText="1"/>
    </xf>
    <xf numFmtId="0" fontId="1" fillId="0" borderId="4" xfId="6" applyNumberFormat="1" applyFont="1" applyFill="1" applyBorder="1" applyAlignment="1">
      <alignment horizontal="right" wrapText="1"/>
    </xf>
    <xf numFmtId="0" fontId="1" fillId="0" borderId="3" xfId="6" applyNumberFormat="1" applyFont="1" applyFill="1" applyBorder="1" applyAlignment="1">
      <alignment horizontal="right" wrapText="1"/>
    </xf>
    <xf numFmtId="0" fontId="0" fillId="0" borderId="2" xfId="0" applyBorder="1">
      <alignment vertical="center"/>
    </xf>
    <xf numFmtId="0" fontId="0" fillId="0" borderId="16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0" fillId="0" borderId="9" xfId="0" applyBorder="1">
      <alignment vertical="center"/>
    </xf>
    <xf numFmtId="0" fontId="1" fillId="13" borderId="1" xfId="6" applyNumberFormat="1" applyFont="1" applyFill="1" applyBorder="1" applyAlignment="1">
      <alignment horizontal="right" wrapText="1"/>
    </xf>
    <xf numFmtId="0" fontId="1" fillId="12" borderId="30" xfId="6" applyNumberFormat="1" applyFont="1" applyFill="1" applyBorder="1" applyAlignment="1">
      <alignment horizontal="right" wrapText="1"/>
    </xf>
    <xf numFmtId="0" fontId="1" fillId="13" borderId="30" xfId="6" applyNumberFormat="1" applyFont="1" applyFill="1" applyBorder="1" applyAlignment="1">
      <alignment horizontal="right" wrapText="1"/>
    </xf>
    <xf numFmtId="0" fontId="1" fillId="12" borderId="1" xfId="6" applyNumberFormat="1" applyFont="1" applyFill="1" applyBorder="1" applyAlignment="1">
      <alignment horizontal="right" wrapText="1"/>
    </xf>
    <xf numFmtId="0" fontId="0" fillId="12" borderId="34" xfId="0" applyFill="1" applyBorder="1">
      <alignment vertical="center"/>
    </xf>
    <xf numFmtId="0" fontId="4" fillId="0" borderId="2" xfId="5" applyFont="1" applyFill="1" applyBorder="1" applyAlignment="1">
      <alignment horizontal="left"/>
    </xf>
    <xf numFmtId="0" fontId="4" fillId="6" borderId="2" xfId="5" applyFont="1" applyFill="1" applyBorder="1" applyAlignment="1">
      <alignment horizontal="left"/>
    </xf>
    <xf numFmtId="0" fontId="4" fillId="0" borderId="1" xfId="5" applyFont="1" applyFill="1" applyBorder="1" applyAlignment="1">
      <alignment horizontal="left"/>
    </xf>
    <xf numFmtId="0" fontId="4" fillId="0" borderId="3" xfId="5" applyFont="1" applyFill="1" applyBorder="1" applyAlignment="1">
      <alignment horizontal="left"/>
    </xf>
    <xf numFmtId="0" fontId="0" fillId="0" borderId="65" xfId="0" applyBorder="1">
      <alignment vertical="center"/>
    </xf>
    <xf numFmtId="0" fontId="4" fillId="22" borderId="1" xfId="5" applyFont="1" applyFill="1" applyBorder="1" applyAlignment="1">
      <alignment horizontal="left"/>
    </xf>
    <xf numFmtId="0" fontId="4" fillId="22" borderId="2" xfId="5" applyFont="1" applyFill="1" applyBorder="1" applyAlignment="1">
      <alignment horizontal="left"/>
    </xf>
    <xf numFmtId="0" fontId="4" fillId="22" borderId="3" xfId="5" applyFont="1" applyFill="1" applyBorder="1" applyAlignment="1">
      <alignment horizontal="left"/>
    </xf>
    <xf numFmtId="0" fontId="0" fillId="12" borderId="16" xfId="0" applyFill="1" applyBorder="1">
      <alignment vertical="center"/>
    </xf>
    <xf numFmtId="0" fontId="0" fillId="12" borderId="1" xfId="0" applyFill="1" applyBorder="1">
      <alignment vertical="center"/>
    </xf>
    <xf numFmtId="0" fontId="0" fillId="12" borderId="1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22" borderId="1" xfId="5" applyFont="1" applyFill="1" applyBorder="1" applyAlignment="1"/>
    <xf numFmtId="0" fontId="4" fillId="22" borderId="2" xfId="5" applyFont="1" applyFill="1" applyBorder="1" applyAlignment="1"/>
    <xf numFmtId="0" fontId="4" fillId="22" borderId="3" xfId="5" applyFont="1" applyFill="1" applyBorder="1" applyAlignment="1"/>
    <xf numFmtId="0" fontId="10" fillId="10" borderId="29" xfId="7" applyFont="1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8" xfId="0" applyFill="1" applyBorder="1">
      <alignment vertical="center"/>
    </xf>
    <xf numFmtId="0" fontId="0" fillId="12" borderId="94" xfId="0" applyFill="1" applyBorder="1">
      <alignment vertical="center"/>
    </xf>
    <xf numFmtId="0" fontId="0" fillId="12" borderId="71" xfId="0" applyFill="1" applyBorder="1">
      <alignment vertical="center"/>
    </xf>
    <xf numFmtId="0" fontId="0" fillId="12" borderId="72" xfId="0" applyFill="1" applyBorder="1">
      <alignment vertical="center"/>
    </xf>
  </cellXfs>
  <cellStyles count="8">
    <cellStyle name="標準" xfId="0" builtinId="0"/>
    <cellStyle name="標準_2014計画商品" xfId="4"/>
    <cellStyle name="標準_Sheet1" xfId="1"/>
    <cellStyle name="標準_Sheet1 2" xfId="5"/>
    <cellStyle name="標準_Sheet1_1" xfId="2"/>
    <cellStyle name="標準_Sheet1_1 2" xfId="6"/>
    <cellStyle name="標準_Sheet2_1集計_20150401" xfId="3"/>
    <cellStyle name="標準_Sheet2_1集計_20150401 2" xfId="7"/>
  </cellStyles>
  <dxfs count="39"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FF"/>
      <color rgb="FFFFFFCC"/>
      <color rgb="FFCCFFFF"/>
      <color rgb="FFCCFFCC"/>
      <color rgb="FFFFCC99"/>
      <color rgb="FFFFCCCC"/>
      <color rgb="FFFFFF99"/>
      <color rgb="FFDDDDDD"/>
      <color rgb="FF9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302559</xdr:colOff>
      <xdr:row>0</xdr:row>
      <xdr:rowOff>112058</xdr:rowOff>
    </xdr:from>
    <xdr:to>
      <xdr:col>17</xdr:col>
      <xdr:colOff>750794</xdr:colOff>
      <xdr:row>1</xdr:row>
      <xdr:rowOff>123265</xdr:rowOff>
    </xdr:to>
    <xdr:sp macro="[0]!Copy4" textlink="">
      <xdr:nvSpPr>
        <xdr:cNvPr id="2" name="テキスト ボックス 1"/>
        <xdr:cNvSpPr txBox="1"/>
      </xdr:nvSpPr>
      <xdr:spPr>
        <a:xfrm>
          <a:off x="12084984" y="112058"/>
          <a:ext cx="2105585" cy="1921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単月（４月）</a:t>
          </a:r>
          <a:r>
            <a:rPr kumimoji="1" lang="en-US" altLang="ja-JP" sz="1100"/>
            <a:t>_</a:t>
          </a:r>
          <a:r>
            <a:rPr kumimoji="1" lang="ja-JP" altLang="en-US" sz="1100"/>
            <a:t>前年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21</xdr:col>
      <xdr:colOff>242047</xdr:colOff>
      <xdr:row>0</xdr:row>
      <xdr:rowOff>141194</xdr:rowOff>
    </xdr:from>
    <xdr:to>
      <xdr:col>23</xdr:col>
      <xdr:colOff>717175</xdr:colOff>
      <xdr:row>1</xdr:row>
      <xdr:rowOff>156882</xdr:rowOff>
    </xdr:to>
    <xdr:sp macro="[0]!Copy5" textlink="">
      <xdr:nvSpPr>
        <xdr:cNvPr id="3" name="テキスト ボックス 2"/>
        <xdr:cNvSpPr txBox="1"/>
      </xdr:nvSpPr>
      <xdr:spPr>
        <a:xfrm>
          <a:off x="16701247" y="141194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単月（５月）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27</xdr:col>
      <xdr:colOff>123263</xdr:colOff>
      <xdr:row>0</xdr:row>
      <xdr:rowOff>112059</xdr:rowOff>
    </xdr:from>
    <xdr:to>
      <xdr:col>29</xdr:col>
      <xdr:colOff>575979</xdr:colOff>
      <xdr:row>1</xdr:row>
      <xdr:rowOff>127747</xdr:rowOff>
    </xdr:to>
    <xdr:sp macro="[0]!Copy6" textlink="">
      <xdr:nvSpPr>
        <xdr:cNvPr id="4" name="テキスト ボックス 3"/>
        <xdr:cNvSpPr txBox="1"/>
      </xdr:nvSpPr>
      <xdr:spPr>
        <a:xfrm>
          <a:off x="21221138" y="112059"/>
          <a:ext cx="209101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単月（６月）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33</xdr:col>
      <xdr:colOff>286869</xdr:colOff>
      <xdr:row>0</xdr:row>
      <xdr:rowOff>96372</xdr:rowOff>
    </xdr:from>
    <xdr:to>
      <xdr:col>35</xdr:col>
      <xdr:colOff>750791</xdr:colOff>
      <xdr:row>1</xdr:row>
      <xdr:rowOff>112060</xdr:rowOff>
    </xdr:to>
    <xdr:sp macro="[0]!Copy7" textlink="">
      <xdr:nvSpPr>
        <xdr:cNvPr id="5" name="テキスト ボックス 4"/>
        <xdr:cNvSpPr txBox="1"/>
      </xdr:nvSpPr>
      <xdr:spPr>
        <a:xfrm>
          <a:off x="26042469" y="96372"/>
          <a:ext cx="2092697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単月（７月）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39</xdr:col>
      <xdr:colOff>181532</xdr:colOff>
      <xdr:row>0</xdr:row>
      <xdr:rowOff>114301</xdr:rowOff>
    </xdr:from>
    <xdr:to>
      <xdr:col>41</xdr:col>
      <xdr:colOff>667866</xdr:colOff>
      <xdr:row>1</xdr:row>
      <xdr:rowOff>129989</xdr:rowOff>
    </xdr:to>
    <xdr:sp macro="[0]!Copy8" textlink="">
      <xdr:nvSpPr>
        <xdr:cNvPr id="6" name="テキスト ボックス 5"/>
        <xdr:cNvSpPr txBox="1"/>
      </xdr:nvSpPr>
      <xdr:spPr>
        <a:xfrm>
          <a:off x="30642482" y="114301"/>
          <a:ext cx="2086534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単月（８月）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45</xdr:col>
      <xdr:colOff>289108</xdr:colOff>
      <xdr:row>0</xdr:row>
      <xdr:rowOff>121023</xdr:rowOff>
    </xdr:from>
    <xdr:to>
      <xdr:col>47</xdr:col>
      <xdr:colOff>719412</xdr:colOff>
      <xdr:row>1</xdr:row>
      <xdr:rowOff>136711</xdr:rowOff>
    </xdr:to>
    <xdr:sp macro="[0]!Copy9" textlink="">
      <xdr:nvSpPr>
        <xdr:cNvPr id="7" name="テキスト ボックス 6"/>
        <xdr:cNvSpPr txBox="1"/>
      </xdr:nvSpPr>
      <xdr:spPr>
        <a:xfrm>
          <a:off x="35379208" y="121023"/>
          <a:ext cx="2087654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単月（９月）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51</xdr:col>
      <xdr:colOff>206184</xdr:colOff>
      <xdr:row>0</xdr:row>
      <xdr:rowOff>105335</xdr:rowOff>
    </xdr:from>
    <xdr:to>
      <xdr:col>53</xdr:col>
      <xdr:colOff>726135</xdr:colOff>
      <xdr:row>1</xdr:row>
      <xdr:rowOff>121023</xdr:rowOff>
    </xdr:to>
    <xdr:sp macro="[0]!Copy10" textlink="">
      <xdr:nvSpPr>
        <xdr:cNvPr id="8" name="テキスト ボックス 7"/>
        <xdr:cNvSpPr txBox="1"/>
      </xdr:nvSpPr>
      <xdr:spPr>
        <a:xfrm>
          <a:off x="40039734" y="105335"/>
          <a:ext cx="209157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単月（１０月）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57</xdr:col>
      <xdr:colOff>156878</xdr:colOff>
      <xdr:row>0</xdr:row>
      <xdr:rowOff>112059</xdr:rowOff>
    </xdr:from>
    <xdr:to>
      <xdr:col>59</xdr:col>
      <xdr:colOff>676829</xdr:colOff>
      <xdr:row>1</xdr:row>
      <xdr:rowOff>127747</xdr:rowOff>
    </xdr:to>
    <xdr:sp macro="[0]!Copy11" textlink="">
      <xdr:nvSpPr>
        <xdr:cNvPr id="9" name="テキスト ボックス 8"/>
        <xdr:cNvSpPr txBox="1"/>
      </xdr:nvSpPr>
      <xdr:spPr>
        <a:xfrm>
          <a:off x="44562428" y="112059"/>
          <a:ext cx="209157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63</xdr:col>
      <xdr:colOff>134470</xdr:colOff>
      <xdr:row>0</xdr:row>
      <xdr:rowOff>123265</xdr:rowOff>
    </xdr:from>
    <xdr:to>
      <xdr:col>65</xdr:col>
      <xdr:colOff>654421</xdr:colOff>
      <xdr:row>1</xdr:row>
      <xdr:rowOff>138953</xdr:rowOff>
    </xdr:to>
    <xdr:sp macro="[0]!Copy12" textlink="">
      <xdr:nvSpPr>
        <xdr:cNvPr id="10" name="テキスト ボックス 9"/>
        <xdr:cNvSpPr txBox="1"/>
      </xdr:nvSpPr>
      <xdr:spPr>
        <a:xfrm>
          <a:off x="49112020" y="123265"/>
          <a:ext cx="209157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69</xdr:col>
      <xdr:colOff>163606</xdr:colOff>
      <xdr:row>0</xdr:row>
      <xdr:rowOff>118782</xdr:rowOff>
    </xdr:from>
    <xdr:to>
      <xdr:col>71</xdr:col>
      <xdr:colOff>638734</xdr:colOff>
      <xdr:row>1</xdr:row>
      <xdr:rowOff>134470</xdr:rowOff>
    </xdr:to>
    <xdr:sp macro="[0]!Copy13" textlink="">
      <xdr:nvSpPr>
        <xdr:cNvPr id="11" name="テキスト ボックス 10"/>
        <xdr:cNvSpPr txBox="1"/>
      </xdr:nvSpPr>
      <xdr:spPr>
        <a:xfrm>
          <a:off x="53713156" y="118782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75</xdr:col>
      <xdr:colOff>203947</xdr:colOff>
      <xdr:row>0</xdr:row>
      <xdr:rowOff>103094</xdr:rowOff>
    </xdr:from>
    <xdr:to>
      <xdr:col>77</xdr:col>
      <xdr:colOff>679075</xdr:colOff>
      <xdr:row>1</xdr:row>
      <xdr:rowOff>118782</xdr:rowOff>
    </xdr:to>
    <xdr:sp macro="[0]!Copy14" textlink="">
      <xdr:nvSpPr>
        <xdr:cNvPr id="12" name="テキスト ボックス 11"/>
        <xdr:cNvSpPr txBox="1"/>
      </xdr:nvSpPr>
      <xdr:spPr>
        <a:xfrm>
          <a:off x="58420747" y="103094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81</xdr:col>
      <xdr:colOff>210671</xdr:colOff>
      <xdr:row>0</xdr:row>
      <xdr:rowOff>154641</xdr:rowOff>
    </xdr:from>
    <xdr:to>
      <xdr:col>83</xdr:col>
      <xdr:colOff>685799</xdr:colOff>
      <xdr:row>1</xdr:row>
      <xdr:rowOff>170329</xdr:rowOff>
    </xdr:to>
    <xdr:sp macro="[0]!Copy15" textlink="">
      <xdr:nvSpPr>
        <xdr:cNvPr id="13" name="テキスト ボックス 12"/>
        <xdr:cNvSpPr txBox="1"/>
      </xdr:nvSpPr>
      <xdr:spPr>
        <a:xfrm>
          <a:off x="63094721" y="154641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単月（３月）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10</xdr:col>
      <xdr:colOff>273420</xdr:colOff>
      <xdr:row>2</xdr:row>
      <xdr:rowOff>38099</xdr:rowOff>
    </xdr:from>
    <xdr:to>
      <xdr:col>11</xdr:col>
      <xdr:colOff>1219796</xdr:colOff>
      <xdr:row>3</xdr:row>
      <xdr:rowOff>131999</xdr:rowOff>
    </xdr:to>
    <xdr:sp macro="[0]!cmdCsvOutput_Click" textlink="">
      <xdr:nvSpPr>
        <xdr:cNvPr id="14" name="テキスト ボックス 13"/>
        <xdr:cNvSpPr txBox="1"/>
      </xdr:nvSpPr>
      <xdr:spPr>
        <a:xfrm>
          <a:off x="6845670" y="400049"/>
          <a:ext cx="1756001" cy="284400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CSV</a:t>
          </a:r>
          <a:r>
            <a:rPr kumimoji="1" lang="ja-JP" altLang="en-US" sz="1100"/>
            <a:t>出力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情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使用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/>
        </a:p>
      </xdr:txBody>
    </xdr:sp>
    <xdr:clientData/>
  </xdr:twoCellAnchor>
  <xdr:twoCellAnchor>
    <xdr:from>
      <xdr:col>4</xdr:col>
      <xdr:colOff>414619</xdr:colOff>
      <xdr:row>3</xdr:row>
      <xdr:rowOff>112056</xdr:rowOff>
    </xdr:from>
    <xdr:to>
      <xdr:col>7</xdr:col>
      <xdr:colOff>519954</xdr:colOff>
      <xdr:row>5</xdr:row>
      <xdr:rowOff>60509</xdr:rowOff>
    </xdr:to>
    <xdr:sp macro="[0]!CopyZennenjisseki" textlink="">
      <xdr:nvSpPr>
        <xdr:cNvPr id="15" name="テキスト ボックス 14"/>
        <xdr:cNvSpPr txBox="1"/>
      </xdr:nvSpPr>
      <xdr:spPr>
        <a:xfrm>
          <a:off x="2062444" y="664506"/>
          <a:ext cx="1829360" cy="26277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前年</a:t>
          </a:r>
          <a:r>
            <a:rPr kumimoji="1" lang="en-US" altLang="ja-JP" sz="1200"/>
            <a:t>_</a:t>
          </a:r>
          <a:r>
            <a:rPr kumimoji="1" lang="ja-JP" altLang="en-US" sz="1200"/>
            <a:t>実績値コピー</a:t>
          </a:r>
        </a:p>
      </xdr:txBody>
    </xdr:sp>
    <xdr:clientData/>
  </xdr:twoCellAnchor>
  <xdr:twoCellAnchor>
    <xdr:from>
      <xdr:col>1</xdr:col>
      <xdr:colOff>22411</xdr:colOff>
      <xdr:row>3</xdr:row>
      <xdr:rowOff>123264</xdr:rowOff>
    </xdr:from>
    <xdr:to>
      <xdr:col>4</xdr:col>
      <xdr:colOff>22411</xdr:colOff>
      <xdr:row>5</xdr:row>
      <xdr:rowOff>71717</xdr:rowOff>
    </xdr:to>
    <xdr:sp macro="" textlink="">
      <xdr:nvSpPr>
        <xdr:cNvPr id="16" name="テキスト ボックス 15"/>
        <xdr:cNvSpPr txBox="1"/>
      </xdr:nvSpPr>
      <xdr:spPr>
        <a:xfrm>
          <a:off x="260536" y="675714"/>
          <a:ext cx="1409700" cy="26277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新規行追加</a:t>
          </a:r>
        </a:p>
      </xdr:txBody>
    </xdr:sp>
    <xdr:clientData/>
  </xdr:twoCellAnchor>
  <xdr:twoCellAnchor>
    <xdr:from>
      <xdr:col>10</xdr:col>
      <xdr:colOff>268939</xdr:colOff>
      <xdr:row>0</xdr:row>
      <xdr:rowOff>44822</xdr:rowOff>
    </xdr:from>
    <xdr:to>
      <xdr:col>11</xdr:col>
      <xdr:colOff>1214717</xdr:colOff>
      <xdr:row>1</xdr:row>
      <xdr:rowOff>150156</xdr:rowOff>
    </xdr:to>
    <xdr:sp macro="[0]!cmdCsvInput_Click" textlink="">
      <xdr:nvSpPr>
        <xdr:cNvPr id="17" name="テキスト ボックス 16"/>
        <xdr:cNvSpPr txBox="1"/>
      </xdr:nvSpPr>
      <xdr:spPr>
        <a:xfrm>
          <a:off x="6841189" y="44822"/>
          <a:ext cx="1755403" cy="286309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取込 </a:t>
          </a:r>
          <a:r>
            <a:rPr kumimoji="1" lang="en-US" altLang="ja-JP" sz="1100"/>
            <a:t>※</a:t>
          </a:r>
          <a:r>
            <a:rPr kumimoji="1" lang="ja-JP" altLang="en-US" sz="1100"/>
            <a:t>情</a:t>
          </a:r>
          <a:r>
            <a:rPr kumimoji="1" lang="en-US" altLang="ja-JP" sz="1100"/>
            <a:t>S</a:t>
          </a:r>
          <a:r>
            <a:rPr kumimoji="1" lang="ja-JP" altLang="en-US" sz="1100"/>
            <a:t>使用</a:t>
          </a:r>
        </a:p>
      </xdr:txBody>
    </xdr:sp>
    <xdr:clientData/>
  </xdr:twoCellAnchor>
  <xdr:twoCellAnchor>
    <xdr:from>
      <xdr:col>7</xdr:col>
      <xdr:colOff>766481</xdr:colOff>
      <xdr:row>3</xdr:row>
      <xdr:rowOff>116539</xdr:rowOff>
    </xdr:from>
    <xdr:to>
      <xdr:col>9</xdr:col>
      <xdr:colOff>210669</xdr:colOff>
      <xdr:row>5</xdr:row>
      <xdr:rowOff>64992</xdr:rowOff>
    </xdr:to>
    <xdr:sp macro="[0]!CopyJigyou" textlink="">
      <xdr:nvSpPr>
        <xdr:cNvPr id="18" name="テキスト ボックス 17"/>
        <xdr:cNvSpPr txBox="1"/>
      </xdr:nvSpPr>
      <xdr:spPr>
        <a:xfrm>
          <a:off x="4138331" y="668989"/>
          <a:ext cx="1834963" cy="26277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事業者別前年</a:t>
          </a:r>
          <a:r>
            <a:rPr kumimoji="1" lang="en-US" altLang="ja-JP" sz="1100"/>
            <a:t>_</a:t>
          </a:r>
          <a:r>
            <a:rPr kumimoji="1" lang="ja-JP" altLang="en-US" sz="1100"/>
            <a:t>実績コピー</a:t>
          </a:r>
        </a:p>
      </xdr:txBody>
    </xdr:sp>
    <xdr:clientData/>
  </xdr:twoCellAnchor>
  <xdr:twoCellAnchor>
    <xdr:from>
      <xdr:col>10</xdr:col>
      <xdr:colOff>44824</xdr:colOff>
      <xdr:row>4</xdr:row>
      <xdr:rowOff>56025</xdr:rowOff>
    </xdr:from>
    <xdr:to>
      <xdr:col>10</xdr:col>
      <xdr:colOff>773206</xdr:colOff>
      <xdr:row>6</xdr:row>
      <xdr:rowOff>11206</xdr:rowOff>
    </xdr:to>
    <xdr:sp macro="[0]!syukei" textlink="">
      <xdr:nvSpPr>
        <xdr:cNvPr id="19" name="テキスト ボックス 18"/>
        <xdr:cNvSpPr txBox="1"/>
      </xdr:nvSpPr>
      <xdr:spPr>
        <a:xfrm>
          <a:off x="6617074" y="741825"/>
          <a:ext cx="728382" cy="307606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302559</xdr:colOff>
      <xdr:row>0</xdr:row>
      <xdr:rowOff>112058</xdr:rowOff>
    </xdr:from>
    <xdr:to>
      <xdr:col>17</xdr:col>
      <xdr:colOff>750794</xdr:colOff>
      <xdr:row>1</xdr:row>
      <xdr:rowOff>123265</xdr:rowOff>
    </xdr:to>
    <xdr:sp macro="[0]!Copy4" textlink="">
      <xdr:nvSpPr>
        <xdr:cNvPr id="6" name="テキスト ボックス 5"/>
        <xdr:cNvSpPr txBox="1"/>
      </xdr:nvSpPr>
      <xdr:spPr>
        <a:xfrm>
          <a:off x="11732559" y="112058"/>
          <a:ext cx="2106706" cy="190501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単月（４月）</a:t>
          </a:r>
          <a:r>
            <a:rPr kumimoji="1" lang="en-US" altLang="ja-JP" sz="1100"/>
            <a:t>_</a:t>
          </a:r>
          <a:r>
            <a:rPr kumimoji="1" lang="ja-JP" altLang="en-US" sz="1100"/>
            <a:t>前年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21</xdr:col>
      <xdr:colOff>242047</xdr:colOff>
      <xdr:row>0</xdr:row>
      <xdr:rowOff>141194</xdr:rowOff>
    </xdr:from>
    <xdr:to>
      <xdr:col>23</xdr:col>
      <xdr:colOff>717175</xdr:colOff>
      <xdr:row>1</xdr:row>
      <xdr:rowOff>156882</xdr:rowOff>
    </xdr:to>
    <xdr:sp macro="[0]!Copy5" textlink="">
      <xdr:nvSpPr>
        <xdr:cNvPr id="7" name="テキスト ボックス 6"/>
        <xdr:cNvSpPr txBox="1"/>
      </xdr:nvSpPr>
      <xdr:spPr>
        <a:xfrm>
          <a:off x="16356106" y="141194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単月（５月）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27</xdr:col>
      <xdr:colOff>123263</xdr:colOff>
      <xdr:row>0</xdr:row>
      <xdr:rowOff>112059</xdr:rowOff>
    </xdr:from>
    <xdr:to>
      <xdr:col>29</xdr:col>
      <xdr:colOff>575979</xdr:colOff>
      <xdr:row>1</xdr:row>
      <xdr:rowOff>127747</xdr:rowOff>
    </xdr:to>
    <xdr:sp macro="[0]!Copy6" textlink="">
      <xdr:nvSpPr>
        <xdr:cNvPr id="8" name="テキスト ボックス 7"/>
        <xdr:cNvSpPr txBox="1"/>
      </xdr:nvSpPr>
      <xdr:spPr>
        <a:xfrm>
          <a:off x="20876557" y="112059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単月（６月）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33</xdr:col>
      <xdr:colOff>286869</xdr:colOff>
      <xdr:row>0</xdr:row>
      <xdr:rowOff>96372</xdr:rowOff>
    </xdr:from>
    <xdr:to>
      <xdr:col>35</xdr:col>
      <xdr:colOff>750791</xdr:colOff>
      <xdr:row>1</xdr:row>
      <xdr:rowOff>112060</xdr:rowOff>
    </xdr:to>
    <xdr:sp macro="[0]!Copy7" textlink="">
      <xdr:nvSpPr>
        <xdr:cNvPr id="9" name="テキスト ボックス 8"/>
        <xdr:cNvSpPr txBox="1"/>
      </xdr:nvSpPr>
      <xdr:spPr>
        <a:xfrm>
          <a:off x="25701810" y="96372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単月（７月）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39</xdr:col>
      <xdr:colOff>181532</xdr:colOff>
      <xdr:row>0</xdr:row>
      <xdr:rowOff>114301</xdr:rowOff>
    </xdr:from>
    <xdr:to>
      <xdr:col>41</xdr:col>
      <xdr:colOff>667866</xdr:colOff>
      <xdr:row>1</xdr:row>
      <xdr:rowOff>129989</xdr:rowOff>
    </xdr:to>
    <xdr:sp macro="[0]!Copy8" textlink="">
      <xdr:nvSpPr>
        <xdr:cNvPr id="10" name="テキスト ボックス 9"/>
        <xdr:cNvSpPr txBox="1"/>
      </xdr:nvSpPr>
      <xdr:spPr>
        <a:xfrm>
          <a:off x="30302944" y="114301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単月（８月）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45</xdr:col>
      <xdr:colOff>289108</xdr:colOff>
      <xdr:row>0</xdr:row>
      <xdr:rowOff>121023</xdr:rowOff>
    </xdr:from>
    <xdr:to>
      <xdr:col>47</xdr:col>
      <xdr:colOff>719412</xdr:colOff>
      <xdr:row>1</xdr:row>
      <xdr:rowOff>136711</xdr:rowOff>
    </xdr:to>
    <xdr:sp macro="[0]!Copy9" textlink="">
      <xdr:nvSpPr>
        <xdr:cNvPr id="11" name="テキスト ボックス 10"/>
        <xdr:cNvSpPr txBox="1"/>
      </xdr:nvSpPr>
      <xdr:spPr>
        <a:xfrm>
          <a:off x="35049755" y="121023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単月（９月）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51</xdr:col>
      <xdr:colOff>206184</xdr:colOff>
      <xdr:row>0</xdr:row>
      <xdr:rowOff>105335</xdr:rowOff>
    </xdr:from>
    <xdr:to>
      <xdr:col>53</xdr:col>
      <xdr:colOff>726135</xdr:colOff>
      <xdr:row>1</xdr:row>
      <xdr:rowOff>121023</xdr:rowOff>
    </xdr:to>
    <xdr:sp macro="[0]!Copy10" textlink="">
      <xdr:nvSpPr>
        <xdr:cNvPr id="12" name="テキスト ボックス 11"/>
        <xdr:cNvSpPr txBox="1"/>
      </xdr:nvSpPr>
      <xdr:spPr>
        <a:xfrm>
          <a:off x="39718125" y="105335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単月（１０月）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57</xdr:col>
      <xdr:colOff>156878</xdr:colOff>
      <xdr:row>0</xdr:row>
      <xdr:rowOff>112059</xdr:rowOff>
    </xdr:from>
    <xdr:to>
      <xdr:col>59</xdr:col>
      <xdr:colOff>676829</xdr:colOff>
      <xdr:row>1</xdr:row>
      <xdr:rowOff>127747</xdr:rowOff>
    </xdr:to>
    <xdr:sp macro="[0]!Copy11" textlink="">
      <xdr:nvSpPr>
        <xdr:cNvPr id="13" name="テキスト ボックス 12"/>
        <xdr:cNvSpPr txBox="1"/>
      </xdr:nvSpPr>
      <xdr:spPr>
        <a:xfrm>
          <a:off x="44240819" y="112059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63</xdr:col>
      <xdr:colOff>134470</xdr:colOff>
      <xdr:row>0</xdr:row>
      <xdr:rowOff>123265</xdr:rowOff>
    </xdr:from>
    <xdr:to>
      <xdr:col>65</xdr:col>
      <xdr:colOff>654421</xdr:colOff>
      <xdr:row>1</xdr:row>
      <xdr:rowOff>138953</xdr:rowOff>
    </xdr:to>
    <xdr:sp macro="[0]!Copy12" textlink="">
      <xdr:nvSpPr>
        <xdr:cNvPr id="14" name="テキスト ボックス 13"/>
        <xdr:cNvSpPr txBox="1"/>
      </xdr:nvSpPr>
      <xdr:spPr>
        <a:xfrm>
          <a:off x="48790411" y="123265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69</xdr:col>
      <xdr:colOff>163606</xdr:colOff>
      <xdr:row>0</xdr:row>
      <xdr:rowOff>118782</xdr:rowOff>
    </xdr:from>
    <xdr:to>
      <xdr:col>71</xdr:col>
      <xdr:colOff>638734</xdr:colOff>
      <xdr:row>1</xdr:row>
      <xdr:rowOff>134470</xdr:rowOff>
    </xdr:to>
    <xdr:sp macro="[0]!Copy13" textlink="">
      <xdr:nvSpPr>
        <xdr:cNvPr id="15" name="テキスト ボックス 14"/>
        <xdr:cNvSpPr txBox="1"/>
      </xdr:nvSpPr>
      <xdr:spPr>
        <a:xfrm>
          <a:off x="53391547" y="118782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75</xdr:col>
      <xdr:colOff>203947</xdr:colOff>
      <xdr:row>0</xdr:row>
      <xdr:rowOff>103094</xdr:rowOff>
    </xdr:from>
    <xdr:to>
      <xdr:col>77</xdr:col>
      <xdr:colOff>679075</xdr:colOff>
      <xdr:row>1</xdr:row>
      <xdr:rowOff>118782</xdr:rowOff>
    </xdr:to>
    <xdr:sp macro="[0]!Copy14" textlink="">
      <xdr:nvSpPr>
        <xdr:cNvPr id="16" name="テキスト ボックス 15"/>
        <xdr:cNvSpPr txBox="1"/>
      </xdr:nvSpPr>
      <xdr:spPr>
        <a:xfrm>
          <a:off x="58093535" y="103094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81</xdr:col>
      <xdr:colOff>210671</xdr:colOff>
      <xdr:row>0</xdr:row>
      <xdr:rowOff>154641</xdr:rowOff>
    </xdr:from>
    <xdr:to>
      <xdr:col>83</xdr:col>
      <xdr:colOff>685799</xdr:colOff>
      <xdr:row>1</xdr:row>
      <xdr:rowOff>170329</xdr:rowOff>
    </xdr:to>
    <xdr:sp macro="[0]!Copy15" textlink="">
      <xdr:nvSpPr>
        <xdr:cNvPr id="17" name="テキスト ボックス 16"/>
        <xdr:cNvSpPr txBox="1"/>
      </xdr:nvSpPr>
      <xdr:spPr>
        <a:xfrm>
          <a:off x="62761906" y="154641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単月（３月）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10</xdr:col>
      <xdr:colOff>273420</xdr:colOff>
      <xdr:row>2</xdr:row>
      <xdr:rowOff>38099</xdr:rowOff>
    </xdr:from>
    <xdr:to>
      <xdr:col>11</xdr:col>
      <xdr:colOff>1219796</xdr:colOff>
      <xdr:row>3</xdr:row>
      <xdr:rowOff>131999</xdr:rowOff>
    </xdr:to>
    <xdr:sp macro="[0]!cmdCsvOutput_Click" textlink="">
      <xdr:nvSpPr>
        <xdr:cNvPr id="21" name="テキスト ボックス 20"/>
        <xdr:cNvSpPr txBox="1"/>
      </xdr:nvSpPr>
      <xdr:spPr>
        <a:xfrm>
          <a:off x="6840067" y="396687"/>
          <a:ext cx="1753200" cy="284400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CSV</a:t>
          </a:r>
          <a:r>
            <a:rPr kumimoji="1" lang="ja-JP" altLang="en-US" sz="1100"/>
            <a:t>出力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情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使用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/>
        </a:p>
      </xdr:txBody>
    </xdr:sp>
    <xdr:clientData/>
  </xdr:twoCellAnchor>
  <xdr:twoCellAnchor>
    <xdr:from>
      <xdr:col>4</xdr:col>
      <xdr:colOff>414619</xdr:colOff>
      <xdr:row>3</xdr:row>
      <xdr:rowOff>112056</xdr:rowOff>
    </xdr:from>
    <xdr:to>
      <xdr:col>7</xdr:col>
      <xdr:colOff>519954</xdr:colOff>
      <xdr:row>5</xdr:row>
      <xdr:rowOff>60509</xdr:rowOff>
    </xdr:to>
    <xdr:sp macro="[0]!CopyZennenjisseki" textlink="">
      <xdr:nvSpPr>
        <xdr:cNvPr id="22" name="テキスト ボックス 21"/>
        <xdr:cNvSpPr txBox="1"/>
      </xdr:nvSpPr>
      <xdr:spPr>
        <a:xfrm>
          <a:off x="2084295" y="661144"/>
          <a:ext cx="18310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前年</a:t>
          </a:r>
          <a:r>
            <a:rPr kumimoji="1" lang="en-US" altLang="ja-JP" sz="1200"/>
            <a:t>_</a:t>
          </a:r>
          <a:r>
            <a:rPr kumimoji="1" lang="ja-JP" altLang="en-US" sz="1200"/>
            <a:t>実績値コピー</a:t>
          </a:r>
        </a:p>
      </xdr:txBody>
    </xdr:sp>
    <xdr:clientData/>
  </xdr:twoCellAnchor>
  <xdr:twoCellAnchor>
    <xdr:from>
      <xdr:col>1</xdr:col>
      <xdr:colOff>22411</xdr:colOff>
      <xdr:row>3</xdr:row>
      <xdr:rowOff>123264</xdr:rowOff>
    </xdr:from>
    <xdr:to>
      <xdr:col>4</xdr:col>
      <xdr:colOff>22411</xdr:colOff>
      <xdr:row>5</xdr:row>
      <xdr:rowOff>71717</xdr:rowOff>
    </xdr:to>
    <xdr:sp macro="" textlink="">
      <xdr:nvSpPr>
        <xdr:cNvPr id="23" name="テキスト ボックス 22"/>
        <xdr:cNvSpPr txBox="1"/>
      </xdr:nvSpPr>
      <xdr:spPr>
        <a:xfrm>
          <a:off x="280146" y="672352"/>
          <a:ext cx="14119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新規行追加</a:t>
          </a:r>
        </a:p>
      </xdr:txBody>
    </xdr:sp>
    <xdr:clientData/>
  </xdr:twoCellAnchor>
  <xdr:twoCellAnchor>
    <xdr:from>
      <xdr:col>10</xdr:col>
      <xdr:colOff>268939</xdr:colOff>
      <xdr:row>0</xdr:row>
      <xdr:rowOff>44822</xdr:rowOff>
    </xdr:from>
    <xdr:to>
      <xdr:col>11</xdr:col>
      <xdr:colOff>1214717</xdr:colOff>
      <xdr:row>1</xdr:row>
      <xdr:rowOff>150156</xdr:rowOff>
    </xdr:to>
    <xdr:sp macro="[0]!cmdCsvInput_Click" textlink="">
      <xdr:nvSpPr>
        <xdr:cNvPr id="24" name="テキスト ボックス 23"/>
        <xdr:cNvSpPr txBox="1"/>
      </xdr:nvSpPr>
      <xdr:spPr>
        <a:xfrm>
          <a:off x="6835586" y="44822"/>
          <a:ext cx="1752602" cy="28462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取込 </a:t>
          </a:r>
          <a:r>
            <a:rPr kumimoji="1" lang="en-US" altLang="ja-JP" sz="1100"/>
            <a:t>※</a:t>
          </a:r>
          <a:r>
            <a:rPr kumimoji="1" lang="ja-JP" altLang="en-US" sz="1100"/>
            <a:t>情</a:t>
          </a:r>
          <a:r>
            <a:rPr kumimoji="1" lang="en-US" altLang="ja-JP" sz="1100"/>
            <a:t>S</a:t>
          </a:r>
          <a:r>
            <a:rPr kumimoji="1" lang="ja-JP" altLang="en-US" sz="1100"/>
            <a:t>使用</a:t>
          </a:r>
        </a:p>
      </xdr:txBody>
    </xdr:sp>
    <xdr:clientData/>
  </xdr:twoCellAnchor>
  <xdr:twoCellAnchor>
    <xdr:from>
      <xdr:col>7</xdr:col>
      <xdr:colOff>766481</xdr:colOff>
      <xdr:row>3</xdr:row>
      <xdr:rowOff>116539</xdr:rowOff>
    </xdr:from>
    <xdr:to>
      <xdr:col>9</xdr:col>
      <xdr:colOff>210669</xdr:colOff>
      <xdr:row>5</xdr:row>
      <xdr:rowOff>64992</xdr:rowOff>
    </xdr:to>
    <xdr:sp macro="[0]!CopyJigyou" textlink="">
      <xdr:nvSpPr>
        <xdr:cNvPr id="25" name="テキスト ボックス 24"/>
        <xdr:cNvSpPr txBox="1"/>
      </xdr:nvSpPr>
      <xdr:spPr>
        <a:xfrm>
          <a:off x="4161863" y="665627"/>
          <a:ext cx="18310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事業者別前年</a:t>
          </a:r>
          <a:r>
            <a:rPr kumimoji="1" lang="en-US" altLang="ja-JP" sz="1100"/>
            <a:t>_</a:t>
          </a:r>
          <a:r>
            <a:rPr kumimoji="1" lang="ja-JP" altLang="en-US" sz="1100"/>
            <a:t>実績コピー</a:t>
          </a:r>
        </a:p>
      </xdr:txBody>
    </xdr:sp>
    <xdr:clientData/>
  </xdr:twoCellAnchor>
  <xdr:twoCellAnchor>
    <xdr:from>
      <xdr:col>10</xdr:col>
      <xdr:colOff>44824</xdr:colOff>
      <xdr:row>4</xdr:row>
      <xdr:rowOff>56025</xdr:rowOff>
    </xdr:from>
    <xdr:to>
      <xdr:col>10</xdr:col>
      <xdr:colOff>773206</xdr:colOff>
      <xdr:row>6</xdr:row>
      <xdr:rowOff>11206</xdr:rowOff>
    </xdr:to>
    <xdr:sp macro="[0]!syukei" textlink="">
      <xdr:nvSpPr>
        <xdr:cNvPr id="26" name="テキスト ボックス 25"/>
        <xdr:cNvSpPr txBox="1"/>
      </xdr:nvSpPr>
      <xdr:spPr>
        <a:xfrm>
          <a:off x="6611471" y="739584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</xdr:row>
      <xdr:rowOff>19050</xdr:rowOff>
    </xdr:from>
    <xdr:to>
      <xdr:col>7</xdr:col>
      <xdr:colOff>1019175</xdr:colOff>
      <xdr:row>7</xdr:row>
      <xdr:rowOff>19049</xdr:rowOff>
    </xdr:to>
    <xdr:sp macro="" textlink="">
      <xdr:nvSpPr>
        <xdr:cNvPr id="2" name="テキスト ボックス 1"/>
        <xdr:cNvSpPr txBox="1"/>
      </xdr:nvSpPr>
      <xdr:spPr>
        <a:xfrm>
          <a:off x="333375" y="190500"/>
          <a:ext cx="7096125" cy="1028699"/>
        </a:xfrm>
        <a:prstGeom prst="rect">
          <a:avLst/>
        </a:prstGeom>
        <a:solidFill>
          <a:srgbClr val="FFCC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rgbClr val="0070C0"/>
              </a:solidFill>
            </a:rPr>
            <a:t>★割振られた計画値と入力差異確認にご利用下さい。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ja-JP" altLang="en-US" sz="1400" b="1" baseline="0">
              <a:solidFill>
                <a:srgbClr val="0070C0"/>
              </a:solidFill>
            </a:rPr>
            <a:t> ・ </a:t>
          </a:r>
          <a:r>
            <a:rPr kumimoji="1" lang="ja-JP" altLang="en-US" sz="1400" b="1">
              <a:solidFill>
                <a:srgbClr val="0070C0"/>
              </a:solidFill>
            </a:rPr>
            <a:t>各月の計画予定値を入力下さい！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ja-JP" altLang="en-US" sz="1400" b="1">
              <a:solidFill>
                <a:srgbClr val="0070C0"/>
              </a:solidFill>
            </a:rPr>
            <a:t>    </a:t>
          </a:r>
          <a:r>
            <a:rPr kumimoji="1" lang="ja-JP" altLang="ja-JP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計画予定値</a:t>
          </a:r>
          <a:r>
            <a:rPr kumimoji="1" lang="ja-JP" altLang="en-US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と入力値の</a:t>
          </a:r>
          <a:r>
            <a:rPr kumimoji="1" lang="ja-JP" altLang="en-US" sz="1400" b="1">
              <a:solidFill>
                <a:srgbClr val="0070C0"/>
              </a:solidFill>
            </a:rPr>
            <a:t>差異が０ になった際に差異確認セルの色は白くなります。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en-US" altLang="ja-JP" sz="1400" b="1">
              <a:solidFill>
                <a:srgbClr val="0070C0"/>
              </a:solidFill>
            </a:rPr>
            <a:t>※</a:t>
          </a:r>
          <a:r>
            <a:rPr kumimoji="1" lang="ja-JP" altLang="en-US" sz="1400" b="1">
              <a:solidFill>
                <a:srgbClr val="0070C0"/>
              </a:solidFill>
            </a:rPr>
            <a:t>０ではない場合、</a:t>
          </a:r>
          <a:r>
            <a:rPr kumimoji="1" lang="ja-JP" altLang="ja-JP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差異確認</a:t>
          </a:r>
          <a:r>
            <a:rPr kumimoji="1" lang="ja-JP" altLang="en-US" sz="1400" b="1">
              <a:solidFill>
                <a:srgbClr val="0070C0"/>
              </a:solidFill>
            </a:rPr>
            <a:t>セルは黄色になります。</a:t>
          </a:r>
        </a:p>
      </xdr:txBody>
    </xdr:sp>
    <xdr:clientData/>
  </xdr:twoCellAnchor>
  <xdr:twoCellAnchor>
    <xdr:from>
      <xdr:col>2</xdr:col>
      <xdr:colOff>428625</xdr:colOff>
      <xdr:row>5</xdr:row>
      <xdr:rowOff>57150</xdr:rowOff>
    </xdr:from>
    <xdr:to>
      <xdr:col>10</xdr:col>
      <xdr:colOff>9525</xdr:colOff>
      <xdr:row>28</xdr:row>
      <xdr:rowOff>161925</xdr:rowOff>
    </xdr:to>
    <xdr:sp macro="" textlink="">
      <xdr:nvSpPr>
        <xdr:cNvPr id="3" name="テキスト ボックス 2"/>
        <xdr:cNvSpPr txBox="1"/>
      </xdr:nvSpPr>
      <xdr:spPr>
        <a:xfrm>
          <a:off x="1676400" y="914400"/>
          <a:ext cx="7924800" cy="4114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/>
            <a:t>このシートはこのままで大丈夫です。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75480</xdr:colOff>
      <xdr:row>1</xdr:row>
      <xdr:rowOff>43864</xdr:rowOff>
    </xdr:from>
    <xdr:to>
      <xdr:col>18</xdr:col>
      <xdr:colOff>489856</xdr:colOff>
      <xdr:row>4</xdr:row>
      <xdr:rowOff>136073</xdr:rowOff>
    </xdr:to>
    <xdr:sp macro="" textlink="">
      <xdr:nvSpPr>
        <xdr:cNvPr id="3" name="テキスト ボックス 2"/>
        <xdr:cNvSpPr txBox="1"/>
      </xdr:nvSpPr>
      <xdr:spPr>
        <a:xfrm>
          <a:off x="8266980" y="220757"/>
          <a:ext cx="5857233" cy="704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計画作成（原紙） シートの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商品別でグルーピングした計画入力値の集計値を表示させたい。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、重点先商品別、都道府県商品別で  集計できる様にしたい。</a:t>
          </a:r>
        </a:p>
      </xdr:txBody>
    </xdr:sp>
    <xdr:clientData/>
  </xdr:twoCellAnchor>
  <xdr:twoCellAnchor>
    <xdr:from>
      <xdr:col>3</xdr:col>
      <xdr:colOff>54430</xdr:colOff>
      <xdr:row>2</xdr:row>
      <xdr:rowOff>54429</xdr:rowOff>
    </xdr:from>
    <xdr:to>
      <xdr:col>3</xdr:col>
      <xdr:colOff>782812</xdr:colOff>
      <xdr:row>3</xdr:row>
      <xdr:rowOff>180099</xdr:rowOff>
    </xdr:to>
    <xdr:sp macro="" textlink="">
      <xdr:nvSpPr>
        <xdr:cNvPr id="7" name="テキスト ボックス 6"/>
        <xdr:cNvSpPr txBox="1"/>
      </xdr:nvSpPr>
      <xdr:spPr>
        <a:xfrm>
          <a:off x="2081894" y="449036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300478</xdr:colOff>
      <xdr:row>1</xdr:row>
      <xdr:rowOff>151281</xdr:rowOff>
    </xdr:from>
    <xdr:to>
      <xdr:col>16</xdr:col>
      <xdr:colOff>291353</xdr:colOff>
      <xdr:row>4</xdr:row>
      <xdr:rowOff>22411</xdr:rowOff>
    </xdr:to>
    <xdr:sp macro="" textlink="">
      <xdr:nvSpPr>
        <xdr:cNvPr id="5" name="テキスト ボックス 4"/>
        <xdr:cNvSpPr txBox="1"/>
      </xdr:nvSpPr>
      <xdr:spPr>
        <a:xfrm>
          <a:off x="6609390" y="319369"/>
          <a:ext cx="4786992" cy="4874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計画作成（原紙） シートの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ja-JP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重点先商品別</a:t>
          </a:r>
          <a:r>
            <a:rPr kumimoji="1" lang="ja-JP" altLang="en-US" sz="1100" b="1">
              <a:solidFill>
                <a:srgbClr val="FF0000"/>
              </a:solidFill>
            </a:rPr>
            <a:t>でグルーピングした計画入力値の集計値を表示させたい。</a:t>
          </a:r>
          <a:endParaRPr kumimoji="1" lang="en-US" altLang="ja-JP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22411</xdr:colOff>
      <xdr:row>7</xdr:row>
      <xdr:rowOff>11204</xdr:rowOff>
    </xdr:from>
    <xdr:to>
      <xdr:col>41</xdr:col>
      <xdr:colOff>672352</xdr:colOff>
      <xdr:row>34</xdr:row>
      <xdr:rowOff>156881</xdr:rowOff>
    </xdr:to>
    <xdr:sp macro="" textlink="">
      <xdr:nvSpPr>
        <xdr:cNvPr id="6" name="正方形/長方形 5"/>
        <xdr:cNvSpPr/>
      </xdr:nvSpPr>
      <xdr:spPr>
        <a:xfrm>
          <a:off x="3384176" y="1568822"/>
          <a:ext cx="24574500" cy="4684059"/>
        </a:xfrm>
        <a:prstGeom prst="rect">
          <a:avLst/>
        </a:prstGeom>
        <a:noFill/>
        <a:ln w="444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201706</xdr:colOff>
      <xdr:row>2</xdr:row>
      <xdr:rowOff>100853</xdr:rowOff>
    </xdr:from>
    <xdr:to>
      <xdr:col>4</xdr:col>
      <xdr:colOff>246529</xdr:colOff>
      <xdr:row>4</xdr:row>
      <xdr:rowOff>11210</xdr:rowOff>
    </xdr:to>
    <xdr:sp macro="" textlink="">
      <xdr:nvSpPr>
        <xdr:cNvPr id="9" name="テキスト ボックス 8"/>
        <xdr:cNvSpPr txBox="1"/>
      </xdr:nvSpPr>
      <xdr:spPr>
        <a:xfrm>
          <a:off x="1154206" y="493059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184337</xdr:colOff>
      <xdr:row>0</xdr:row>
      <xdr:rowOff>123265</xdr:rowOff>
    </xdr:from>
    <xdr:to>
      <xdr:col>17</xdr:col>
      <xdr:colOff>369794</xdr:colOff>
      <xdr:row>4</xdr:row>
      <xdr:rowOff>78442</xdr:rowOff>
    </xdr:to>
    <xdr:sp macro="" textlink="">
      <xdr:nvSpPr>
        <xdr:cNvPr id="3" name="テキスト ボックス 2"/>
        <xdr:cNvSpPr txBox="1"/>
      </xdr:nvSpPr>
      <xdr:spPr>
        <a:xfrm>
          <a:off x="7266455" y="123265"/>
          <a:ext cx="5653927" cy="672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計画作成（原紙） シートの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ja-JP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都道府県商品別</a:t>
          </a:r>
          <a:r>
            <a:rPr kumimoji="1" lang="ja-JP" altLang="en-US" sz="1100" b="1">
              <a:solidFill>
                <a:srgbClr val="FF0000"/>
              </a:solidFill>
            </a:rPr>
            <a:t>でグルーピングした計画入力値の集計値を表示させたい。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en-US" altLang="ja-JP" sz="1100" b="1">
              <a:solidFill>
                <a:srgbClr val="FF0000"/>
              </a:solidFill>
            </a:rPr>
            <a:t>※</a:t>
          </a:r>
          <a:r>
            <a:rPr kumimoji="1" lang="ja-JP" altLang="en-US" sz="1100" b="1">
              <a:solidFill>
                <a:srgbClr val="FF0000"/>
              </a:solidFill>
            </a:rPr>
            <a:t>都道府県の数は入力対象者ごとに変わります。</a:t>
          </a:r>
          <a:endParaRPr kumimoji="1" lang="en-US" altLang="ja-JP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28575</xdr:rowOff>
    </xdr:from>
    <xdr:to>
      <xdr:col>42</xdr:col>
      <xdr:colOff>0</xdr:colOff>
      <xdr:row>36</xdr:row>
      <xdr:rowOff>161925</xdr:rowOff>
    </xdr:to>
    <xdr:sp macro="" textlink="">
      <xdr:nvSpPr>
        <xdr:cNvPr id="6" name="正方形/長方形 5"/>
        <xdr:cNvSpPr/>
      </xdr:nvSpPr>
      <xdr:spPr>
        <a:xfrm>
          <a:off x="4114800" y="1409700"/>
          <a:ext cx="24688800" cy="5105400"/>
        </a:xfrm>
        <a:prstGeom prst="rect">
          <a:avLst/>
        </a:prstGeom>
        <a:noFill/>
        <a:ln w="444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493059</xdr:colOff>
      <xdr:row>2</xdr:row>
      <xdr:rowOff>67235</xdr:rowOff>
    </xdr:from>
    <xdr:to>
      <xdr:col>3</xdr:col>
      <xdr:colOff>537882</xdr:colOff>
      <xdr:row>4</xdr:row>
      <xdr:rowOff>44828</xdr:rowOff>
    </xdr:to>
    <xdr:sp macro="" textlink="">
      <xdr:nvSpPr>
        <xdr:cNvPr id="7" name="テキスト ボックス 6"/>
        <xdr:cNvSpPr txBox="1"/>
      </xdr:nvSpPr>
      <xdr:spPr>
        <a:xfrm>
          <a:off x="1524000" y="459441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347383</xdr:colOff>
      <xdr:row>9</xdr:row>
      <xdr:rowOff>67235</xdr:rowOff>
    </xdr:from>
    <xdr:to>
      <xdr:col>14</xdr:col>
      <xdr:colOff>0</xdr:colOff>
      <xdr:row>13</xdr:row>
      <xdr:rowOff>112059</xdr:rowOff>
    </xdr:to>
    <xdr:sp macro="" textlink="">
      <xdr:nvSpPr>
        <xdr:cNvPr id="3" name="テキスト ボックス 2"/>
        <xdr:cNvSpPr txBox="1"/>
      </xdr:nvSpPr>
      <xdr:spPr>
        <a:xfrm>
          <a:off x="10872508" y="2400300"/>
          <a:ext cx="2703418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その他コードでのまとめ</a:t>
          </a:r>
          <a:endParaRPr kumimoji="1" lang="en-US" altLang="ja-JP" sz="1100"/>
        </a:p>
        <a:p>
          <a:r>
            <a:rPr kumimoji="1" lang="ja-JP" altLang="en-US" sz="1100"/>
            <a:t>サポートシステム</a:t>
          </a:r>
          <a:r>
            <a:rPr kumimoji="1" lang="en-US" altLang="ja-JP" sz="1100"/>
            <a:t>+</a:t>
          </a:r>
          <a:r>
            <a:rPr kumimoji="1" lang="ja-JP" altLang="en-US" sz="1100"/>
            <a:t>液状化 関連は</a:t>
          </a:r>
          <a:endParaRPr kumimoji="1" lang="en-US" altLang="ja-JP" sz="1100"/>
        </a:p>
        <a:p>
          <a:r>
            <a:rPr kumimoji="1" lang="ja-JP" altLang="en-US" sz="1100"/>
            <a:t>商品ごとに作成する？</a:t>
          </a:r>
        </a:p>
      </xdr:txBody>
    </xdr:sp>
    <xdr:clientData/>
  </xdr:twoCellAnchor>
  <xdr:twoCellAnchor>
    <xdr:from>
      <xdr:col>8</xdr:col>
      <xdr:colOff>156882</xdr:colOff>
      <xdr:row>25</xdr:row>
      <xdr:rowOff>22413</xdr:rowOff>
    </xdr:from>
    <xdr:to>
      <xdr:col>12</xdr:col>
      <xdr:colOff>526676</xdr:colOff>
      <xdr:row>26</xdr:row>
      <xdr:rowOff>257735</xdr:rowOff>
    </xdr:to>
    <xdr:sp macro="" textlink="">
      <xdr:nvSpPr>
        <xdr:cNvPr id="4" name="テキスト ボックス 3"/>
        <xdr:cNvSpPr txBox="1"/>
      </xdr:nvSpPr>
      <xdr:spPr>
        <a:xfrm>
          <a:off x="7048500" y="3787589"/>
          <a:ext cx="2846294" cy="504264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事業者個別の工事計画入力はやめる</a:t>
          </a:r>
          <a:endParaRPr kumimoji="1" lang="en-US" altLang="ja-JP" sz="1200">
            <a:solidFill>
              <a:srgbClr val="FF0000"/>
            </a:solidFill>
          </a:endParaRPr>
        </a:p>
        <a:p>
          <a:r>
            <a:rPr kumimoji="1" lang="ja-JP" altLang="en-US" sz="1200">
              <a:solidFill>
                <a:srgbClr val="FF0000"/>
              </a:solidFill>
            </a:rPr>
            <a:t>営業マン別で持たせる。</a:t>
          </a:r>
        </a:p>
      </xdr:txBody>
    </xdr:sp>
    <xdr:clientData/>
  </xdr:twoCellAnchor>
  <xdr:twoCellAnchor>
    <xdr:from>
      <xdr:col>8</xdr:col>
      <xdr:colOff>280144</xdr:colOff>
      <xdr:row>34</xdr:row>
      <xdr:rowOff>246529</xdr:rowOff>
    </xdr:from>
    <xdr:to>
      <xdr:col>12</xdr:col>
      <xdr:colOff>549087</xdr:colOff>
      <xdr:row>36</xdr:row>
      <xdr:rowOff>22414</xdr:rowOff>
    </xdr:to>
    <xdr:sp macro="" textlink="">
      <xdr:nvSpPr>
        <xdr:cNvPr id="5" name="テキスト ボックス 4"/>
        <xdr:cNvSpPr txBox="1"/>
      </xdr:nvSpPr>
      <xdr:spPr>
        <a:xfrm>
          <a:off x="7171762" y="6443382"/>
          <a:ext cx="2745443" cy="3137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測量も営業マン別で持たせる。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495300</xdr:colOff>
      <xdr:row>1</xdr:row>
      <xdr:rowOff>0</xdr:rowOff>
    </xdr:from>
    <xdr:to>
      <xdr:col>26</xdr:col>
      <xdr:colOff>457200</xdr:colOff>
      <xdr:row>23</xdr:row>
      <xdr:rowOff>162380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0550" y="1267356"/>
          <a:ext cx="5448300" cy="39342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33"/>
  <sheetViews>
    <sheetView showGridLines="0" zoomScale="85" zoomScaleNormal="85" workbookViewId="0">
      <selection activeCell="A9" sqref="A9:XFD17"/>
    </sheetView>
  </sheetViews>
  <sheetFormatPr defaultRowHeight="13.5"/>
  <cols>
    <col min="1" max="1" width="3.125" style="379" customWidth="1"/>
    <col min="2" max="2" width="3.625" style="379" customWidth="1"/>
    <col min="3" max="3" width="10.625" style="379" customWidth="1"/>
    <col min="4" max="4" width="4.25" style="381" customWidth="1"/>
    <col min="5" max="5" width="5.875" style="379" customWidth="1"/>
    <col min="6" max="6" width="7.375" style="379" customWidth="1"/>
    <col min="7" max="7" width="9.375" style="379" customWidth="1"/>
    <col min="8" max="8" width="20.625" style="379" customWidth="1"/>
    <col min="9" max="9" width="10.75" style="379" customWidth="1"/>
    <col min="10" max="11" width="10.625" style="379" customWidth="1"/>
    <col min="12" max="12" width="30" style="379" customWidth="1"/>
    <col min="13" max="15" width="9.25" style="379" customWidth="1"/>
    <col min="16" max="16" width="9" style="379"/>
    <col min="17" max="17" width="12.75" style="379" customWidth="1"/>
    <col min="18" max="18" width="11.875" style="379" customWidth="1"/>
    <col min="19" max="21" width="9.25" style="379" customWidth="1"/>
    <col min="22" max="22" width="9" style="379"/>
    <col min="23" max="23" width="12.25" style="379" customWidth="1"/>
    <col min="24" max="24" width="11.875" style="379" customWidth="1"/>
    <col min="25" max="27" width="9.25" style="379" customWidth="1"/>
    <col min="28" max="28" width="9" style="379" customWidth="1"/>
    <col min="29" max="29" width="12.5" style="379" customWidth="1"/>
    <col min="30" max="30" width="11.875" style="379" customWidth="1"/>
    <col min="31" max="33" width="9.25" style="379" customWidth="1"/>
    <col min="34" max="34" width="9" style="379" customWidth="1"/>
    <col min="35" max="35" width="12.375" style="379" customWidth="1"/>
    <col min="36" max="36" width="12.625" style="379" customWidth="1"/>
    <col min="37" max="39" width="9.25" style="379" customWidth="1"/>
    <col min="40" max="40" width="9" style="379" customWidth="1"/>
    <col min="41" max="42" width="12" style="379" customWidth="1"/>
    <col min="43" max="45" width="9.25" style="379" customWidth="1"/>
    <col min="46" max="46" width="9" style="379" customWidth="1"/>
    <col min="47" max="48" width="12.75" style="379" customWidth="1"/>
    <col min="49" max="51" width="9.25" style="379" customWidth="1"/>
    <col min="52" max="52" width="9" style="379" customWidth="1"/>
    <col min="53" max="54" width="11.625" style="379" customWidth="1"/>
    <col min="55" max="57" width="9.25" style="379" customWidth="1"/>
    <col min="58" max="58" width="9" style="379" customWidth="1"/>
    <col min="59" max="60" width="11.625" style="379" customWidth="1"/>
    <col min="61" max="63" width="9.25" style="379" customWidth="1"/>
    <col min="64" max="64" width="9" style="379" customWidth="1"/>
    <col min="65" max="66" width="11.625" style="379" customWidth="1"/>
    <col min="67" max="69" width="9.25" style="379" customWidth="1"/>
    <col min="70" max="70" width="9" style="379" customWidth="1"/>
    <col min="71" max="72" width="12.25" style="379" customWidth="1"/>
    <col min="73" max="75" width="9.25" style="379" customWidth="1"/>
    <col min="76" max="76" width="9" style="379" customWidth="1"/>
    <col min="77" max="78" width="12.25" style="379" customWidth="1"/>
    <col min="79" max="81" width="9.25" style="379" customWidth="1"/>
    <col min="82" max="82" width="9" style="379"/>
    <col min="83" max="84" width="12.25" style="379" customWidth="1"/>
    <col min="85" max="85" width="12.375" style="379" customWidth="1"/>
    <col min="86" max="86" width="10.375" style="379" customWidth="1"/>
    <col min="87" max="87" width="13.375" style="379" customWidth="1"/>
    <col min="88" max="16384" width="9" style="379"/>
  </cols>
  <sheetData>
    <row r="1" spans="2:88" ht="14.25" thickBot="1">
      <c r="G1" s="379" t="s">
        <v>65</v>
      </c>
      <c r="P1" s="369"/>
    </row>
    <row r="2" spans="2:88" ht="14.25">
      <c r="C2" s="438" t="s">
        <v>50</v>
      </c>
      <c r="D2" s="335">
        <v>2018</v>
      </c>
      <c r="E2" s="336"/>
      <c r="F2" s="336"/>
      <c r="G2" s="439" t="s">
        <v>6</v>
      </c>
      <c r="H2" s="439" t="s">
        <v>7</v>
      </c>
      <c r="I2" s="341" t="s">
        <v>8</v>
      </c>
      <c r="J2" s="342"/>
      <c r="K2" s="389"/>
      <c r="P2" s="391"/>
      <c r="Q2" s="391"/>
      <c r="R2" s="391"/>
      <c r="AO2" s="377"/>
      <c r="CE2" s="377"/>
    </row>
    <row r="3" spans="2:88" ht="15" thickBot="1">
      <c r="C3" s="440"/>
      <c r="D3" s="337" t="s">
        <v>11</v>
      </c>
      <c r="E3" s="338"/>
      <c r="F3" s="338"/>
      <c r="G3" s="435">
        <f>SUM(P5,V5,AB5,AH5,AN5,AT5,AZ5,BF5,BL5,BR5,BX5,CD5)</f>
        <v>0</v>
      </c>
      <c r="H3" s="435">
        <f>SUM(Q5,W5,AC5,AI5,AO5,AU5,BA5,BG5,BM5,BS5,BY5,CE5)</f>
        <v>0</v>
      </c>
      <c r="I3" s="339">
        <f>SUM(R5,X5,AD5,AJ5,AP5,AV5,BB5,BH5,BN5,BT5,BZ5,CF5)</f>
        <v>0</v>
      </c>
      <c r="J3" s="340"/>
      <c r="K3" s="390"/>
      <c r="P3" s="369" t="s">
        <v>67</v>
      </c>
      <c r="W3" s="418"/>
      <c r="X3" s="418"/>
      <c r="AB3" s="418"/>
      <c r="AC3" s="418"/>
      <c r="AD3" s="418"/>
      <c r="AH3" s="418"/>
      <c r="AI3" s="418"/>
      <c r="AJ3" s="418"/>
      <c r="AN3" s="418"/>
      <c r="AO3" s="418"/>
      <c r="AP3" s="418"/>
      <c r="AT3" s="418"/>
      <c r="AU3" s="418"/>
      <c r="AV3" s="418"/>
      <c r="AZ3" s="418"/>
      <c r="BA3" s="418"/>
      <c r="BB3" s="418"/>
      <c r="BF3" s="418"/>
      <c r="BG3" s="418"/>
      <c r="BH3" s="418"/>
      <c r="BL3" s="418"/>
      <c r="BM3" s="418"/>
      <c r="BN3" s="418"/>
      <c r="BR3" s="418"/>
      <c r="BS3" s="418"/>
      <c r="BT3" s="418"/>
      <c r="BX3" s="418"/>
      <c r="BY3" s="418"/>
      <c r="BZ3" s="418"/>
      <c r="CD3" s="418"/>
      <c r="CE3" s="418"/>
      <c r="CF3" s="418"/>
      <c r="CG3" s="418"/>
      <c r="CH3" s="418"/>
      <c r="CI3" s="418"/>
      <c r="CJ3" s="418"/>
    </row>
    <row r="4" spans="2:88" ht="10.5" customHeight="1" thickBot="1">
      <c r="C4" s="419"/>
      <c r="D4" s="420"/>
      <c r="E4" s="421"/>
      <c r="F4" s="421"/>
      <c r="G4" s="436"/>
      <c r="H4" s="436"/>
      <c r="I4" s="436"/>
      <c r="J4" s="437"/>
      <c r="K4" s="390"/>
      <c r="L4" s="404"/>
      <c r="M4" s="404"/>
      <c r="N4" s="404"/>
      <c r="O4" s="404"/>
      <c r="P4" s="391" t="s">
        <v>66</v>
      </c>
      <c r="Q4" s="391" t="s">
        <v>66</v>
      </c>
      <c r="R4" s="391" t="s">
        <v>66</v>
      </c>
      <c r="S4" s="404"/>
      <c r="T4" s="404"/>
      <c r="U4" s="404"/>
      <c r="W4" s="416"/>
      <c r="X4" s="416"/>
      <c r="Y4" s="404"/>
      <c r="Z4" s="404"/>
      <c r="AA4" s="404"/>
      <c r="AB4" s="417"/>
      <c r="AC4" s="417"/>
      <c r="AD4" s="417"/>
      <c r="AE4" s="404"/>
      <c r="AF4" s="404"/>
      <c r="AG4" s="404"/>
      <c r="AH4" s="417"/>
      <c r="AI4" s="417"/>
      <c r="AJ4" s="417"/>
      <c r="AK4" s="404"/>
      <c r="AL4" s="404"/>
      <c r="AM4" s="404"/>
      <c r="AN4" s="417"/>
      <c r="AO4" s="417"/>
      <c r="AP4" s="417"/>
      <c r="AQ4" s="404"/>
      <c r="AR4" s="404"/>
      <c r="AS4" s="404"/>
      <c r="AT4" s="417"/>
      <c r="AU4" s="417"/>
      <c r="AV4" s="417"/>
      <c r="AW4" s="404"/>
      <c r="AX4" s="404"/>
      <c r="AY4" s="404"/>
      <c r="AZ4" s="417"/>
      <c r="BA4" s="417"/>
      <c r="BB4" s="417"/>
      <c r="BC4" s="404"/>
      <c r="BD4" s="404"/>
      <c r="BE4" s="404"/>
      <c r="BF4" s="417"/>
      <c r="BG4" s="417"/>
      <c r="BH4" s="417"/>
      <c r="BI4" s="404"/>
      <c r="BJ4" s="404"/>
      <c r="BK4" s="404"/>
      <c r="BL4" s="417"/>
      <c r="BM4" s="417"/>
      <c r="BN4" s="417"/>
      <c r="BO4" s="404"/>
      <c r="BP4" s="404"/>
      <c r="BQ4" s="404"/>
      <c r="BR4" s="370" t="s">
        <v>45</v>
      </c>
      <c r="BS4" s="417"/>
      <c r="BT4" s="417"/>
      <c r="BU4" s="404"/>
      <c r="BV4" s="404"/>
      <c r="BW4" s="404"/>
      <c r="BX4" s="417"/>
      <c r="BY4" s="417"/>
      <c r="BZ4" s="417"/>
      <c r="CA4" s="404"/>
      <c r="CB4" s="404"/>
      <c r="CC4" s="404"/>
      <c r="CD4" s="417"/>
      <c r="CE4" s="417"/>
      <c r="CF4" s="417"/>
      <c r="CG4" s="418"/>
      <c r="CH4" s="418"/>
      <c r="CI4" s="418"/>
      <c r="CJ4" s="418"/>
    </row>
    <row r="5" spans="2:88" ht="14.25" thickBot="1">
      <c r="C5" s="419"/>
      <c r="D5" s="420"/>
      <c r="E5" s="421"/>
      <c r="F5" s="421"/>
      <c r="G5" s="422"/>
      <c r="H5" s="422"/>
      <c r="I5" s="422"/>
      <c r="J5" s="423"/>
      <c r="K5" s="390"/>
      <c r="L5" s="404" t="s">
        <v>10</v>
      </c>
      <c r="M5" s="404"/>
      <c r="N5" s="404"/>
      <c r="O5" s="404"/>
      <c r="P5" s="392">
        <f>SUBTOTAL(9,P9:P31)</f>
        <v>0</v>
      </c>
      <c r="Q5" s="371">
        <f>SUBTOTAL(9,Q9:Q31)</f>
        <v>0</v>
      </c>
      <c r="R5" s="372">
        <f>SUBTOTAL(9,R9:R31)</f>
        <v>0</v>
      </c>
      <c r="S5" s="404"/>
      <c r="T5" s="404"/>
      <c r="U5" s="404"/>
      <c r="V5" s="429">
        <f>SUBTOTAL(9,V9:V31)</f>
        <v>0</v>
      </c>
      <c r="W5" s="430">
        <f>SUBTOTAL(9,W9:W31)</f>
        <v>0</v>
      </c>
      <c r="X5" s="431">
        <f>SUBTOTAL(9,X9:X31)</f>
        <v>0</v>
      </c>
      <c r="Y5" s="404"/>
      <c r="Z5" s="404"/>
      <c r="AA5" s="404"/>
      <c r="AB5" s="393">
        <f>SUBTOTAL(9,AB9:AB31)</f>
        <v>0</v>
      </c>
      <c r="AC5" s="373">
        <f>SUBTOTAL(9,AC9:AC31)</f>
        <v>0</v>
      </c>
      <c r="AD5" s="374">
        <f>SUBTOTAL(9,AD9:AD31)</f>
        <v>0</v>
      </c>
      <c r="AE5" s="404"/>
      <c r="AF5" s="404"/>
      <c r="AG5" s="404"/>
      <c r="AH5" s="432">
        <f>SUBTOTAL(9,AH9:AH31)</f>
        <v>0</v>
      </c>
      <c r="AI5" s="433">
        <f>SUBTOTAL(9,AI9:AI31)</f>
        <v>0</v>
      </c>
      <c r="AJ5" s="434">
        <f>SUBTOTAL(9,AJ9:AJ31)</f>
        <v>0</v>
      </c>
      <c r="AK5" s="404"/>
      <c r="AL5" s="404"/>
      <c r="AM5" s="404"/>
      <c r="AN5" s="393">
        <f>SUBTOTAL(9,AN9:AN31)</f>
        <v>0</v>
      </c>
      <c r="AO5" s="373">
        <f>SUBTOTAL(9,AO9:AO31)</f>
        <v>0</v>
      </c>
      <c r="AP5" s="374">
        <f>SUBTOTAL(9,AP9:AP31)</f>
        <v>0</v>
      </c>
      <c r="AQ5" s="404"/>
      <c r="AR5" s="404"/>
      <c r="AS5" s="404"/>
      <c r="AT5" s="432">
        <f>SUBTOTAL(9,AT9:AT31)</f>
        <v>0</v>
      </c>
      <c r="AU5" s="433">
        <f>SUBTOTAL(9,AU9:AU31)</f>
        <v>0</v>
      </c>
      <c r="AV5" s="434">
        <f>SUBTOTAL(9,AV9:AV31)</f>
        <v>0</v>
      </c>
      <c r="AW5" s="404"/>
      <c r="AX5" s="404"/>
      <c r="AY5" s="404"/>
      <c r="AZ5" s="393">
        <f>SUBTOTAL(9,AZ9:AZ31)</f>
        <v>0</v>
      </c>
      <c r="BA5" s="373">
        <f>SUBTOTAL(9,BA9:BA31)</f>
        <v>0</v>
      </c>
      <c r="BB5" s="374">
        <f>SUBTOTAL(9,BB9:BB31)</f>
        <v>0</v>
      </c>
      <c r="BC5" s="404"/>
      <c r="BD5" s="404"/>
      <c r="BE5" s="404"/>
      <c r="BF5" s="432">
        <f>SUBTOTAL(9,BF9:BF31)</f>
        <v>0</v>
      </c>
      <c r="BG5" s="433">
        <f>SUBTOTAL(9,BG9:BG31)</f>
        <v>0</v>
      </c>
      <c r="BH5" s="434">
        <f>SUBTOTAL(9,BH9:BH31)</f>
        <v>0</v>
      </c>
      <c r="BI5" s="404"/>
      <c r="BJ5" s="404"/>
      <c r="BK5" s="404"/>
      <c r="BL5" s="393">
        <f>SUBTOTAL(9,BL9:BL31)</f>
        <v>0</v>
      </c>
      <c r="BM5" s="373">
        <f>SUBTOTAL(9,BM9:BM31)</f>
        <v>0</v>
      </c>
      <c r="BN5" s="374">
        <f>SUBTOTAL(9,BN9:BN31)</f>
        <v>0</v>
      </c>
      <c r="BO5" s="404"/>
      <c r="BP5" s="404"/>
      <c r="BQ5" s="404"/>
      <c r="BR5" s="432">
        <f>SUBTOTAL(9,BR9:BR31)</f>
        <v>0</v>
      </c>
      <c r="BS5" s="433">
        <f>SUBTOTAL(9,BS9:BS31)</f>
        <v>0</v>
      </c>
      <c r="BT5" s="434">
        <f>SUBTOTAL(9,BT9:BT31)</f>
        <v>0</v>
      </c>
      <c r="BU5" s="404"/>
      <c r="BV5" s="404"/>
      <c r="BW5" s="404"/>
      <c r="BX5" s="393">
        <f>SUBTOTAL(9,BX9:BX31)</f>
        <v>0</v>
      </c>
      <c r="BY5" s="373">
        <f>SUBTOTAL(9,BY9:BY31)</f>
        <v>0</v>
      </c>
      <c r="BZ5" s="374">
        <f>SUBTOTAL(9,BZ9:BZ31)</f>
        <v>0</v>
      </c>
      <c r="CA5" s="404"/>
      <c r="CB5" s="404"/>
      <c r="CC5" s="404"/>
      <c r="CD5" s="432">
        <f>SUBTOTAL(9,CD9:CD31)</f>
        <v>0</v>
      </c>
      <c r="CE5" s="433">
        <f>SUBTOTAL(9,CE9:CE31)</f>
        <v>0</v>
      </c>
      <c r="CF5" s="434">
        <f>SUBTOTAL(9,CF9:CF31)</f>
        <v>0</v>
      </c>
    </row>
    <row r="6" spans="2:88">
      <c r="L6" s="379" t="s">
        <v>232</v>
      </c>
      <c r="M6" s="309" t="s">
        <v>183</v>
      </c>
      <c r="N6" s="310"/>
      <c r="O6" s="311"/>
      <c r="P6" s="321" t="s">
        <v>68</v>
      </c>
      <c r="Q6" s="322"/>
      <c r="R6" s="323"/>
      <c r="S6" s="309" t="s">
        <v>184</v>
      </c>
      <c r="T6" s="310"/>
      <c r="U6" s="311"/>
      <c r="V6" s="327" t="s">
        <v>76</v>
      </c>
      <c r="W6" s="328"/>
      <c r="X6" s="329"/>
      <c r="Y6" s="309" t="s">
        <v>185</v>
      </c>
      <c r="Z6" s="310"/>
      <c r="AA6" s="311"/>
      <c r="AB6" s="321" t="s">
        <v>75</v>
      </c>
      <c r="AC6" s="322"/>
      <c r="AD6" s="323"/>
      <c r="AE6" s="309" t="s">
        <v>186</v>
      </c>
      <c r="AF6" s="310"/>
      <c r="AG6" s="311"/>
      <c r="AH6" s="327" t="s">
        <v>74</v>
      </c>
      <c r="AI6" s="328"/>
      <c r="AJ6" s="329"/>
      <c r="AK6" s="309" t="s">
        <v>187</v>
      </c>
      <c r="AL6" s="310"/>
      <c r="AM6" s="311"/>
      <c r="AN6" s="321" t="s">
        <v>73</v>
      </c>
      <c r="AO6" s="322"/>
      <c r="AP6" s="323"/>
      <c r="AQ6" s="309" t="s">
        <v>188</v>
      </c>
      <c r="AR6" s="310"/>
      <c r="AS6" s="311"/>
      <c r="AT6" s="327" t="s">
        <v>72</v>
      </c>
      <c r="AU6" s="328"/>
      <c r="AV6" s="329"/>
      <c r="AW6" s="309" t="s">
        <v>189</v>
      </c>
      <c r="AX6" s="310"/>
      <c r="AY6" s="311"/>
      <c r="AZ6" s="321" t="s">
        <v>71</v>
      </c>
      <c r="BA6" s="322"/>
      <c r="BB6" s="323"/>
      <c r="BC6" s="309" t="s">
        <v>190</v>
      </c>
      <c r="BD6" s="310"/>
      <c r="BE6" s="311"/>
      <c r="BF6" s="327" t="s">
        <v>70</v>
      </c>
      <c r="BG6" s="328"/>
      <c r="BH6" s="329"/>
      <c r="BI6" s="309" t="s">
        <v>191</v>
      </c>
      <c r="BJ6" s="310"/>
      <c r="BK6" s="311"/>
      <c r="BL6" s="321" t="s">
        <v>69</v>
      </c>
      <c r="BM6" s="322"/>
      <c r="BN6" s="323"/>
      <c r="BO6" s="309" t="s">
        <v>192</v>
      </c>
      <c r="BP6" s="310"/>
      <c r="BQ6" s="311"/>
      <c r="BR6" s="327" t="s">
        <v>77</v>
      </c>
      <c r="BS6" s="328"/>
      <c r="BT6" s="329"/>
      <c r="BU6" s="309" t="s">
        <v>193</v>
      </c>
      <c r="BV6" s="310"/>
      <c r="BW6" s="311"/>
      <c r="BX6" s="321" t="s">
        <v>78</v>
      </c>
      <c r="BY6" s="322"/>
      <c r="BZ6" s="323"/>
      <c r="CA6" s="309" t="s">
        <v>194</v>
      </c>
      <c r="CB6" s="310"/>
      <c r="CC6" s="311"/>
      <c r="CD6" s="327" t="s">
        <v>79</v>
      </c>
      <c r="CE6" s="328"/>
      <c r="CF6" s="333"/>
      <c r="CG6" s="315" t="s">
        <v>80</v>
      </c>
      <c r="CH6" s="316"/>
      <c r="CI6" s="317"/>
    </row>
    <row r="7" spans="2:88" ht="14.25" thickBot="1">
      <c r="G7" s="382" t="s">
        <v>30</v>
      </c>
      <c r="M7" s="312"/>
      <c r="N7" s="313"/>
      <c r="O7" s="314"/>
      <c r="P7" s="324"/>
      <c r="Q7" s="325"/>
      <c r="R7" s="326"/>
      <c r="S7" s="312"/>
      <c r="T7" s="313"/>
      <c r="U7" s="314"/>
      <c r="V7" s="330"/>
      <c r="W7" s="331"/>
      <c r="X7" s="332"/>
      <c r="Y7" s="312"/>
      <c r="Z7" s="313"/>
      <c r="AA7" s="314"/>
      <c r="AB7" s="324"/>
      <c r="AC7" s="325"/>
      <c r="AD7" s="326"/>
      <c r="AE7" s="312"/>
      <c r="AF7" s="313"/>
      <c r="AG7" s="314"/>
      <c r="AH7" s="330"/>
      <c r="AI7" s="331"/>
      <c r="AJ7" s="332"/>
      <c r="AK7" s="312"/>
      <c r="AL7" s="313"/>
      <c r="AM7" s="314"/>
      <c r="AN7" s="324"/>
      <c r="AO7" s="325"/>
      <c r="AP7" s="326"/>
      <c r="AQ7" s="312"/>
      <c r="AR7" s="313"/>
      <c r="AS7" s="314"/>
      <c r="AT7" s="330"/>
      <c r="AU7" s="331"/>
      <c r="AV7" s="332"/>
      <c r="AW7" s="312"/>
      <c r="AX7" s="313"/>
      <c r="AY7" s="314"/>
      <c r="AZ7" s="324"/>
      <c r="BA7" s="325"/>
      <c r="BB7" s="326"/>
      <c r="BC7" s="312"/>
      <c r="BD7" s="313"/>
      <c r="BE7" s="314"/>
      <c r="BF7" s="330"/>
      <c r="BG7" s="331"/>
      <c r="BH7" s="332"/>
      <c r="BI7" s="312"/>
      <c r="BJ7" s="313"/>
      <c r="BK7" s="314"/>
      <c r="BL7" s="324"/>
      <c r="BM7" s="325"/>
      <c r="BN7" s="326"/>
      <c r="BO7" s="312"/>
      <c r="BP7" s="313"/>
      <c r="BQ7" s="314"/>
      <c r="BR7" s="330"/>
      <c r="BS7" s="331"/>
      <c r="BT7" s="332"/>
      <c r="BU7" s="312"/>
      <c r="BV7" s="313"/>
      <c r="BW7" s="314"/>
      <c r="BX7" s="324"/>
      <c r="BY7" s="325"/>
      <c r="BZ7" s="326"/>
      <c r="CA7" s="312"/>
      <c r="CB7" s="313"/>
      <c r="CC7" s="314"/>
      <c r="CD7" s="330"/>
      <c r="CE7" s="331"/>
      <c r="CF7" s="334"/>
      <c r="CG7" s="318"/>
      <c r="CH7" s="319"/>
      <c r="CI7" s="320"/>
    </row>
    <row r="8" spans="2:88" s="380" customFormat="1" ht="54">
      <c r="B8" s="446" t="s">
        <v>49</v>
      </c>
      <c r="C8" s="447" t="s">
        <v>50</v>
      </c>
      <c r="D8" s="448" t="s">
        <v>21</v>
      </c>
      <c r="E8" s="447" t="s">
        <v>20</v>
      </c>
      <c r="F8" s="447" t="s">
        <v>22</v>
      </c>
      <c r="G8" s="447" t="s">
        <v>19</v>
      </c>
      <c r="H8" s="449" t="s">
        <v>9</v>
      </c>
      <c r="I8" s="447" t="s">
        <v>46</v>
      </c>
      <c r="J8" s="82" t="s">
        <v>84</v>
      </c>
      <c r="K8" s="447" t="s">
        <v>18</v>
      </c>
      <c r="L8" s="450" t="s">
        <v>23</v>
      </c>
      <c r="M8" s="451" t="s">
        <v>195</v>
      </c>
      <c r="N8" s="452" t="s">
        <v>196</v>
      </c>
      <c r="O8" s="453" t="s">
        <v>197</v>
      </c>
      <c r="P8" s="454" t="s">
        <v>6</v>
      </c>
      <c r="Q8" s="449" t="s">
        <v>7</v>
      </c>
      <c r="R8" s="450" t="s">
        <v>8</v>
      </c>
      <c r="S8" s="451" t="s">
        <v>195</v>
      </c>
      <c r="T8" s="452" t="s">
        <v>196</v>
      </c>
      <c r="U8" s="453" t="s">
        <v>197</v>
      </c>
      <c r="V8" s="454" t="s">
        <v>6</v>
      </c>
      <c r="W8" s="449" t="s">
        <v>7</v>
      </c>
      <c r="X8" s="455" t="s">
        <v>8</v>
      </c>
      <c r="Y8" s="451" t="s">
        <v>195</v>
      </c>
      <c r="Z8" s="452" t="s">
        <v>196</v>
      </c>
      <c r="AA8" s="453" t="s">
        <v>197</v>
      </c>
      <c r="AB8" s="456" t="s">
        <v>6</v>
      </c>
      <c r="AC8" s="449" t="s">
        <v>7</v>
      </c>
      <c r="AD8" s="450" t="s">
        <v>8</v>
      </c>
      <c r="AE8" s="451" t="s">
        <v>195</v>
      </c>
      <c r="AF8" s="452" t="s">
        <v>196</v>
      </c>
      <c r="AG8" s="453" t="s">
        <v>197</v>
      </c>
      <c r="AH8" s="454" t="s">
        <v>6</v>
      </c>
      <c r="AI8" s="449" t="s">
        <v>7</v>
      </c>
      <c r="AJ8" s="455" t="s">
        <v>8</v>
      </c>
      <c r="AK8" s="451" t="s">
        <v>195</v>
      </c>
      <c r="AL8" s="452" t="s">
        <v>196</v>
      </c>
      <c r="AM8" s="453" t="s">
        <v>197</v>
      </c>
      <c r="AN8" s="456" t="s">
        <v>6</v>
      </c>
      <c r="AO8" s="449" t="s">
        <v>7</v>
      </c>
      <c r="AP8" s="72" t="s">
        <v>8</v>
      </c>
      <c r="AQ8" s="202" t="s">
        <v>195</v>
      </c>
      <c r="AR8" s="200" t="s">
        <v>196</v>
      </c>
      <c r="AS8" s="201" t="s">
        <v>197</v>
      </c>
      <c r="AT8" s="73" t="s">
        <v>6</v>
      </c>
      <c r="AU8" s="71" t="s">
        <v>7</v>
      </c>
      <c r="AV8" s="74" t="s">
        <v>8</v>
      </c>
      <c r="AW8" s="202" t="s">
        <v>195</v>
      </c>
      <c r="AX8" s="200" t="s">
        <v>196</v>
      </c>
      <c r="AY8" s="201" t="s">
        <v>197</v>
      </c>
      <c r="AZ8" s="75" t="s">
        <v>6</v>
      </c>
      <c r="BA8" s="71" t="s">
        <v>7</v>
      </c>
      <c r="BB8" s="72" t="s">
        <v>8</v>
      </c>
      <c r="BC8" s="202" t="s">
        <v>195</v>
      </c>
      <c r="BD8" s="200" t="s">
        <v>196</v>
      </c>
      <c r="BE8" s="201" t="s">
        <v>197</v>
      </c>
      <c r="BF8" s="73" t="s">
        <v>6</v>
      </c>
      <c r="BG8" s="71" t="s">
        <v>7</v>
      </c>
      <c r="BH8" s="74" t="s">
        <v>8</v>
      </c>
      <c r="BI8" s="202" t="s">
        <v>195</v>
      </c>
      <c r="BJ8" s="200" t="s">
        <v>196</v>
      </c>
      <c r="BK8" s="201" t="s">
        <v>197</v>
      </c>
      <c r="BL8" s="75" t="s">
        <v>6</v>
      </c>
      <c r="BM8" s="71" t="s">
        <v>7</v>
      </c>
      <c r="BN8" s="72" t="s">
        <v>8</v>
      </c>
      <c r="BO8" s="202" t="s">
        <v>195</v>
      </c>
      <c r="BP8" s="200" t="s">
        <v>196</v>
      </c>
      <c r="BQ8" s="201" t="s">
        <v>197</v>
      </c>
      <c r="BR8" s="73" t="s">
        <v>6</v>
      </c>
      <c r="BS8" s="71" t="s">
        <v>7</v>
      </c>
      <c r="BT8" s="74" t="s">
        <v>8</v>
      </c>
      <c r="BU8" s="202" t="s">
        <v>195</v>
      </c>
      <c r="BV8" s="200" t="s">
        <v>196</v>
      </c>
      <c r="BW8" s="201" t="s">
        <v>197</v>
      </c>
      <c r="BX8" s="75" t="s">
        <v>6</v>
      </c>
      <c r="BY8" s="71" t="s">
        <v>7</v>
      </c>
      <c r="BZ8" s="72" t="s">
        <v>8</v>
      </c>
      <c r="CA8" s="202" t="s">
        <v>195</v>
      </c>
      <c r="CB8" s="200" t="s">
        <v>196</v>
      </c>
      <c r="CC8" s="201" t="s">
        <v>197</v>
      </c>
      <c r="CD8" s="73" t="s">
        <v>6</v>
      </c>
      <c r="CE8" s="71" t="s">
        <v>7</v>
      </c>
      <c r="CF8" s="74" t="s">
        <v>8</v>
      </c>
      <c r="CG8" s="56" t="s">
        <v>6</v>
      </c>
      <c r="CH8" s="57" t="s">
        <v>7</v>
      </c>
      <c r="CI8" s="58" t="s">
        <v>8</v>
      </c>
    </row>
    <row r="9" spans="2:88" s="368" customFormat="1" ht="13.5" customHeight="1">
      <c r="B9" s="402">
        <v>2018</v>
      </c>
      <c r="C9" s="400" t="s">
        <v>233</v>
      </c>
      <c r="D9" s="400" t="s">
        <v>234</v>
      </c>
      <c r="E9" s="400" t="s">
        <v>235</v>
      </c>
      <c r="F9" s="400" t="s">
        <v>236</v>
      </c>
      <c r="G9" s="401" t="s">
        <v>237</v>
      </c>
      <c r="H9" s="400" t="s">
        <v>238</v>
      </c>
      <c r="I9" s="400" t="s">
        <v>239</v>
      </c>
      <c r="J9" s="400" t="s">
        <v>83</v>
      </c>
      <c r="K9" s="400" t="s">
        <v>0</v>
      </c>
      <c r="L9" s="403" t="s">
        <v>12</v>
      </c>
      <c r="M9" s="441">
        <v>1</v>
      </c>
      <c r="N9" s="442">
        <v>10000</v>
      </c>
      <c r="O9" s="443">
        <v>5000</v>
      </c>
      <c r="P9" s="396">
        <v>0</v>
      </c>
      <c r="Q9" s="375">
        <v>0</v>
      </c>
      <c r="R9" s="378">
        <v>0</v>
      </c>
      <c r="S9" s="426"/>
      <c r="T9" s="427"/>
      <c r="U9" s="428"/>
      <c r="V9" s="395">
        <v>0</v>
      </c>
      <c r="W9" s="375">
        <v>0</v>
      </c>
      <c r="X9" s="376">
        <v>0</v>
      </c>
      <c r="Y9" s="426"/>
      <c r="Z9" s="427"/>
      <c r="AA9" s="428"/>
      <c r="AB9" s="397">
        <v>0</v>
      </c>
      <c r="AC9" s="375">
        <v>0</v>
      </c>
      <c r="AD9" s="378">
        <v>0</v>
      </c>
      <c r="AE9" s="426"/>
      <c r="AF9" s="427"/>
      <c r="AG9" s="428"/>
      <c r="AH9" s="395">
        <v>0</v>
      </c>
      <c r="AI9" s="375">
        <v>0</v>
      </c>
      <c r="AJ9" s="376">
        <v>0</v>
      </c>
      <c r="AK9" s="426"/>
      <c r="AL9" s="427"/>
      <c r="AM9" s="428"/>
      <c r="AN9" s="397">
        <v>0</v>
      </c>
      <c r="AO9" s="375">
        <v>0</v>
      </c>
      <c r="AP9" s="378">
        <v>0</v>
      </c>
      <c r="AQ9" s="426"/>
      <c r="AR9" s="427"/>
      <c r="AS9" s="428"/>
      <c r="AT9" s="395">
        <v>0</v>
      </c>
      <c r="AU9" s="375">
        <v>0</v>
      </c>
      <c r="AV9" s="376">
        <v>0</v>
      </c>
      <c r="AW9" s="426"/>
      <c r="AX9" s="427"/>
      <c r="AY9" s="428"/>
      <c r="AZ9" s="397">
        <v>0</v>
      </c>
      <c r="BA9" s="375">
        <v>0</v>
      </c>
      <c r="BB9" s="378">
        <v>0</v>
      </c>
      <c r="BC9" s="426"/>
      <c r="BD9" s="427"/>
      <c r="BE9" s="428"/>
      <c r="BF9" s="395">
        <v>0</v>
      </c>
      <c r="BG9" s="375">
        <v>0</v>
      </c>
      <c r="BH9" s="376">
        <v>0</v>
      </c>
      <c r="BI9" s="426"/>
      <c r="BJ9" s="427"/>
      <c r="BK9" s="428"/>
      <c r="BL9" s="397">
        <v>0</v>
      </c>
      <c r="BM9" s="375">
        <v>0</v>
      </c>
      <c r="BN9" s="378">
        <v>0</v>
      </c>
      <c r="BO9" s="426"/>
      <c r="BP9" s="427"/>
      <c r="BQ9" s="428"/>
      <c r="BR9" s="395">
        <v>0</v>
      </c>
      <c r="BS9" s="375">
        <v>0</v>
      </c>
      <c r="BT9" s="376">
        <v>0</v>
      </c>
      <c r="BU9" s="426"/>
      <c r="BV9" s="427"/>
      <c r="BW9" s="428"/>
      <c r="BX9" s="397">
        <v>0</v>
      </c>
      <c r="BY9" s="375">
        <v>0</v>
      </c>
      <c r="BZ9" s="378">
        <v>0</v>
      </c>
      <c r="CA9" s="426"/>
      <c r="CB9" s="427"/>
      <c r="CC9" s="428"/>
      <c r="CD9" s="395">
        <v>0</v>
      </c>
      <c r="CE9" s="375">
        <v>0</v>
      </c>
      <c r="CF9" s="376">
        <v>0</v>
      </c>
      <c r="CG9" s="398">
        <f t="shared" ref="CG9:CI17" si="0">P9+V9+AB9+AH9+AN9+AT9+AZ9+BF9+BL9+BR9+BX9+CD9</f>
        <v>0</v>
      </c>
      <c r="CH9" s="383">
        <f t="shared" si="0"/>
        <v>0</v>
      </c>
      <c r="CI9" s="385">
        <f t="shared" si="0"/>
        <v>0</v>
      </c>
    </row>
    <row r="10" spans="2:88" s="368" customFormat="1" ht="13.5" customHeight="1">
      <c r="B10" s="402">
        <v>2018</v>
      </c>
      <c r="C10" s="400" t="s">
        <v>233</v>
      </c>
      <c r="D10" s="400" t="s">
        <v>234</v>
      </c>
      <c r="E10" s="400" t="s">
        <v>235</v>
      </c>
      <c r="F10" s="400" t="s">
        <v>236</v>
      </c>
      <c r="G10" s="401" t="s">
        <v>237</v>
      </c>
      <c r="H10" s="400" t="s">
        <v>238</v>
      </c>
      <c r="I10" s="400" t="s">
        <v>239</v>
      </c>
      <c r="J10" s="400" t="s">
        <v>83</v>
      </c>
      <c r="K10" s="400" t="s">
        <v>1</v>
      </c>
      <c r="L10" s="403" t="s">
        <v>13</v>
      </c>
      <c r="M10" s="441">
        <v>0</v>
      </c>
      <c r="N10" s="442">
        <v>0</v>
      </c>
      <c r="O10" s="443">
        <v>0</v>
      </c>
      <c r="P10" s="396">
        <v>0</v>
      </c>
      <c r="Q10" s="375">
        <v>0</v>
      </c>
      <c r="R10" s="378">
        <v>0</v>
      </c>
      <c r="S10" s="426"/>
      <c r="T10" s="427"/>
      <c r="U10" s="428"/>
      <c r="V10" s="396">
        <v>0</v>
      </c>
      <c r="W10" s="375">
        <v>0</v>
      </c>
      <c r="X10" s="376">
        <v>0</v>
      </c>
      <c r="Y10" s="426"/>
      <c r="Z10" s="427"/>
      <c r="AA10" s="428"/>
      <c r="AB10" s="394">
        <v>0</v>
      </c>
      <c r="AC10" s="375">
        <v>0</v>
      </c>
      <c r="AD10" s="378">
        <v>0</v>
      </c>
      <c r="AE10" s="426"/>
      <c r="AF10" s="427"/>
      <c r="AG10" s="428"/>
      <c r="AH10" s="396">
        <v>0</v>
      </c>
      <c r="AI10" s="375">
        <v>0</v>
      </c>
      <c r="AJ10" s="376">
        <v>0</v>
      </c>
      <c r="AK10" s="426"/>
      <c r="AL10" s="427"/>
      <c r="AM10" s="428"/>
      <c r="AN10" s="394">
        <v>0</v>
      </c>
      <c r="AO10" s="375">
        <v>0</v>
      </c>
      <c r="AP10" s="378">
        <v>0</v>
      </c>
      <c r="AQ10" s="426"/>
      <c r="AR10" s="427"/>
      <c r="AS10" s="428"/>
      <c r="AT10" s="396">
        <v>0</v>
      </c>
      <c r="AU10" s="375">
        <v>0</v>
      </c>
      <c r="AV10" s="376">
        <v>0</v>
      </c>
      <c r="AW10" s="426"/>
      <c r="AX10" s="427"/>
      <c r="AY10" s="428"/>
      <c r="AZ10" s="394">
        <v>0</v>
      </c>
      <c r="BA10" s="375">
        <v>0</v>
      </c>
      <c r="BB10" s="378">
        <v>0</v>
      </c>
      <c r="BC10" s="426"/>
      <c r="BD10" s="427"/>
      <c r="BE10" s="428"/>
      <c r="BF10" s="396">
        <v>0</v>
      </c>
      <c r="BG10" s="375">
        <v>0</v>
      </c>
      <c r="BH10" s="376">
        <v>0</v>
      </c>
      <c r="BI10" s="426"/>
      <c r="BJ10" s="427"/>
      <c r="BK10" s="428"/>
      <c r="BL10" s="394">
        <v>0</v>
      </c>
      <c r="BM10" s="375">
        <v>0</v>
      </c>
      <c r="BN10" s="378">
        <v>0</v>
      </c>
      <c r="BO10" s="426"/>
      <c r="BP10" s="427"/>
      <c r="BQ10" s="428"/>
      <c r="BR10" s="396">
        <v>0</v>
      </c>
      <c r="BS10" s="375">
        <v>0</v>
      </c>
      <c r="BT10" s="376">
        <v>0</v>
      </c>
      <c r="BU10" s="426"/>
      <c r="BV10" s="427"/>
      <c r="BW10" s="428"/>
      <c r="BX10" s="394">
        <v>0</v>
      </c>
      <c r="BY10" s="375">
        <v>0</v>
      </c>
      <c r="BZ10" s="378">
        <v>0</v>
      </c>
      <c r="CA10" s="426"/>
      <c r="CB10" s="427"/>
      <c r="CC10" s="428"/>
      <c r="CD10" s="396">
        <v>0</v>
      </c>
      <c r="CE10" s="375">
        <v>0</v>
      </c>
      <c r="CF10" s="376">
        <v>0</v>
      </c>
      <c r="CG10" s="398">
        <f t="shared" si="0"/>
        <v>0</v>
      </c>
      <c r="CH10" s="383">
        <f t="shared" si="0"/>
        <v>0</v>
      </c>
      <c r="CI10" s="385">
        <f t="shared" si="0"/>
        <v>0</v>
      </c>
    </row>
    <row r="11" spans="2:88" s="368" customFormat="1" ht="13.5" customHeight="1">
      <c r="B11" s="402">
        <v>2018</v>
      </c>
      <c r="C11" s="400" t="s">
        <v>233</v>
      </c>
      <c r="D11" s="400" t="s">
        <v>234</v>
      </c>
      <c r="E11" s="400" t="s">
        <v>235</v>
      </c>
      <c r="F11" s="400" t="s">
        <v>236</v>
      </c>
      <c r="G11" s="401" t="s">
        <v>237</v>
      </c>
      <c r="H11" s="400" t="s">
        <v>238</v>
      </c>
      <c r="I11" s="400" t="s">
        <v>239</v>
      </c>
      <c r="J11" s="400"/>
      <c r="K11" s="400" t="s">
        <v>31</v>
      </c>
      <c r="L11" s="403" t="s">
        <v>32</v>
      </c>
      <c r="M11" s="441">
        <v>3</v>
      </c>
      <c r="N11" s="442">
        <v>6000</v>
      </c>
      <c r="O11" s="443">
        <v>3000</v>
      </c>
      <c r="P11" s="396">
        <v>0</v>
      </c>
      <c r="Q11" s="375">
        <v>0</v>
      </c>
      <c r="R11" s="378">
        <v>0</v>
      </c>
      <c r="S11" s="426"/>
      <c r="T11" s="427"/>
      <c r="U11" s="428"/>
      <c r="V11" s="396">
        <v>0</v>
      </c>
      <c r="W11" s="375">
        <v>0</v>
      </c>
      <c r="X11" s="376">
        <v>0</v>
      </c>
      <c r="Y11" s="426"/>
      <c r="Z11" s="427"/>
      <c r="AA11" s="428"/>
      <c r="AB11" s="394">
        <v>0</v>
      </c>
      <c r="AC11" s="375">
        <v>0</v>
      </c>
      <c r="AD11" s="378">
        <v>0</v>
      </c>
      <c r="AE11" s="426"/>
      <c r="AF11" s="427"/>
      <c r="AG11" s="428"/>
      <c r="AH11" s="396">
        <v>0</v>
      </c>
      <c r="AI11" s="375">
        <v>0</v>
      </c>
      <c r="AJ11" s="376">
        <v>0</v>
      </c>
      <c r="AK11" s="426"/>
      <c r="AL11" s="427"/>
      <c r="AM11" s="428"/>
      <c r="AN11" s="394">
        <v>0</v>
      </c>
      <c r="AO11" s="375">
        <v>0</v>
      </c>
      <c r="AP11" s="378">
        <v>0</v>
      </c>
      <c r="AQ11" s="426"/>
      <c r="AR11" s="427"/>
      <c r="AS11" s="428"/>
      <c r="AT11" s="396">
        <v>0</v>
      </c>
      <c r="AU11" s="375">
        <v>0</v>
      </c>
      <c r="AV11" s="376">
        <v>0</v>
      </c>
      <c r="AW11" s="426"/>
      <c r="AX11" s="427"/>
      <c r="AY11" s="428"/>
      <c r="AZ11" s="394">
        <v>0</v>
      </c>
      <c r="BA11" s="375">
        <v>0</v>
      </c>
      <c r="BB11" s="378">
        <v>0</v>
      </c>
      <c r="BC11" s="426"/>
      <c r="BD11" s="427"/>
      <c r="BE11" s="428"/>
      <c r="BF11" s="396">
        <v>0</v>
      </c>
      <c r="BG11" s="375">
        <v>0</v>
      </c>
      <c r="BH11" s="376">
        <v>0</v>
      </c>
      <c r="BI11" s="426"/>
      <c r="BJ11" s="427"/>
      <c r="BK11" s="428"/>
      <c r="BL11" s="394">
        <v>0</v>
      </c>
      <c r="BM11" s="375">
        <v>0</v>
      </c>
      <c r="BN11" s="378">
        <v>0</v>
      </c>
      <c r="BO11" s="426"/>
      <c r="BP11" s="427"/>
      <c r="BQ11" s="428"/>
      <c r="BR11" s="396">
        <v>0</v>
      </c>
      <c r="BS11" s="375">
        <v>0</v>
      </c>
      <c r="BT11" s="376">
        <v>0</v>
      </c>
      <c r="BU11" s="426"/>
      <c r="BV11" s="427"/>
      <c r="BW11" s="428"/>
      <c r="BX11" s="394">
        <v>0</v>
      </c>
      <c r="BY11" s="375">
        <v>0</v>
      </c>
      <c r="BZ11" s="378">
        <v>0</v>
      </c>
      <c r="CA11" s="426"/>
      <c r="CB11" s="427"/>
      <c r="CC11" s="428"/>
      <c r="CD11" s="396">
        <v>0</v>
      </c>
      <c r="CE11" s="375">
        <v>0</v>
      </c>
      <c r="CF11" s="376">
        <v>0</v>
      </c>
      <c r="CG11" s="398">
        <f t="shared" si="0"/>
        <v>0</v>
      </c>
      <c r="CH11" s="383">
        <f t="shared" si="0"/>
        <v>0</v>
      </c>
      <c r="CI11" s="385">
        <f t="shared" si="0"/>
        <v>0</v>
      </c>
    </row>
    <row r="12" spans="2:88" s="368" customFormat="1" ht="13.5" customHeight="1">
      <c r="B12" s="402">
        <v>2018</v>
      </c>
      <c r="C12" s="400" t="s">
        <v>233</v>
      </c>
      <c r="D12" s="400" t="s">
        <v>234</v>
      </c>
      <c r="E12" s="400" t="s">
        <v>235</v>
      </c>
      <c r="F12" s="400" t="s">
        <v>236</v>
      </c>
      <c r="G12" s="401" t="s">
        <v>237</v>
      </c>
      <c r="H12" s="400" t="s">
        <v>238</v>
      </c>
      <c r="I12" s="400" t="s">
        <v>239</v>
      </c>
      <c r="J12" s="400" t="s">
        <v>83</v>
      </c>
      <c r="K12" s="400" t="s">
        <v>2</v>
      </c>
      <c r="L12" s="403" t="s">
        <v>16</v>
      </c>
      <c r="M12" s="441">
        <v>55</v>
      </c>
      <c r="N12" s="442">
        <v>3200000</v>
      </c>
      <c r="O12" s="443">
        <v>1600000</v>
      </c>
      <c r="P12" s="396">
        <v>0</v>
      </c>
      <c r="Q12" s="375">
        <v>0</v>
      </c>
      <c r="R12" s="378">
        <v>0</v>
      </c>
      <c r="S12" s="426"/>
      <c r="T12" s="427"/>
      <c r="U12" s="428"/>
      <c r="V12" s="396">
        <v>0</v>
      </c>
      <c r="W12" s="375">
        <v>0</v>
      </c>
      <c r="X12" s="376">
        <v>0</v>
      </c>
      <c r="Y12" s="426"/>
      <c r="Z12" s="427"/>
      <c r="AA12" s="428"/>
      <c r="AB12" s="394">
        <v>0</v>
      </c>
      <c r="AC12" s="375">
        <v>0</v>
      </c>
      <c r="AD12" s="378">
        <v>0</v>
      </c>
      <c r="AE12" s="426"/>
      <c r="AF12" s="427"/>
      <c r="AG12" s="428"/>
      <c r="AH12" s="396">
        <v>0</v>
      </c>
      <c r="AI12" s="375">
        <v>0</v>
      </c>
      <c r="AJ12" s="376">
        <v>0</v>
      </c>
      <c r="AK12" s="426"/>
      <c r="AL12" s="427"/>
      <c r="AM12" s="428"/>
      <c r="AN12" s="394">
        <v>0</v>
      </c>
      <c r="AO12" s="375">
        <v>0</v>
      </c>
      <c r="AP12" s="378">
        <v>0</v>
      </c>
      <c r="AQ12" s="426"/>
      <c r="AR12" s="427"/>
      <c r="AS12" s="428"/>
      <c r="AT12" s="396">
        <v>0</v>
      </c>
      <c r="AU12" s="375">
        <v>0</v>
      </c>
      <c r="AV12" s="376">
        <v>0</v>
      </c>
      <c r="AW12" s="426"/>
      <c r="AX12" s="427"/>
      <c r="AY12" s="428"/>
      <c r="AZ12" s="394">
        <v>0</v>
      </c>
      <c r="BA12" s="375">
        <v>0</v>
      </c>
      <c r="BB12" s="378">
        <v>0</v>
      </c>
      <c r="BC12" s="426"/>
      <c r="BD12" s="427"/>
      <c r="BE12" s="428"/>
      <c r="BF12" s="396">
        <v>0</v>
      </c>
      <c r="BG12" s="375">
        <v>0</v>
      </c>
      <c r="BH12" s="376">
        <v>0</v>
      </c>
      <c r="BI12" s="426"/>
      <c r="BJ12" s="427"/>
      <c r="BK12" s="428"/>
      <c r="BL12" s="394">
        <v>0</v>
      </c>
      <c r="BM12" s="375">
        <v>0</v>
      </c>
      <c r="BN12" s="378">
        <v>0</v>
      </c>
      <c r="BO12" s="426"/>
      <c r="BP12" s="427"/>
      <c r="BQ12" s="428"/>
      <c r="BR12" s="396">
        <v>0</v>
      </c>
      <c r="BS12" s="375">
        <v>0</v>
      </c>
      <c r="BT12" s="376">
        <v>0</v>
      </c>
      <c r="BU12" s="426"/>
      <c r="BV12" s="427"/>
      <c r="BW12" s="428"/>
      <c r="BX12" s="394">
        <v>0</v>
      </c>
      <c r="BY12" s="375">
        <v>0</v>
      </c>
      <c r="BZ12" s="378">
        <v>0</v>
      </c>
      <c r="CA12" s="426"/>
      <c r="CB12" s="427"/>
      <c r="CC12" s="428"/>
      <c r="CD12" s="396">
        <v>0</v>
      </c>
      <c r="CE12" s="375">
        <v>0</v>
      </c>
      <c r="CF12" s="376">
        <v>0</v>
      </c>
      <c r="CG12" s="398">
        <f t="shared" si="0"/>
        <v>0</v>
      </c>
      <c r="CH12" s="383">
        <f t="shared" si="0"/>
        <v>0</v>
      </c>
      <c r="CI12" s="385">
        <f t="shared" si="0"/>
        <v>0</v>
      </c>
    </row>
    <row r="13" spans="2:88" s="368" customFormat="1" ht="13.5" customHeight="1">
      <c r="B13" s="402">
        <v>2018</v>
      </c>
      <c r="C13" s="400" t="s">
        <v>233</v>
      </c>
      <c r="D13" s="400" t="s">
        <v>234</v>
      </c>
      <c r="E13" s="400" t="s">
        <v>235</v>
      </c>
      <c r="F13" s="400" t="s">
        <v>236</v>
      </c>
      <c r="G13" s="401" t="s">
        <v>237</v>
      </c>
      <c r="H13" s="400" t="s">
        <v>238</v>
      </c>
      <c r="I13" s="400" t="s">
        <v>239</v>
      </c>
      <c r="J13" s="400" t="s">
        <v>83</v>
      </c>
      <c r="K13" s="400" t="s">
        <v>3</v>
      </c>
      <c r="L13" s="403" t="s">
        <v>14</v>
      </c>
      <c r="M13" s="441">
        <v>7</v>
      </c>
      <c r="N13" s="442">
        <v>70000</v>
      </c>
      <c r="O13" s="443">
        <v>35000</v>
      </c>
      <c r="P13" s="396">
        <v>0</v>
      </c>
      <c r="Q13" s="375">
        <v>0</v>
      </c>
      <c r="R13" s="378">
        <v>0</v>
      </c>
      <c r="S13" s="426"/>
      <c r="T13" s="427"/>
      <c r="U13" s="428"/>
      <c r="V13" s="395">
        <v>0</v>
      </c>
      <c r="W13" s="375">
        <v>0</v>
      </c>
      <c r="X13" s="376">
        <v>0</v>
      </c>
      <c r="Y13" s="426"/>
      <c r="Z13" s="427"/>
      <c r="AA13" s="428"/>
      <c r="AB13" s="397">
        <v>0</v>
      </c>
      <c r="AC13" s="375">
        <v>0</v>
      </c>
      <c r="AD13" s="378">
        <v>0</v>
      </c>
      <c r="AE13" s="426"/>
      <c r="AF13" s="427"/>
      <c r="AG13" s="428"/>
      <c r="AH13" s="395">
        <v>0</v>
      </c>
      <c r="AI13" s="375">
        <v>0</v>
      </c>
      <c r="AJ13" s="376">
        <v>0</v>
      </c>
      <c r="AK13" s="426"/>
      <c r="AL13" s="427"/>
      <c r="AM13" s="428"/>
      <c r="AN13" s="397">
        <v>0</v>
      </c>
      <c r="AO13" s="375">
        <v>0</v>
      </c>
      <c r="AP13" s="378">
        <v>0</v>
      </c>
      <c r="AQ13" s="426"/>
      <c r="AR13" s="427"/>
      <c r="AS13" s="428"/>
      <c r="AT13" s="395">
        <v>0</v>
      </c>
      <c r="AU13" s="375">
        <v>0</v>
      </c>
      <c r="AV13" s="376">
        <v>0</v>
      </c>
      <c r="AW13" s="426"/>
      <c r="AX13" s="427"/>
      <c r="AY13" s="428"/>
      <c r="AZ13" s="397">
        <v>0</v>
      </c>
      <c r="BA13" s="375">
        <v>0</v>
      </c>
      <c r="BB13" s="378">
        <v>0</v>
      </c>
      <c r="BC13" s="426"/>
      <c r="BD13" s="427"/>
      <c r="BE13" s="428"/>
      <c r="BF13" s="395">
        <v>0</v>
      </c>
      <c r="BG13" s="375">
        <v>0</v>
      </c>
      <c r="BH13" s="376">
        <v>0</v>
      </c>
      <c r="BI13" s="426"/>
      <c r="BJ13" s="427"/>
      <c r="BK13" s="428"/>
      <c r="BL13" s="397">
        <v>0</v>
      </c>
      <c r="BM13" s="375">
        <v>0</v>
      </c>
      <c r="BN13" s="378">
        <v>0</v>
      </c>
      <c r="BO13" s="426"/>
      <c r="BP13" s="427"/>
      <c r="BQ13" s="428"/>
      <c r="BR13" s="395">
        <v>0</v>
      </c>
      <c r="BS13" s="375">
        <v>0</v>
      </c>
      <c r="BT13" s="376">
        <v>0</v>
      </c>
      <c r="BU13" s="426"/>
      <c r="BV13" s="427"/>
      <c r="BW13" s="428"/>
      <c r="BX13" s="397">
        <v>0</v>
      </c>
      <c r="BY13" s="375">
        <v>0</v>
      </c>
      <c r="BZ13" s="378">
        <v>0</v>
      </c>
      <c r="CA13" s="426"/>
      <c r="CB13" s="427"/>
      <c r="CC13" s="428"/>
      <c r="CD13" s="395">
        <v>0</v>
      </c>
      <c r="CE13" s="375">
        <v>0</v>
      </c>
      <c r="CF13" s="376">
        <v>0</v>
      </c>
      <c r="CG13" s="398">
        <f t="shared" si="0"/>
        <v>0</v>
      </c>
      <c r="CH13" s="383">
        <f t="shared" si="0"/>
        <v>0</v>
      </c>
      <c r="CI13" s="385">
        <f t="shared" si="0"/>
        <v>0</v>
      </c>
    </row>
    <row r="14" spans="2:88" s="368" customFormat="1" ht="13.5" customHeight="1">
      <c r="B14" s="402">
        <v>2018</v>
      </c>
      <c r="C14" s="400" t="s">
        <v>233</v>
      </c>
      <c r="D14" s="400" t="s">
        <v>234</v>
      </c>
      <c r="E14" s="400" t="s">
        <v>235</v>
      </c>
      <c r="F14" s="400" t="s">
        <v>236</v>
      </c>
      <c r="G14" s="401" t="s">
        <v>237</v>
      </c>
      <c r="H14" s="400" t="s">
        <v>238</v>
      </c>
      <c r="I14" s="400" t="s">
        <v>239</v>
      </c>
      <c r="J14" s="400" t="s">
        <v>83</v>
      </c>
      <c r="K14" s="400" t="s">
        <v>33</v>
      </c>
      <c r="L14" s="403" t="s">
        <v>34</v>
      </c>
      <c r="M14" s="441">
        <v>2</v>
      </c>
      <c r="N14" s="442">
        <v>6000</v>
      </c>
      <c r="O14" s="443">
        <v>1000</v>
      </c>
      <c r="P14" s="396">
        <v>0</v>
      </c>
      <c r="Q14" s="375">
        <v>0</v>
      </c>
      <c r="R14" s="378">
        <v>0</v>
      </c>
      <c r="S14" s="426"/>
      <c r="T14" s="427"/>
      <c r="U14" s="428"/>
      <c r="V14" s="395">
        <v>0</v>
      </c>
      <c r="W14" s="375">
        <v>0</v>
      </c>
      <c r="X14" s="376">
        <v>0</v>
      </c>
      <c r="Y14" s="426"/>
      <c r="Z14" s="427"/>
      <c r="AA14" s="428"/>
      <c r="AB14" s="397">
        <v>0</v>
      </c>
      <c r="AC14" s="375">
        <v>0</v>
      </c>
      <c r="AD14" s="378">
        <v>0</v>
      </c>
      <c r="AE14" s="426"/>
      <c r="AF14" s="427"/>
      <c r="AG14" s="428"/>
      <c r="AH14" s="395">
        <v>0</v>
      </c>
      <c r="AI14" s="375">
        <v>0</v>
      </c>
      <c r="AJ14" s="376">
        <v>0</v>
      </c>
      <c r="AK14" s="426"/>
      <c r="AL14" s="427"/>
      <c r="AM14" s="428"/>
      <c r="AN14" s="397">
        <v>0</v>
      </c>
      <c r="AO14" s="375">
        <v>0</v>
      </c>
      <c r="AP14" s="378">
        <v>0</v>
      </c>
      <c r="AQ14" s="426"/>
      <c r="AR14" s="427"/>
      <c r="AS14" s="428"/>
      <c r="AT14" s="395">
        <v>0</v>
      </c>
      <c r="AU14" s="375">
        <v>0</v>
      </c>
      <c r="AV14" s="376">
        <v>0</v>
      </c>
      <c r="AW14" s="426"/>
      <c r="AX14" s="427"/>
      <c r="AY14" s="428"/>
      <c r="AZ14" s="397">
        <v>0</v>
      </c>
      <c r="BA14" s="375">
        <v>0</v>
      </c>
      <c r="BB14" s="378">
        <v>0</v>
      </c>
      <c r="BC14" s="426"/>
      <c r="BD14" s="427"/>
      <c r="BE14" s="428"/>
      <c r="BF14" s="395">
        <v>0</v>
      </c>
      <c r="BG14" s="375">
        <v>0</v>
      </c>
      <c r="BH14" s="376">
        <v>0</v>
      </c>
      <c r="BI14" s="426"/>
      <c r="BJ14" s="427"/>
      <c r="BK14" s="428"/>
      <c r="BL14" s="397">
        <v>0</v>
      </c>
      <c r="BM14" s="375">
        <v>0</v>
      </c>
      <c r="BN14" s="378">
        <v>0</v>
      </c>
      <c r="BO14" s="426"/>
      <c r="BP14" s="427"/>
      <c r="BQ14" s="428"/>
      <c r="BR14" s="395">
        <v>0</v>
      </c>
      <c r="BS14" s="375">
        <v>0</v>
      </c>
      <c r="BT14" s="376">
        <v>0</v>
      </c>
      <c r="BU14" s="426"/>
      <c r="BV14" s="427"/>
      <c r="BW14" s="428"/>
      <c r="BX14" s="397">
        <v>0</v>
      </c>
      <c r="BY14" s="375">
        <v>0</v>
      </c>
      <c r="BZ14" s="378">
        <v>0</v>
      </c>
      <c r="CA14" s="426"/>
      <c r="CB14" s="427"/>
      <c r="CC14" s="428"/>
      <c r="CD14" s="395">
        <v>0</v>
      </c>
      <c r="CE14" s="375">
        <v>0</v>
      </c>
      <c r="CF14" s="376">
        <v>0</v>
      </c>
      <c r="CG14" s="398">
        <f t="shared" si="0"/>
        <v>0</v>
      </c>
      <c r="CH14" s="383">
        <f t="shared" si="0"/>
        <v>0</v>
      </c>
      <c r="CI14" s="385">
        <f t="shared" si="0"/>
        <v>0</v>
      </c>
    </row>
    <row r="15" spans="2:88" s="368" customFormat="1" ht="13.5" customHeight="1">
      <c r="B15" s="402">
        <v>2018</v>
      </c>
      <c r="C15" s="400" t="s">
        <v>233</v>
      </c>
      <c r="D15" s="400" t="s">
        <v>234</v>
      </c>
      <c r="E15" s="400" t="s">
        <v>235</v>
      </c>
      <c r="F15" s="400" t="s">
        <v>236</v>
      </c>
      <c r="G15" s="401" t="s">
        <v>237</v>
      </c>
      <c r="H15" s="400" t="s">
        <v>238</v>
      </c>
      <c r="I15" s="400" t="s">
        <v>239</v>
      </c>
      <c r="J15" s="400"/>
      <c r="K15" s="400" t="s">
        <v>35</v>
      </c>
      <c r="L15" s="403" t="s">
        <v>240</v>
      </c>
      <c r="M15" s="441">
        <v>3</v>
      </c>
      <c r="N15" s="442">
        <v>3000</v>
      </c>
      <c r="O15" s="443">
        <v>2000</v>
      </c>
      <c r="P15" s="396">
        <v>0</v>
      </c>
      <c r="Q15" s="375">
        <v>0</v>
      </c>
      <c r="R15" s="378">
        <v>0</v>
      </c>
      <c r="S15" s="426"/>
      <c r="T15" s="427"/>
      <c r="U15" s="428"/>
      <c r="V15" s="395">
        <v>0</v>
      </c>
      <c r="W15" s="375">
        <v>0</v>
      </c>
      <c r="X15" s="376">
        <v>0</v>
      </c>
      <c r="Y15" s="426"/>
      <c r="Z15" s="427"/>
      <c r="AA15" s="428"/>
      <c r="AB15" s="397">
        <v>0</v>
      </c>
      <c r="AC15" s="375">
        <v>0</v>
      </c>
      <c r="AD15" s="378">
        <v>0</v>
      </c>
      <c r="AE15" s="426"/>
      <c r="AF15" s="427"/>
      <c r="AG15" s="428"/>
      <c r="AH15" s="395">
        <v>0</v>
      </c>
      <c r="AI15" s="375">
        <v>0</v>
      </c>
      <c r="AJ15" s="376">
        <v>0</v>
      </c>
      <c r="AK15" s="426"/>
      <c r="AL15" s="427"/>
      <c r="AM15" s="428"/>
      <c r="AN15" s="397">
        <v>0</v>
      </c>
      <c r="AO15" s="375">
        <v>0</v>
      </c>
      <c r="AP15" s="378">
        <v>0</v>
      </c>
      <c r="AQ15" s="426"/>
      <c r="AR15" s="427"/>
      <c r="AS15" s="428"/>
      <c r="AT15" s="395">
        <v>0</v>
      </c>
      <c r="AU15" s="375">
        <v>0</v>
      </c>
      <c r="AV15" s="376">
        <v>0</v>
      </c>
      <c r="AW15" s="426"/>
      <c r="AX15" s="427"/>
      <c r="AY15" s="428"/>
      <c r="AZ15" s="397">
        <v>0</v>
      </c>
      <c r="BA15" s="375">
        <v>0</v>
      </c>
      <c r="BB15" s="378">
        <v>0</v>
      </c>
      <c r="BC15" s="426"/>
      <c r="BD15" s="427"/>
      <c r="BE15" s="428"/>
      <c r="BF15" s="395">
        <v>0</v>
      </c>
      <c r="BG15" s="375">
        <v>0</v>
      </c>
      <c r="BH15" s="376">
        <v>0</v>
      </c>
      <c r="BI15" s="426"/>
      <c r="BJ15" s="427"/>
      <c r="BK15" s="428"/>
      <c r="BL15" s="397">
        <v>0</v>
      </c>
      <c r="BM15" s="375">
        <v>0</v>
      </c>
      <c r="BN15" s="378">
        <v>0</v>
      </c>
      <c r="BO15" s="426"/>
      <c r="BP15" s="427"/>
      <c r="BQ15" s="428"/>
      <c r="BR15" s="395">
        <v>0</v>
      </c>
      <c r="BS15" s="375">
        <v>0</v>
      </c>
      <c r="BT15" s="376">
        <v>0</v>
      </c>
      <c r="BU15" s="426"/>
      <c r="BV15" s="427"/>
      <c r="BW15" s="428"/>
      <c r="BX15" s="397">
        <v>0</v>
      </c>
      <c r="BY15" s="375">
        <v>0</v>
      </c>
      <c r="BZ15" s="378">
        <v>0</v>
      </c>
      <c r="CA15" s="426"/>
      <c r="CB15" s="427"/>
      <c r="CC15" s="428"/>
      <c r="CD15" s="395">
        <v>0</v>
      </c>
      <c r="CE15" s="375">
        <v>0</v>
      </c>
      <c r="CF15" s="376">
        <v>0</v>
      </c>
      <c r="CG15" s="398">
        <f t="shared" si="0"/>
        <v>0</v>
      </c>
      <c r="CH15" s="383">
        <f t="shared" si="0"/>
        <v>0</v>
      </c>
      <c r="CI15" s="385">
        <f t="shared" si="0"/>
        <v>0</v>
      </c>
    </row>
    <row r="16" spans="2:88" s="368" customFormat="1" ht="13.5" customHeight="1">
      <c r="B16" s="402">
        <v>2018</v>
      </c>
      <c r="C16" s="400" t="s">
        <v>233</v>
      </c>
      <c r="D16" s="400" t="s">
        <v>234</v>
      </c>
      <c r="E16" s="400" t="s">
        <v>235</v>
      </c>
      <c r="F16" s="400" t="s">
        <v>236</v>
      </c>
      <c r="G16" s="401" t="s">
        <v>237</v>
      </c>
      <c r="H16" s="400" t="s">
        <v>238</v>
      </c>
      <c r="I16" s="400" t="s">
        <v>239</v>
      </c>
      <c r="J16" s="400"/>
      <c r="K16" s="400" t="s">
        <v>36</v>
      </c>
      <c r="L16" s="403" t="s">
        <v>37</v>
      </c>
      <c r="M16" s="441">
        <v>0</v>
      </c>
      <c r="N16" s="442">
        <v>0</v>
      </c>
      <c r="O16" s="443">
        <v>0</v>
      </c>
      <c r="P16" s="396">
        <v>0</v>
      </c>
      <c r="Q16" s="375">
        <v>0</v>
      </c>
      <c r="R16" s="378">
        <v>0</v>
      </c>
      <c r="S16" s="426"/>
      <c r="T16" s="427"/>
      <c r="U16" s="428"/>
      <c r="V16" s="395">
        <v>0</v>
      </c>
      <c r="W16" s="375">
        <v>0</v>
      </c>
      <c r="X16" s="376">
        <v>0</v>
      </c>
      <c r="Y16" s="426"/>
      <c r="Z16" s="427"/>
      <c r="AA16" s="428"/>
      <c r="AB16" s="397">
        <v>0</v>
      </c>
      <c r="AC16" s="375">
        <v>0</v>
      </c>
      <c r="AD16" s="378">
        <v>0</v>
      </c>
      <c r="AE16" s="426"/>
      <c r="AF16" s="427"/>
      <c r="AG16" s="428"/>
      <c r="AH16" s="395">
        <v>0</v>
      </c>
      <c r="AI16" s="375">
        <v>0</v>
      </c>
      <c r="AJ16" s="376">
        <v>0</v>
      </c>
      <c r="AK16" s="426"/>
      <c r="AL16" s="427"/>
      <c r="AM16" s="428"/>
      <c r="AN16" s="397">
        <v>0</v>
      </c>
      <c r="AO16" s="375">
        <v>0</v>
      </c>
      <c r="AP16" s="378">
        <v>0</v>
      </c>
      <c r="AQ16" s="426"/>
      <c r="AR16" s="427"/>
      <c r="AS16" s="428"/>
      <c r="AT16" s="395">
        <v>0</v>
      </c>
      <c r="AU16" s="375">
        <v>0</v>
      </c>
      <c r="AV16" s="376">
        <v>0</v>
      </c>
      <c r="AW16" s="426"/>
      <c r="AX16" s="427"/>
      <c r="AY16" s="428"/>
      <c r="AZ16" s="397">
        <v>0</v>
      </c>
      <c r="BA16" s="375">
        <v>0</v>
      </c>
      <c r="BB16" s="378">
        <v>0</v>
      </c>
      <c r="BC16" s="426"/>
      <c r="BD16" s="427"/>
      <c r="BE16" s="428"/>
      <c r="BF16" s="395">
        <v>0</v>
      </c>
      <c r="BG16" s="375">
        <v>0</v>
      </c>
      <c r="BH16" s="376">
        <v>0</v>
      </c>
      <c r="BI16" s="426"/>
      <c r="BJ16" s="427"/>
      <c r="BK16" s="428"/>
      <c r="BL16" s="397">
        <v>0</v>
      </c>
      <c r="BM16" s="375">
        <v>0</v>
      </c>
      <c r="BN16" s="378">
        <v>0</v>
      </c>
      <c r="BO16" s="426"/>
      <c r="BP16" s="427"/>
      <c r="BQ16" s="428"/>
      <c r="BR16" s="395">
        <v>0</v>
      </c>
      <c r="BS16" s="375">
        <v>0</v>
      </c>
      <c r="BT16" s="376">
        <v>0</v>
      </c>
      <c r="BU16" s="426"/>
      <c r="BV16" s="427"/>
      <c r="BW16" s="428"/>
      <c r="BX16" s="397">
        <v>0</v>
      </c>
      <c r="BY16" s="375">
        <v>0</v>
      </c>
      <c r="BZ16" s="378">
        <v>0</v>
      </c>
      <c r="CA16" s="426"/>
      <c r="CB16" s="427"/>
      <c r="CC16" s="428"/>
      <c r="CD16" s="395">
        <v>0</v>
      </c>
      <c r="CE16" s="375">
        <v>0</v>
      </c>
      <c r="CF16" s="376">
        <v>0</v>
      </c>
      <c r="CG16" s="398">
        <f t="shared" si="0"/>
        <v>0</v>
      </c>
      <c r="CH16" s="383">
        <f t="shared" si="0"/>
        <v>0</v>
      </c>
      <c r="CI16" s="385">
        <f t="shared" si="0"/>
        <v>0</v>
      </c>
    </row>
    <row r="17" spans="1:87" s="368" customFormat="1" ht="13.5" customHeight="1" thickBot="1">
      <c r="B17" s="402">
        <v>2018</v>
      </c>
      <c r="C17" s="400" t="s">
        <v>233</v>
      </c>
      <c r="D17" s="400" t="s">
        <v>234</v>
      </c>
      <c r="E17" s="400" t="s">
        <v>235</v>
      </c>
      <c r="F17" s="400" t="s">
        <v>236</v>
      </c>
      <c r="G17" s="401" t="s">
        <v>237</v>
      </c>
      <c r="H17" s="400" t="s">
        <v>238</v>
      </c>
      <c r="I17" s="400" t="s">
        <v>239</v>
      </c>
      <c r="J17" s="400"/>
      <c r="K17" s="400" t="s">
        <v>38</v>
      </c>
      <c r="L17" s="403" t="s">
        <v>39</v>
      </c>
      <c r="M17" s="441">
        <v>5</v>
      </c>
      <c r="N17" s="442">
        <v>500</v>
      </c>
      <c r="O17" s="443">
        <v>0</v>
      </c>
      <c r="P17" s="396">
        <v>0</v>
      </c>
      <c r="Q17" s="375">
        <v>0</v>
      </c>
      <c r="R17" s="378">
        <v>0</v>
      </c>
      <c r="S17" s="426"/>
      <c r="T17" s="427"/>
      <c r="U17" s="428"/>
      <c r="V17" s="396">
        <v>0</v>
      </c>
      <c r="W17" s="375">
        <v>0</v>
      </c>
      <c r="X17" s="376">
        <v>0</v>
      </c>
      <c r="Y17" s="426"/>
      <c r="Z17" s="427"/>
      <c r="AA17" s="428"/>
      <c r="AB17" s="394">
        <v>0</v>
      </c>
      <c r="AC17" s="375">
        <v>0</v>
      </c>
      <c r="AD17" s="378">
        <v>0</v>
      </c>
      <c r="AE17" s="426"/>
      <c r="AF17" s="427"/>
      <c r="AG17" s="428"/>
      <c r="AH17" s="396">
        <v>0</v>
      </c>
      <c r="AI17" s="375">
        <v>0</v>
      </c>
      <c r="AJ17" s="376">
        <v>0</v>
      </c>
      <c r="AK17" s="426"/>
      <c r="AL17" s="427"/>
      <c r="AM17" s="428"/>
      <c r="AN17" s="394">
        <v>0</v>
      </c>
      <c r="AO17" s="375">
        <v>0</v>
      </c>
      <c r="AP17" s="378">
        <v>0</v>
      </c>
      <c r="AQ17" s="426"/>
      <c r="AR17" s="427"/>
      <c r="AS17" s="428"/>
      <c r="AT17" s="396">
        <v>0</v>
      </c>
      <c r="AU17" s="375">
        <v>0</v>
      </c>
      <c r="AV17" s="376">
        <v>0</v>
      </c>
      <c r="AW17" s="426"/>
      <c r="AX17" s="427"/>
      <c r="AY17" s="428"/>
      <c r="AZ17" s="394">
        <v>0</v>
      </c>
      <c r="BA17" s="375">
        <v>0</v>
      </c>
      <c r="BB17" s="378">
        <v>0</v>
      </c>
      <c r="BC17" s="426"/>
      <c r="BD17" s="427"/>
      <c r="BE17" s="428"/>
      <c r="BF17" s="396">
        <v>0</v>
      </c>
      <c r="BG17" s="375">
        <v>0</v>
      </c>
      <c r="BH17" s="376">
        <v>0</v>
      </c>
      <c r="BI17" s="426"/>
      <c r="BJ17" s="427"/>
      <c r="BK17" s="428"/>
      <c r="BL17" s="394">
        <v>0</v>
      </c>
      <c r="BM17" s="375">
        <v>0</v>
      </c>
      <c r="BN17" s="378">
        <v>0</v>
      </c>
      <c r="BO17" s="426"/>
      <c r="BP17" s="427"/>
      <c r="BQ17" s="428"/>
      <c r="BR17" s="396">
        <v>0</v>
      </c>
      <c r="BS17" s="375">
        <v>0</v>
      </c>
      <c r="BT17" s="376">
        <v>0</v>
      </c>
      <c r="BU17" s="426"/>
      <c r="BV17" s="427"/>
      <c r="BW17" s="428"/>
      <c r="BX17" s="394">
        <v>0</v>
      </c>
      <c r="BY17" s="375">
        <v>0</v>
      </c>
      <c r="BZ17" s="378">
        <v>0</v>
      </c>
      <c r="CA17" s="426"/>
      <c r="CB17" s="427"/>
      <c r="CC17" s="428"/>
      <c r="CD17" s="396">
        <v>0</v>
      </c>
      <c r="CE17" s="375">
        <v>0</v>
      </c>
      <c r="CF17" s="376">
        <v>0</v>
      </c>
      <c r="CG17" s="398">
        <f t="shared" si="0"/>
        <v>0</v>
      </c>
      <c r="CH17" s="383">
        <f t="shared" si="0"/>
        <v>0</v>
      </c>
      <c r="CI17" s="385">
        <f t="shared" si="0"/>
        <v>0</v>
      </c>
    </row>
    <row r="18" spans="1:87" s="368" customFormat="1" ht="13.5" customHeight="1" thickTop="1">
      <c r="A18" s="412" t="s">
        <v>223</v>
      </c>
      <c r="B18" s="165"/>
      <c r="C18" s="166"/>
      <c r="D18" s="166"/>
      <c r="E18" s="167"/>
      <c r="F18" s="167"/>
      <c r="G18" s="168" t="s">
        <v>231</v>
      </c>
      <c r="H18" s="167"/>
      <c r="I18" s="166"/>
      <c r="J18" s="166"/>
      <c r="K18" s="166"/>
      <c r="L18" s="169"/>
      <c r="M18" s="203"/>
      <c r="N18" s="204"/>
      <c r="O18" s="205"/>
      <c r="P18" s="54"/>
      <c r="Q18" s="3"/>
      <c r="R18" s="5"/>
      <c r="S18" s="203"/>
      <c r="T18" s="204"/>
      <c r="U18" s="205"/>
      <c r="V18" s="48"/>
      <c r="W18" s="3"/>
      <c r="X18" s="4"/>
      <c r="Y18" s="203"/>
      <c r="Z18" s="204"/>
      <c r="AA18" s="205"/>
      <c r="AB18" s="50"/>
      <c r="AC18" s="3"/>
      <c r="AD18" s="5"/>
      <c r="AE18" s="203"/>
      <c r="AF18" s="204"/>
      <c r="AG18" s="205"/>
      <c r="AH18" s="48"/>
      <c r="AI18" s="3"/>
      <c r="AJ18" s="4"/>
      <c r="AK18" s="203"/>
      <c r="AL18" s="204"/>
      <c r="AM18" s="205"/>
      <c r="AN18" s="50"/>
      <c r="AO18" s="5"/>
      <c r="AP18" s="444"/>
      <c r="AQ18" s="297"/>
      <c r="AR18" s="298"/>
      <c r="AS18" s="299"/>
      <c r="AT18" s="303"/>
      <c r="AU18" s="301"/>
      <c r="AV18" s="304"/>
      <c r="AW18" s="297"/>
      <c r="AX18" s="298"/>
      <c r="AY18" s="299"/>
      <c r="AZ18" s="305"/>
      <c r="BA18" s="301"/>
      <c r="BB18" s="302"/>
      <c r="BC18" s="297"/>
      <c r="BD18" s="298"/>
      <c r="BE18" s="299"/>
      <c r="BF18" s="303"/>
      <c r="BG18" s="301"/>
      <c r="BH18" s="304"/>
      <c r="BI18" s="297"/>
      <c r="BJ18" s="298"/>
      <c r="BK18" s="299"/>
      <c r="BL18" s="305"/>
      <c r="BM18" s="301"/>
      <c r="BN18" s="302"/>
      <c r="BO18" s="297"/>
      <c r="BP18" s="298"/>
      <c r="BQ18" s="299"/>
      <c r="BR18" s="303"/>
      <c r="BS18" s="301"/>
      <c r="BT18" s="304"/>
      <c r="BU18" s="297"/>
      <c r="BV18" s="298"/>
      <c r="BW18" s="299"/>
      <c r="BX18" s="305"/>
      <c r="BY18" s="301"/>
      <c r="BZ18" s="302"/>
      <c r="CA18" s="297"/>
      <c r="CB18" s="298"/>
      <c r="CC18" s="299"/>
      <c r="CD18" s="303"/>
      <c r="CE18" s="301"/>
      <c r="CF18" s="304"/>
      <c r="CG18" s="413"/>
      <c r="CH18" s="414"/>
      <c r="CI18" s="415"/>
    </row>
    <row r="19" spans="1:87" s="368" customFormat="1" ht="13.5" customHeight="1" thickBot="1">
      <c r="A19" s="412" t="s">
        <v>224</v>
      </c>
      <c r="B19" s="471"/>
      <c r="C19" s="472"/>
      <c r="D19" s="472"/>
      <c r="E19" s="473"/>
      <c r="F19" s="473"/>
      <c r="G19" s="474"/>
      <c r="H19" s="473"/>
      <c r="I19" s="472"/>
      <c r="J19" s="472"/>
      <c r="K19" s="472"/>
      <c r="L19" s="475"/>
      <c r="M19" s="476"/>
      <c r="N19" s="477"/>
      <c r="O19" s="478"/>
      <c r="P19" s="55"/>
      <c r="Q19" s="6"/>
      <c r="R19" s="8"/>
      <c r="S19" s="476"/>
      <c r="T19" s="477"/>
      <c r="U19" s="478"/>
      <c r="V19" s="49"/>
      <c r="W19" s="6"/>
      <c r="X19" s="7"/>
      <c r="Y19" s="476"/>
      <c r="Z19" s="477"/>
      <c r="AA19" s="478"/>
      <c r="AB19" s="51"/>
      <c r="AC19" s="6"/>
      <c r="AD19" s="8"/>
      <c r="AE19" s="476"/>
      <c r="AF19" s="477"/>
      <c r="AG19" s="478"/>
      <c r="AH19" s="49"/>
      <c r="AI19" s="6"/>
      <c r="AJ19" s="7"/>
      <c r="AK19" s="476"/>
      <c r="AL19" s="477"/>
      <c r="AM19" s="478"/>
      <c r="AN19" s="51"/>
      <c r="AO19" s="8"/>
      <c r="AP19" s="445"/>
      <c r="AQ19" s="203"/>
      <c r="AR19" s="204"/>
      <c r="AS19" s="205"/>
      <c r="AT19" s="48"/>
      <c r="AU19" s="3"/>
      <c r="AV19" s="4"/>
      <c r="AW19" s="203"/>
      <c r="AX19" s="204"/>
      <c r="AY19" s="205"/>
      <c r="AZ19" s="50"/>
      <c r="BA19" s="3"/>
      <c r="BB19" s="5"/>
      <c r="BC19" s="203"/>
      <c r="BD19" s="204"/>
      <c r="BE19" s="205"/>
      <c r="BF19" s="48"/>
      <c r="BG19" s="3"/>
      <c r="BH19" s="4"/>
      <c r="BI19" s="203"/>
      <c r="BJ19" s="204"/>
      <c r="BK19" s="205"/>
      <c r="BL19" s="50"/>
      <c r="BM19" s="3"/>
      <c r="BN19" s="5"/>
      <c r="BO19" s="203"/>
      <c r="BP19" s="204"/>
      <c r="BQ19" s="205"/>
      <c r="BR19" s="48"/>
      <c r="BS19" s="3"/>
      <c r="BT19" s="4"/>
      <c r="BU19" s="203"/>
      <c r="BV19" s="204"/>
      <c r="BW19" s="205"/>
      <c r="BX19" s="50"/>
      <c r="BY19" s="3"/>
      <c r="BZ19" s="5"/>
      <c r="CA19" s="203"/>
      <c r="CB19" s="204"/>
      <c r="CC19" s="205"/>
      <c r="CD19" s="48"/>
      <c r="CE19" s="3"/>
      <c r="CF19" s="4"/>
      <c r="CG19" s="398"/>
      <c r="CH19" s="383"/>
      <c r="CI19" s="385"/>
    </row>
    <row r="20" spans="1:87" s="368" customFormat="1" ht="13.5" customHeight="1">
      <c r="A20" s="412" t="s">
        <v>229</v>
      </c>
      <c r="B20" s="457"/>
      <c r="C20" s="458"/>
      <c r="D20" s="458"/>
      <c r="E20" s="459"/>
      <c r="F20" s="459"/>
      <c r="G20" s="460"/>
      <c r="H20" s="459"/>
      <c r="I20" s="458"/>
      <c r="J20" s="458"/>
      <c r="K20" s="458"/>
      <c r="L20" s="461"/>
      <c r="M20" s="462"/>
      <c r="N20" s="463"/>
      <c r="O20" s="464"/>
      <c r="P20" s="465"/>
      <c r="Q20" s="466"/>
      <c r="R20" s="467"/>
      <c r="S20" s="462"/>
      <c r="T20" s="463"/>
      <c r="U20" s="464"/>
      <c r="V20" s="468"/>
      <c r="W20" s="466"/>
      <c r="X20" s="469"/>
      <c r="Y20" s="462"/>
      <c r="Z20" s="463"/>
      <c r="AA20" s="464"/>
      <c r="AB20" s="470"/>
      <c r="AC20" s="466"/>
      <c r="AD20" s="467"/>
      <c r="AE20" s="462"/>
      <c r="AF20" s="463"/>
      <c r="AG20" s="464"/>
      <c r="AH20" s="468"/>
      <c r="AI20" s="466"/>
      <c r="AJ20" s="469"/>
      <c r="AK20" s="462"/>
      <c r="AL20" s="463"/>
      <c r="AM20" s="464"/>
      <c r="AN20" s="470"/>
      <c r="AO20" s="466"/>
      <c r="AP20" s="5"/>
      <c r="AQ20" s="203"/>
      <c r="AR20" s="204"/>
      <c r="AS20" s="205"/>
      <c r="AT20" s="48"/>
      <c r="AU20" s="3"/>
      <c r="AV20" s="4"/>
      <c r="AW20" s="203"/>
      <c r="AX20" s="204"/>
      <c r="AY20" s="205"/>
      <c r="AZ20" s="50"/>
      <c r="BA20" s="3"/>
      <c r="BB20" s="5"/>
      <c r="BC20" s="203"/>
      <c r="BD20" s="204"/>
      <c r="BE20" s="205"/>
      <c r="BF20" s="48"/>
      <c r="BG20" s="3"/>
      <c r="BH20" s="4"/>
      <c r="BI20" s="203"/>
      <c r="BJ20" s="204"/>
      <c r="BK20" s="205"/>
      <c r="BL20" s="50"/>
      <c r="BM20" s="3"/>
      <c r="BN20" s="5"/>
      <c r="BO20" s="203"/>
      <c r="BP20" s="204"/>
      <c r="BQ20" s="205"/>
      <c r="BR20" s="48"/>
      <c r="BS20" s="3"/>
      <c r="BT20" s="4"/>
      <c r="BU20" s="203"/>
      <c r="BV20" s="204"/>
      <c r="BW20" s="205"/>
      <c r="BX20" s="50"/>
      <c r="BY20" s="3"/>
      <c r="BZ20" s="5"/>
      <c r="CA20" s="203"/>
      <c r="CB20" s="204"/>
      <c r="CC20" s="205"/>
      <c r="CD20" s="48"/>
      <c r="CE20" s="3"/>
      <c r="CF20" s="4"/>
      <c r="CG20" s="398"/>
      <c r="CH20" s="383"/>
      <c r="CI20" s="385"/>
    </row>
    <row r="21" spans="1:87" s="368" customFormat="1" ht="13.5" customHeight="1">
      <c r="A21" s="412" t="s">
        <v>230</v>
      </c>
      <c r="B21" s="165"/>
      <c r="C21" s="166"/>
      <c r="D21" s="166"/>
      <c r="E21" s="167"/>
      <c r="F21" s="167"/>
      <c r="G21" s="168"/>
      <c r="H21" s="167"/>
      <c r="I21" s="166"/>
      <c r="J21" s="166"/>
      <c r="K21" s="166"/>
      <c r="L21" s="169"/>
      <c r="M21" s="203"/>
      <c r="N21" s="204"/>
      <c r="O21" s="205"/>
      <c r="P21" s="54"/>
      <c r="Q21" s="3"/>
      <c r="R21" s="5"/>
      <c r="S21" s="203"/>
      <c r="T21" s="204"/>
      <c r="U21" s="205"/>
      <c r="V21" s="48"/>
      <c r="W21" s="3"/>
      <c r="X21" s="4"/>
      <c r="Y21" s="203"/>
      <c r="Z21" s="204"/>
      <c r="AA21" s="205"/>
      <c r="AB21" s="50"/>
      <c r="AC21" s="3"/>
      <c r="AD21" s="5"/>
      <c r="AE21" s="203"/>
      <c r="AF21" s="204"/>
      <c r="AG21" s="205"/>
      <c r="AH21" s="48"/>
      <c r="AI21" s="3"/>
      <c r="AJ21" s="4"/>
      <c r="AK21" s="203"/>
      <c r="AL21" s="204"/>
      <c r="AM21" s="205"/>
      <c r="AN21" s="50"/>
      <c r="AO21" s="3"/>
      <c r="AP21" s="5"/>
      <c r="AQ21" s="203"/>
      <c r="AR21" s="204"/>
      <c r="AS21" s="205"/>
      <c r="AT21" s="48"/>
      <c r="AU21" s="3"/>
      <c r="AV21" s="4"/>
      <c r="AW21" s="203"/>
      <c r="AX21" s="204"/>
      <c r="AY21" s="205"/>
      <c r="AZ21" s="50"/>
      <c r="BA21" s="3"/>
      <c r="BB21" s="5"/>
      <c r="BC21" s="203"/>
      <c r="BD21" s="204"/>
      <c r="BE21" s="205"/>
      <c r="BF21" s="48"/>
      <c r="BG21" s="3"/>
      <c r="BH21" s="4"/>
      <c r="BI21" s="203"/>
      <c r="BJ21" s="204"/>
      <c r="BK21" s="205"/>
      <c r="BL21" s="50"/>
      <c r="BM21" s="3"/>
      <c r="BN21" s="5"/>
      <c r="BO21" s="203"/>
      <c r="BP21" s="204"/>
      <c r="BQ21" s="205"/>
      <c r="BR21" s="48"/>
      <c r="BS21" s="3"/>
      <c r="BT21" s="4"/>
      <c r="BU21" s="203"/>
      <c r="BV21" s="204"/>
      <c r="BW21" s="205"/>
      <c r="BX21" s="50"/>
      <c r="BY21" s="3"/>
      <c r="BZ21" s="5"/>
      <c r="CA21" s="203"/>
      <c r="CB21" s="204"/>
      <c r="CC21" s="205"/>
      <c r="CD21" s="48"/>
      <c r="CE21" s="3"/>
      <c r="CF21" s="4"/>
      <c r="CG21" s="398"/>
      <c r="CH21" s="383"/>
      <c r="CI21" s="385"/>
    </row>
    <row r="22" spans="1:87" s="368" customFormat="1" ht="13.5" customHeight="1">
      <c r="A22" s="412" t="s">
        <v>225</v>
      </c>
      <c r="B22" s="165"/>
      <c r="C22" s="166"/>
      <c r="D22" s="166"/>
      <c r="E22" s="167"/>
      <c r="F22" s="167"/>
      <c r="G22" s="168"/>
      <c r="H22" s="167"/>
      <c r="I22" s="166"/>
      <c r="J22" s="166"/>
      <c r="K22" s="166"/>
      <c r="L22" s="169"/>
      <c r="M22" s="203"/>
      <c r="N22" s="204"/>
      <c r="O22" s="205"/>
      <c r="P22" s="54"/>
      <c r="Q22" s="3"/>
      <c r="R22" s="5"/>
      <c r="S22" s="203"/>
      <c r="T22" s="204"/>
      <c r="U22" s="205"/>
      <c r="V22" s="48"/>
      <c r="W22" s="3"/>
      <c r="X22" s="4"/>
      <c r="Y22" s="203"/>
      <c r="Z22" s="204"/>
      <c r="AA22" s="205"/>
      <c r="AB22" s="50"/>
      <c r="AC22" s="3"/>
      <c r="AD22" s="5"/>
      <c r="AE22" s="203"/>
      <c r="AF22" s="204"/>
      <c r="AG22" s="205"/>
      <c r="AH22" s="48"/>
      <c r="AI22" s="3"/>
      <c r="AJ22" s="4"/>
      <c r="AK22" s="203"/>
      <c r="AL22" s="204"/>
      <c r="AM22" s="205"/>
      <c r="AN22" s="50"/>
      <c r="AO22" s="3"/>
      <c r="AP22" s="5"/>
      <c r="AQ22" s="203"/>
      <c r="AR22" s="204"/>
      <c r="AS22" s="205"/>
      <c r="AT22" s="48"/>
      <c r="AU22" s="3"/>
      <c r="AV22" s="4"/>
      <c r="AW22" s="203"/>
      <c r="AX22" s="204"/>
      <c r="AY22" s="205"/>
      <c r="AZ22" s="50"/>
      <c r="BA22" s="3"/>
      <c r="BB22" s="5"/>
      <c r="BC22" s="203"/>
      <c r="BD22" s="204"/>
      <c r="BE22" s="205"/>
      <c r="BF22" s="48"/>
      <c r="BG22" s="3"/>
      <c r="BH22" s="4"/>
      <c r="BI22" s="203"/>
      <c r="BJ22" s="204"/>
      <c r="BK22" s="205"/>
      <c r="BL22" s="50"/>
      <c r="BM22" s="3"/>
      <c r="BN22" s="5"/>
      <c r="BO22" s="203"/>
      <c r="BP22" s="204"/>
      <c r="BQ22" s="205"/>
      <c r="BR22" s="48"/>
      <c r="BS22" s="3"/>
      <c r="BT22" s="4"/>
      <c r="BU22" s="203"/>
      <c r="BV22" s="204"/>
      <c r="BW22" s="205"/>
      <c r="BX22" s="50"/>
      <c r="BY22" s="3"/>
      <c r="BZ22" s="5"/>
      <c r="CA22" s="203"/>
      <c r="CB22" s="204"/>
      <c r="CC22" s="205"/>
      <c r="CD22" s="48"/>
      <c r="CE22" s="3"/>
      <c r="CF22" s="4"/>
      <c r="CG22" s="398"/>
      <c r="CH22" s="383"/>
      <c r="CI22" s="385"/>
    </row>
    <row r="23" spans="1:87" s="368" customFormat="1" ht="13.5" customHeight="1">
      <c r="A23" s="412" t="s">
        <v>226</v>
      </c>
      <c r="B23" s="165"/>
      <c r="C23" s="166"/>
      <c r="D23" s="166"/>
      <c r="E23" s="167"/>
      <c r="F23" s="167"/>
      <c r="G23" s="168"/>
      <c r="H23" s="167"/>
      <c r="I23" s="166"/>
      <c r="J23" s="166"/>
      <c r="K23" s="166"/>
      <c r="L23" s="169"/>
      <c r="M23" s="203"/>
      <c r="N23" s="204"/>
      <c r="O23" s="205"/>
      <c r="P23" s="54"/>
      <c r="Q23" s="3"/>
      <c r="R23" s="5"/>
      <c r="S23" s="203"/>
      <c r="T23" s="204"/>
      <c r="U23" s="205"/>
      <c r="V23" s="48"/>
      <c r="W23" s="3"/>
      <c r="X23" s="4"/>
      <c r="Y23" s="203"/>
      <c r="Z23" s="204"/>
      <c r="AA23" s="205"/>
      <c r="AB23" s="50"/>
      <c r="AC23" s="3"/>
      <c r="AD23" s="5"/>
      <c r="AE23" s="203"/>
      <c r="AF23" s="204"/>
      <c r="AG23" s="205"/>
      <c r="AH23" s="48"/>
      <c r="AI23" s="3"/>
      <c r="AJ23" s="4"/>
      <c r="AK23" s="203"/>
      <c r="AL23" s="204"/>
      <c r="AM23" s="205"/>
      <c r="AN23" s="50"/>
      <c r="AO23" s="3"/>
      <c r="AP23" s="5"/>
      <c r="AQ23" s="203"/>
      <c r="AR23" s="204"/>
      <c r="AS23" s="205"/>
      <c r="AT23" s="48"/>
      <c r="AU23" s="3"/>
      <c r="AV23" s="4"/>
      <c r="AW23" s="203"/>
      <c r="AX23" s="204"/>
      <c r="AY23" s="205"/>
      <c r="AZ23" s="50"/>
      <c r="BA23" s="3"/>
      <c r="BB23" s="5"/>
      <c r="BC23" s="203"/>
      <c r="BD23" s="204"/>
      <c r="BE23" s="205"/>
      <c r="BF23" s="48"/>
      <c r="BG23" s="3"/>
      <c r="BH23" s="4"/>
      <c r="BI23" s="203"/>
      <c r="BJ23" s="204"/>
      <c r="BK23" s="205"/>
      <c r="BL23" s="50"/>
      <c r="BM23" s="3"/>
      <c r="BN23" s="5"/>
      <c r="BO23" s="203"/>
      <c r="BP23" s="204"/>
      <c r="BQ23" s="205"/>
      <c r="BR23" s="48"/>
      <c r="BS23" s="3"/>
      <c r="BT23" s="4"/>
      <c r="BU23" s="203"/>
      <c r="BV23" s="204"/>
      <c r="BW23" s="205"/>
      <c r="BX23" s="50"/>
      <c r="BY23" s="3"/>
      <c r="BZ23" s="5"/>
      <c r="CA23" s="203"/>
      <c r="CB23" s="204"/>
      <c r="CC23" s="205"/>
      <c r="CD23" s="48"/>
      <c r="CE23" s="3"/>
      <c r="CF23" s="4"/>
      <c r="CG23" s="398"/>
      <c r="CH23" s="383"/>
      <c r="CI23" s="385"/>
    </row>
    <row r="24" spans="1:87" s="368" customFormat="1" ht="13.5" customHeight="1">
      <c r="A24" s="412" t="s">
        <v>227</v>
      </c>
      <c r="B24" s="165"/>
      <c r="C24" s="166"/>
      <c r="D24" s="166"/>
      <c r="E24" s="167"/>
      <c r="F24" s="167"/>
      <c r="G24" s="168"/>
      <c r="H24" s="167"/>
      <c r="I24" s="166"/>
      <c r="J24" s="166"/>
      <c r="K24" s="166"/>
      <c r="L24" s="169"/>
      <c r="M24" s="203"/>
      <c r="N24" s="204"/>
      <c r="O24" s="205"/>
      <c r="P24" s="54"/>
      <c r="Q24" s="3"/>
      <c r="R24" s="5"/>
      <c r="S24" s="203"/>
      <c r="T24" s="204"/>
      <c r="U24" s="205"/>
      <c r="V24" s="48"/>
      <c r="W24" s="3"/>
      <c r="X24" s="4"/>
      <c r="Y24" s="203"/>
      <c r="Z24" s="204"/>
      <c r="AA24" s="205"/>
      <c r="AB24" s="50"/>
      <c r="AC24" s="3"/>
      <c r="AD24" s="5"/>
      <c r="AE24" s="203"/>
      <c r="AF24" s="204"/>
      <c r="AG24" s="205"/>
      <c r="AH24" s="48"/>
      <c r="AI24" s="3"/>
      <c r="AJ24" s="4"/>
      <c r="AK24" s="203"/>
      <c r="AL24" s="204"/>
      <c r="AM24" s="205"/>
      <c r="AN24" s="50"/>
      <c r="AO24" s="3"/>
      <c r="AP24" s="5"/>
      <c r="AQ24" s="203"/>
      <c r="AR24" s="204"/>
      <c r="AS24" s="205"/>
      <c r="AT24" s="48"/>
      <c r="AU24" s="3"/>
      <c r="AV24" s="4"/>
      <c r="AW24" s="203"/>
      <c r="AX24" s="204"/>
      <c r="AY24" s="205"/>
      <c r="AZ24" s="50"/>
      <c r="BA24" s="3"/>
      <c r="BB24" s="5"/>
      <c r="BC24" s="203"/>
      <c r="BD24" s="204"/>
      <c r="BE24" s="205"/>
      <c r="BF24" s="48"/>
      <c r="BG24" s="3"/>
      <c r="BH24" s="4"/>
      <c r="BI24" s="203"/>
      <c r="BJ24" s="204"/>
      <c r="BK24" s="205"/>
      <c r="BL24" s="50"/>
      <c r="BM24" s="3"/>
      <c r="BN24" s="5"/>
      <c r="BO24" s="203"/>
      <c r="BP24" s="204"/>
      <c r="BQ24" s="205"/>
      <c r="BR24" s="48"/>
      <c r="BS24" s="3"/>
      <c r="BT24" s="4"/>
      <c r="BU24" s="203"/>
      <c r="BV24" s="204"/>
      <c r="BW24" s="205"/>
      <c r="BX24" s="50"/>
      <c r="BY24" s="3"/>
      <c r="BZ24" s="5"/>
      <c r="CA24" s="203"/>
      <c r="CB24" s="204"/>
      <c r="CC24" s="205"/>
      <c r="CD24" s="48"/>
      <c r="CE24" s="3"/>
      <c r="CF24" s="4"/>
      <c r="CG24" s="398"/>
      <c r="CH24" s="383"/>
      <c r="CI24" s="385"/>
    </row>
    <row r="25" spans="1:87" s="368" customFormat="1" ht="13.5" customHeight="1">
      <c r="A25" s="412" t="s">
        <v>228</v>
      </c>
      <c r="B25" s="165"/>
      <c r="C25" s="166"/>
      <c r="D25" s="166"/>
      <c r="E25" s="167"/>
      <c r="F25" s="167"/>
      <c r="G25" s="168"/>
      <c r="H25" s="167"/>
      <c r="I25" s="166"/>
      <c r="J25" s="166"/>
      <c r="K25" s="166"/>
      <c r="L25" s="169"/>
      <c r="M25" s="203"/>
      <c r="N25" s="204"/>
      <c r="O25" s="205"/>
      <c r="P25" s="54"/>
      <c r="Q25" s="3"/>
      <c r="R25" s="5"/>
      <c r="S25" s="203"/>
      <c r="T25" s="204"/>
      <c r="U25" s="205"/>
      <c r="V25" s="48"/>
      <c r="W25" s="3"/>
      <c r="X25" s="4"/>
      <c r="Y25" s="203"/>
      <c r="Z25" s="204"/>
      <c r="AA25" s="205"/>
      <c r="AB25" s="50"/>
      <c r="AC25" s="3"/>
      <c r="AD25" s="5"/>
      <c r="AE25" s="203"/>
      <c r="AF25" s="204"/>
      <c r="AG25" s="205"/>
      <c r="AH25" s="48"/>
      <c r="AI25" s="3"/>
      <c r="AJ25" s="4"/>
      <c r="AK25" s="203"/>
      <c r="AL25" s="204"/>
      <c r="AM25" s="205"/>
      <c r="AN25" s="50"/>
      <c r="AO25" s="3"/>
      <c r="AP25" s="5"/>
      <c r="AQ25" s="203"/>
      <c r="AR25" s="204"/>
      <c r="AS25" s="205"/>
      <c r="AT25" s="48"/>
      <c r="AU25" s="3"/>
      <c r="AV25" s="4"/>
      <c r="AW25" s="203"/>
      <c r="AX25" s="204"/>
      <c r="AY25" s="205"/>
      <c r="AZ25" s="50"/>
      <c r="BA25" s="3"/>
      <c r="BB25" s="5"/>
      <c r="BC25" s="203"/>
      <c r="BD25" s="204"/>
      <c r="BE25" s="205"/>
      <c r="BF25" s="48"/>
      <c r="BG25" s="3"/>
      <c r="BH25" s="4"/>
      <c r="BI25" s="203"/>
      <c r="BJ25" s="204"/>
      <c r="BK25" s="205"/>
      <c r="BL25" s="50"/>
      <c r="BM25" s="3"/>
      <c r="BN25" s="5"/>
      <c r="BO25" s="203"/>
      <c r="BP25" s="204"/>
      <c r="BQ25" s="205"/>
      <c r="BR25" s="48"/>
      <c r="BS25" s="3"/>
      <c r="BT25" s="4"/>
      <c r="BU25" s="203"/>
      <c r="BV25" s="204"/>
      <c r="BW25" s="205"/>
      <c r="BX25" s="50"/>
      <c r="BY25" s="3"/>
      <c r="BZ25" s="5"/>
      <c r="CA25" s="203"/>
      <c r="CB25" s="204"/>
      <c r="CC25" s="205"/>
      <c r="CD25" s="48"/>
      <c r="CE25" s="3"/>
      <c r="CF25" s="4"/>
      <c r="CG25" s="398"/>
      <c r="CH25" s="383"/>
      <c r="CI25" s="385"/>
    </row>
    <row r="26" spans="1:87" s="368" customFormat="1" ht="13.5" customHeight="1">
      <c r="A26" s="412"/>
      <c r="B26" s="165"/>
      <c r="C26" s="166"/>
      <c r="D26" s="166"/>
      <c r="E26" s="167"/>
      <c r="F26" s="167"/>
      <c r="G26" s="168"/>
      <c r="H26" s="167"/>
      <c r="I26" s="166"/>
      <c r="J26" s="166"/>
      <c r="K26" s="166"/>
      <c r="L26" s="169"/>
      <c r="M26" s="203"/>
      <c r="N26" s="204"/>
      <c r="O26" s="205"/>
      <c r="P26" s="54"/>
      <c r="Q26" s="3"/>
      <c r="R26" s="5"/>
      <c r="S26" s="203"/>
      <c r="T26" s="204"/>
      <c r="U26" s="205"/>
      <c r="V26" s="48"/>
      <c r="W26" s="3"/>
      <c r="X26" s="4"/>
      <c r="Y26" s="203"/>
      <c r="Z26" s="204"/>
      <c r="AA26" s="205"/>
      <c r="AB26" s="50"/>
      <c r="AC26" s="3"/>
      <c r="AD26" s="5"/>
      <c r="AE26" s="203"/>
      <c r="AF26" s="204"/>
      <c r="AG26" s="205"/>
      <c r="AH26" s="48"/>
      <c r="AI26" s="3"/>
      <c r="AJ26" s="4"/>
      <c r="AK26" s="203"/>
      <c r="AL26" s="204"/>
      <c r="AM26" s="205"/>
      <c r="AN26" s="50"/>
      <c r="AO26" s="3"/>
      <c r="AP26" s="5"/>
      <c r="AQ26" s="203"/>
      <c r="AR26" s="204"/>
      <c r="AS26" s="205"/>
      <c r="AT26" s="48"/>
      <c r="AU26" s="3"/>
      <c r="AV26" s="4"/>
      <c r="AW26" s="203"/>
      <c r="AX26" s="204"/>
      <c r="AY26" s="205"/>
      <c r="AZ26" s="50"/>
      <c r="BA26" s="3"/>
      <c r="BB26" s="5"/>
      <c r="BC26" s="203"/>
      <c r="BD26" s="204"/>
      <c r="BE26" s="205"/>
      <c r="BF26" s="48"/>
      <c r="BG26" s="3"/>
      <c r="BH26" s="4"/>
      <c r="BI26" s="203"/>
      <c r="BJ26" s="204"/>
      <c r="BK26" s="205"/>
      <c r="BL26" s="50"/>
      <c r="BM26" s="3"/>
      <c r="BN26" s="5"/>
      <c r="BO26" s="203"/>
      <c r="BP26" s="204"/>
      <c r="BQ26" s="205"/>
      <c r="BR26" s="48"/>
      <c r="BS26" s="3"/>
      <c r="BT26" s="4"/>
      <c r="BU26" s="203"/>
      <c r="BV26" s="204"/>
      <c r="BW26" s="205"/>
      <c r="BX26" s="50"/>
      <c r="BY26" s="3"/>
      <c r="BZ26" s="5"/>
      <c r="CA26" s="203"/>
      <c r="CB26" s="204"/>
      <c r="CC26" s="205"/>
      <c r="CD26" s="48"/>
      <c r="CE26" s="3"/>
      <c r="CF26" s="4"/>
      <c r="CG26" s="398"/>
      <c r="CH26" s="383"/>
      <c r="CI26" s="385"/>
    </row>
    <row r="27" spans="1:87" s="368" customFormat="1" ht="13.5" customHeight="1">
      <c r="A27" s="412"/>
      <c r="B27" s="165"/>
      <c r="C27" s="167"/>
      <c r="D27" s="166"/>
      <c r="E27" s="167"/>
      <c r="F27" s="167"/>
      <c r="G27" s="168"/>
      <c r="H27" s="167"/>
      <c r="I27" s="167"/>
      <c r="J27" s="166"/>
      <c r="K27" s="166"/>
      <c r="L27" s="169"/>
      <c r="M27" s="203"/>
      <c r="N27" s="204"/>
      <c r="O27" s="205"/>
      <c r="P27" s="54"/>
      <c r="Q27" s="3"/>
      <c r="R27" s="5"/>
      <c r="S27" s="203"/>
      <c r="T27" s="204"/>
      <c r="U27" s="205"/>
      <c r="V27" s="48"/>
      <c r="W27" s="3"/>
      <c r="X27" s="4"/>
      <c r="Y27" s="203"/>
      <c r="Z27" s="204"/>
      <c r="AA27" s="205"/>
      <c r="AB27" s="50"/>
      <c r="AC27" s="3"/>
      <c r="AD27" s="5"/>
      <c r="AE27" s="203"/>
      <c r="AF27" s="204"/>
      <c r="AG27" s="205"/>
      <c r="AH27" s="48"/>
      <c r="AI27" s="3"/>
      <c r="AJ27" s="4"/>
      <c r="AK27" s="203"/>
      <c r="AL27" s="204"/>
      <c r="AM27" s="205"/>
      <c r="AN27" s="50"/>
      <c r="AO27" s="3"/>
      <c r="AP27" s="5"/>
      <c r="AQ27" s="203"/>
      <c r="AR27" s="204"/>
      <c r="AS27" s="205"/>
      <c r="AT27" s="48"/>
      <c r="AU27" s="3"/>
      <c r="AV27" s="4"/>
      <c r="AW27" s="203"/>
      <c r="AX27" s="204"/>
      <c r="AY27" s="205"/>
      <c r="AZ27" s="50"/>
      <c r="BA27" s="3"/>
      <c r="BB27" s="5"/>
      <c r="BC27" s="203"/>
      <c r="BD27" s="204"/>
      <c r="BE27" s="205"/>
      <c r="BF27" s="48"/>
      <c r="BG27" s="3"/>
      <c r="BH27" s="4"/>
      <c r="BI27" s="203"/>
      <c r="BJ27" s="204"/>
      <c r="BK27" s="205"/>
      <c r="BL27" s="50"/>
      <c r="BM27" s="3"/>
      <c r="BN27" s="5"/>
      <c r="BO27" s="203"/>
      <c r="BP27" s="204"/>
      <c r="BQ27" s="205"/>
      <c r="BR27" s="48"/>
      <c r="BS27" s="3"/>
      <c r="BT27" s="4"/>
      <c r="BU27" s="203"/>
      <c r="BV27" s="204"/>
      <c r="BW27" s="205"/>
      <c r="BX27" s="50"/>
      <c r="BY27" s="3"/>
      <c r="BZ27" s="5"/>
      <c r="CA27" s="203"/>
      <c r="CB27" s="204"/>
      <c r="CC27" s="205"/>
      <c r="CD27" s="48"/>
      <c r="CE27" s="3"/>
      <c r="CF27" s="4"/>
      <c r="CG27" s="398"/>
      <c r="CH27" s="383"/>
      <c r="CI27" s="385"/>
    </row>
    <row r="28" spans="1:87" s="368" customFormat="1" ht="13.5" customHeight="1">
      <c r="A28" s="412"/>
      <c r="B28" s="165"/>
      <c r="C28" s="167"/>
      <c r="D28" s="166"/>
      <c r="E28" s="167"/>
      <c r="F28" s="167"/>
      <c r="G28" s="168"/>
      <c r="H28" s="167"/>
      <c r="I28" s="167"/>
      <c r="J28" s="166"/>
      <c r="K28" s="166"/>
      <c r="L28" s="169"/>
      <c r="M28" s="203"/>
      <c r="N28" s="204"/>
      <c r="O28" s="205"/>
      <c r="P28" s="54"/>
      <c r="Q28" s="3"/>
      <c r="R28" s="5"/>
      <c r="S28" s="203"/>
      <c r="T28" s="204"/>
      <c r="U28" s="205"/>
      <c r="V28" s="48"/>
      <c r="W28" s="3"/>
      <c r="X28" s="4"/>
      <c r="Y28" s="203"/>
      <c r="Z28" s="204"/>
      <c r="AA28" s="205"/>
      <c r="AB28" s="50"/>
      <c r="AC28" s="3"/>
      <c r="AD28" s="5"/>
      <c r="AE28" s="203"/>
      <c r="AF28" s="204"/>
      <c r="AG28" s="205"/>
      <c r="AH28" s="48"/>
      <c r="AI28" s="3"/>
      <c r="AJ28" s="4"/>
      <c r="AK28" s="203"/>
      <c r="AL28" s="204"/>
      <c r="AM28" s="205"/>
      <c r="AN28" s="50"/>
      <c r="AO28" s="3"/>
      <c r="AP28" s="5"/>
      <c r="AQ28" s="203"/>
      <c r="AR28" s="204"/>
      <c r="AS28" s="205"/>
      <c r="AT28" s="48"/>
      <c r="AU28" s="3"/>
      <c r="AV28" s="4"/>
      <c r="AW28" s="203"/>
      <c r="AX28" s="204"/>
      <c r="AY28" s="205"/>
      <c r="AZ28" s="50"/>
      <c r="BA28" s="3"/>
      <c r="BB28" s="5"/>
      <c r="BC28" s="203"/>
      <c r="BD28" s="204"/>
      <c r="BE28" s="205"/>
      <c r="BF28" s="48"/>
      <c r="BG28" s="3"/>
      <c r="BH28" s="4"/>
      <c r="BI28" s="203"/>
      <c r="BJ28" s="204"/>
      <c r="BK28" s="205"/>
      <c r="BL28" s="50"/>
      <c r="BM28" s="3"/>
      <c r="BN28" s="5"/>
      <c r="BO28" s="203"/>
      <c r="BP28" s="204"/>
      <c r="BQ28" s="205"/>
      <c r="BR28" s="48"/>
      <c r="BS28" s="3"/>
      <c r="BT28" s="4"/>
      <c r="BU28" s="203"/>
      <c r="BV28" s="204"/>
      <c r="BW28" s="205"/>
      <c r="BX28" s="50"/>
      <c r="BY28" s="3"/>
      <c r="BZ28" s="5"/>
      <c r="CA28" s="203"/>
      <c r="CB28" s="204"/>
      <c r="CC28" s="205"/>
      <c r="CD28" s="48"/>
      <c r="CE28" s="3"/>
      <c r="CF28" s="4"/>
      <c r="CG28" s="398"/>
      <c r="CH28" s="383"/>
      <c r="CI28" s="385"/>
    </row>
    <row r="29" spans="1:87" s="368" customFormat="1" ht="13.5" customHeight="1">
      <c r="A29" s="411"/>
      <c r="B29" s="165"/>
      <c r="C29" s="167"/>
      <c r="D29" s="166"/>
      <c r="E29" s="167"/>
      <c r="F29" s="167"/>
      <c r="G29" s="168"/>
      <c r="H29" s="167"/>
      <c r="I29" s="167"/>
      <c r="J29" s="166"/>
      <c r="K29" s="166"/>
      <c r="L29" s="169"/>
      <c r="M29" s="203"/>
      <c r="N29" s="204"/>
      <c r="O29" s="205"/>
      <c r="P29" s="54"/>
      <c r="Q29" s="3"/>
      <c r="R29" s="5"/>
      <c r="S29" s="203"/>
      <c r="T29" s="204"/>
      <c r="U29" s="205"/>
      <c r="V29" s="48"/>
      <c r="W29" s="3"/>
      <c r="X29" s="4"/>
      <c r="Y29" s="203"/>
      <c r="Z29" s="204"/>
      <c r="AA29" s="205"/>
      <c r="AB29" s="50"/>
      <c r="AC29" s="3"/>
      <c r="AD29" s="5"/>
      <c r="AE29" s="203"/>
      <c r="AF29" s="204"/>
      <c r="AG29" s="205"/>
      <c r="AH29" s="48"/>
      <c r="AI29" s="3"/>
      <c r="AJ29" s="4"/>
      <c r="AK29" s="203"/>
      <c r="AL29" s="204"/>
      <c r="AM29" s="205"/>
      <c r="AN29" s="50"/>
      <c r="AO29" s="3"/>
      <c r="AP29" s="5"/>
      <c r="AQ29" s="203"/>
      <c r="AR29" s="204"/>
      <c r="AS29" s="205"/>
      <c r="AT29" s="48"/>
      <c r="AU29" s="3"/>
      <c r="AV29" s="4"/>
      <c r="AW29" s="203"/>
      <c r="AX29" s="204"/>
      <c r="AY29" s="205"/>
      <c r="AZ29" s="50"/>
      <c r="BA29" s="3"/>
      <c r="BB29" s="5"/>
      <c r="BC29" s="203"/>
      <c r="BD29" s="204"/>
      <c r="BE29" s="205"/>
      <c r="BF29" s="48"/>
      <c r="BG29" s="3"/>
      <c r="BH29" s="4"/>
      <c r="BI29" s="203"/>
      <c r="BJ29" s="204"/>
      <c r="BK29" s="205"/>
      <c r="BL29" s="50"/>
      <c r="BM29" s="3"/>
      <c r="BN29" s="5"/>
      <c r="BO29" s="203"/>
      <c r="BP29" s="204"/>
      <c r="BQ29" s="205"/>
      <c r="BR29" s="48"/>
      <c r="BS29" s="3"/>
      <c r="BT29" s="4"/>
      <c r="BU29" s="203"/>
      <c r="BV29" s="204"/>
      <c r="BW29" s="205"/>
      <c r="BX29" s="50"/>
      <c r="BY29" s="3"/>
      <c r="BZ29" s="5"/>
      <c r="CA29" s="203"/>
      <c r="CB29" s="204"/>
      <c r="CC29" s="205"/>
      <c r="CD29" s="48"/>
      <c r="CE29" s="3"/>
      <c r="CF29" s="4"/>
      <c r="CG29" s="398"/>
      <c r="CH29" s="383"/>
      <c r="CI29" s="385"/>
    </row>
    <row r="30" spans="1:87" s="368" customFormat="1" ht="13.5" customHeight="1">
      <c r="A30" s="411"/>
      <c r="B30" s="165"/>
      <c r="C30" s="167"/>
      <c r="D30" s="166"/>
      <c r="E30" s="167"/>
      <c r="F30" s="167"/>
      <c r="G30" s="168"/>
      <c r="H30" s="167"/>
      <c r="I30" s="167"/>
      <c r="J30" s="166"/>
      <c r="K30" s="166"/>
      <c r="L30" s="169"/>
      <c r="M30" s="203"/>
      <c r="N30" s="204"/>
      <c r="O30" s="205"/>
      <c r="P30" s="54"/>
      <c r="Q30" s="3"/>
      <c r="R30" s="5"/>
      <c r="S30" s="203"/>
      <c r="T30" s="204"/>
      <c r="U30" s="205"/>
      <c r="V30" s="48"/>
      <c r="W30" s="3"/>
      <c r="X30" s="4"/>
      <c r="Y30" s="203"/>
      <c r="Z30" s="204"/>
      <c r="AA30" s="205"/>
      <c r="AB30" s="50"/>
      <c r="AC30" s="3"/>
      <c r="AD30" s="5"/>
      <c r="AE30" s="203"/>
      <c r="AF30" s="204"/>
      <c r="AG30" s="205"/>
      <c r="AH30" s="48"/>
      <c r="AI30" s="3"/>
      <c r="AJ30" s="4"/>
      <c r="AK30" s="203"/>
      <c r="AL30" s="204"/>
      <c r="AM30" s="205"/>
      <c r="AN30" s="50"/>
      <c r="AO30" s="3"/>
      <c r="AP30" s="5"/>
      <c r="AQ30" s="203"/>
      <c r="AR30" s="204"/>
      <c r="AS30" s="205"/>
      <c r="AT30" s="48"/>
      <c r="AU30" s="3"/>
      <c r="AV30" s="4"/>
      <c r="AW30" s="203"/>
      <c r="AX30" s="204"/>
      <c r="AY30" s="205"/>
      <c r="AZ30" s="50"/>
      <c r="BA30" s="3"/>
      <c r="BB30" s="5"/>
      <c r="BC30" s="203"/>
      <c r="BD30" s="204"/>
      <c r="BE30" s="205"/>
      <c r="BF30" s="48"/>
      <c r="BG30" s="3"/>
      <c r="BH30" s="4"/>
      <c r="BI30" s="203"/>
      <c r="BJ30" s="204"/>
      <c r="BK30" s="205"/>
      <c r="BL30" s="50"/>
      <c r="BM30" s="3"/>
      <c r="BN30" s="5"/>
      <c r="BO30" s="203"/>
      <c r="BP30" s="204"/>
      <c r="BQ30" s="205"/>
      <c r="BR30" s="48"/>
      <c r="BS30" s="3"/>
      <c r="BT30" s="4"/>
      <c r="BU30" s="203"/>
      <c r="BV30" s="204"/>
      <c r="BW30" s="205"/>
      <c r="BX30" s="50"/>
      <c r="BY30" s="3"/>
      <c r="BZ30" s="5"/>
      <c r="CA30" s="203"/>
      <c r="CB30" s="204"/>
      <c r="CC30" s="205"/>
      <c r="CD30" s="48"/>
      <c r="CE30" s="3"/>
      <c r="CF30" s="4"/>
      <c r="CG30" s="398"/>
      <c r="CH30" s="383"/>
      <c r="CI30" s="385"/>
    </row>
    <row r="31" spans="1:87" s="368" customFormat="1" ht="14.25" customHeight="1" thickBot="1">
      <c r="A31" s="411"/>
      <c r="B31" s="170"/>
      <c r="C31" s="171"/>
      <c r="D31" s="171"/>
      <c r="E31" s="171"/>
      <c r="F31" s="171"/>
      <c r="G31" s="172"/>
      <c r="H31" s="171"/>
      <c r="I31" s="171"/>
      <c r="J31" s="173"/>
      <c r="K31" s="173"/>
      <c r="L31" s="174"/>
      <c r="M31" s="209"/>
      <c r="N31" s="210"/>
      <c r="O31" s="211"/>
      <c r="P31" s="55"/>
      <c r="Q31" s="6"/>
      <c r="R31" s="8"/>
      <c r="S31" s="209"/>
      <c r="T31" s="210"/>
      <c r="U31" s="211"/>
      <c r="V31" s="49"/>
      <c r="W31" s="6"/>
      <c r="X31" s="7"/>
      <c r="Y31" s="209"/>
      <c r="Z31" s="210"/>
      <c r="AA31" s="211"/>
      <c r="AB31" s="51"/>
      <c r="AC31" s="6"/>
      <c r="AD31" s="8"/>
      <c r="AE31" s="209"/>
      <c r="AF31" s="210"/>
      <c r="AG31" s="211"/>
      <c r="AH31" s="49"/>
      <c r="AI31" s="6"/>
      <c r="AJ31" s="7"/>
      <c r="AK31" s="209"/>
      <c r="AL31" s="210"/>
      <c r="AM31" s="211"/>
      <c r="AN31" s="51"/>
      <c r="AO31" s="6"/>
      <c r="AP31" s="8"/>
      <c r="AQ31" s="209"/>
      <c r="AR31" s="210"/>
      <c r="AS31" s="211"/>
      <c r="AT31" s="49"/>
      <c r="AU31" s="6"/>
      <c r="AV31" s="7"/>
      <c r="AW31" s="209"/>
      <c r="AX31" s="210"/>
      <c r="AY31" s="211"/>
      <c r="AZ31" s="51"/>
      <c r="BA31" s="6"/>
      <c r="BB31" s="8"/>
      <c r="BC31" s="209"/>
      <c r="BD31" s="210"/>
      <c r="BE31" s="211"/>
      <c r="BF31" s="49"/>
      <c r="BG31" s="6"/>
      <c r="BH31" s="7"/>
      <c r="BI31" s="209"/>
      <c r="BJ31" s="210"/>
      <c r="BK31" s="211"/>
      <c r="BL31" s="51"/>
      <c r="BM31" s="6"/>
      <c r="BN31" s="8"/>
      <c r="BO31" s="209"/>
      <c r="BP31" s="210"/>
      <c r="BQ31" s="211"/>
      <c r="BR31" s="49"/>
      <c r="BS31" s="6"/>
      <c r="BT31" s="7"/>
      <c r="BU31" s="209"/>
      <c r="BV31" s="210"/>
      <c r="BW31" s="211"/>
      <c r="BX31" s="51"/>
      <c r="BY31" s="6"/>
      <c r="BZ31" s="8"/>
      <c r="CA31" s="209"/>
      <c r="CB31" s="210"/>
      <c r="CC31" s="211"/>
      <c r="CD31" s="49"/>
      <c r="CE31" s="6"/>
      <c r="CF31" s="7"/>
      <c r="CG31" s="399"/>
      <c r="CH31" s="387"/>
      <c r="CI31" s="388"/>
    </row>
    <row r="32" spans="1:87" ht="14.25" thickBot="1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9"/>
      <c r="Q32" s="20"/>
      <c r="R32" s="20"/>
      <c r="S32" s="18"/>
      <c r="T32" s="18"/>
      <c r="U32" s="18"/>
      <c r="V32" s="20"/>
      <c r="W32" s="20"/>
      <c r="X32" s="20"/>
      <c r="Y32" s="18"/>
      <c r="Z32" s="18"/>
      <c r="AA32" s="18"/>
      <c r="AB32" s="20"/>
      <c r="AC32" s="20"/>
      <c r="AD32" s="20"/>
      <c r="AE32" s="18"/>
      <c r="AF32" s="18"/>
      <c r="AG32" s="18"/>
      <c r="AH32" s="20"/>
      <c r="AI32" s="20"/>
      <c r="AJ32" s="20"/>
      <c r="AK32" s="18"/>
      <c r="AL32" s="18"/>
      <c r="AM32" s="18"/>
      <c r="AN32" s="20"/>
      <c r="AO32" s="20"/>
      <c r="AP32" s="20"/>
      <c r="AQ32" s="18"/>
      <c r="AR32" s="18"/>
      <c r="AS32" s="18"/>
      <c r="AT32" s="20"/>
      <c r="AU32" s="20"/>
      <c r="AV32" s="20"/>
      <c r="AW32" s="18"/>
      <c r="AX32" s="18"/>
      <c r="AY32" s="18"/>
      <c r="AZ32" s="20"/>
      <c r="BA32" s="20"/>
      <c r="BB32" s="20"/>
      <c r="BC32" s="18"/>
      <c r="BD32" s="18"/>
      <c r="BE32" s="18"/>
      <c r="BF32" s="20"/>
      <c r="BG32" s="20"/>
      <c r="BH32" s="20"/>
      <c r="BI32" s="18"/>
      <c r="BJ32" s="18"/>
      <c r="BK32" s="18"/>
      <c r="BL32" s="20"/>
      <c r="BM32" s="20"/>
      <c r="BN32" s="20"/>
      <c r="BO32" s="18"/>
      <c r="BP32" s="18"/>
      <c r="BQ32" s="18"/>
      <c r="BR32" s="20"/>
      <c r="BS32" s="20"/>
      <c r="BT32" s="20"/>
      <c r="BU32" s="18"/>
      <c r="BV32" s="18"/>
      <c r="BW32" s="18"/>
      <c r="BX32" s="20"/>
      <c r="BY32" s="20"/>
      <c r="BZ32" s="20"/>
      <c r="CA32" s="18"/>
      <c r="CB32" s="18"/>
      <c r="CC32" s="18"/>
      <c r="CD32" s="20"/>
      <c r="CE32" s="20"/>
      <c r="CF32" s="20"/>
    </row>
    <row r="33" spans="2:87" ht="14.25" thickBot="1">
      <c r="B33" s="18"/>
      <c r="L33" s="47" t="s">
        <v>24</v>
      </c>
      <c r="M33" s="206"/>
      <c r="N33" s="207"/>
      <c r="O33" s="208"/>
      <c r="P33" s="405">
        <f>SUM(P9:P31)</f>
        <v>0</v>
      </c>
      <c r="Q33" s="406">
        <f>SUM(Q9:Q31)</f>
        <v>0</v>
      </c>
      <c r="R33" s="407">
        <f>SUM(R9:R31)</f>
        <v>0</v>
      </c>
      <c r="S33" s="206"/>
      <c r="T33" s="207"/>
      <c r="U33" s="208"/>
      <c r="V33" s="405">
        <f>SUM(V9:V31)</f>
        <v>0</v>
      </c>
      <c r="W33" s="406">
        <f>SUM(W9:W31)</f>
        <v>0</v>
      </c>
      <c r="X33" s="408">
        <f>SUM(X9:X31)</f>
        <v>0</v>
      </c>
      <c r="Y33" s="206"/>
      <c r="Z33" s="207"/>
      <c r="AA33" s="208"/>
      <c r="AB33" s="405">
        <f>SUM(AB9:AB31)</f>
        <v>0</v>
      </c>
      <c r="AC33" s="406">
        <f>SUM(AC9:AC31)</f>
        <v>0</v>
      </c>
      <c r="AD33" s="408">
        <f>SUM(AD9:AD31)</f>
        <v>0</v>
      </c>
      <c r="AE33" s="206"/>
      <c r="AF33" s="207"/>
      <c r="AG33" s="208"/>
      <c r="AH33" s="405">
        <f>SUM(AH9:AH31)</f>
        <v>0</v>
      </c>
      <c r="AI33" s="406">
        <f>SUM(AI9:AI31)</f>
        <v>0</v>
      </c>
      <c r="AJ33" s="408">
        <f>SUM(AJ9:AJ31)</f>
        <v>0</v>
      </c>
      <c r="AK33" s="206"/>
      <c r="AL33" s="207"/>
      <c r="AM33" s="208"/>
      <c r="AN33" s="409">
        <f>SUM(AN9:AN31)</f>
        <v>0</v>
      </c>
      <c r="AO33" s="406">
        <f>SUM(AO9:AO31)</f>
        <v>0</v>
      </c>
      <c r="AP33" s="407">
        <f>SUM(AP9:AP31)</f>
        <v>0</v>
      </c>
      <c r="AQ33" s="206"/>
      <c r="AR33" s="207"/>
      <c r="AS33" s="208"/>
      <c r="AT33" s="405">
        <f>SUM(AT9:AT31)</f>
        <v>0</v>
      </c>
      <c r="AU33" s="406">
        <f>SUM(AU9:AU31)</f>
        <v>0</v>
      </c>
      <c r="AV33" s="408">
        <f>SUM(AV9:AV31)</f>
        <v>0</v>
      </c>
      <c r="AW33" s="206"/>
      <c r="AX33" s="207"/>
      <c r="AY33" s="208"/>
      <c r="AZ33" s="409">
        <f>SUM(AZ9:AZ31)</f>
        <v>0</v>
      </c>
      <c r="BA33" s="406">
        <f>SUM(BA9:BA31)</f>
        <v>0</v>
      </c>
      <c r="BB33" s="407">
        <f>SUM(BB9:BB31)</f>
        <v>0</v>
      </c>
      <c r="BC33" s="206"/>
      <c r="BD33" s="207"/>
      <c r="BE33" s="208"/>
      <c r="BF33" s="405">
        <f>SUM(BF9:BF31)</f>
        <v>0</v>
      </c>
      <c r="BG33" s="406">
        <f>SUM(BG9:BG31)</f>
        <v>0</v>
      </c>
      <c r="BH33" s="408">
        <f>SUM(BH9:BH31)</f>
        <v>0</v>
      </c>
      <c r="BI33" s="206"/>
      <c r="BJ33" s="207"/>
      <c r="BK33" s="208"/>
      <c r="BL33" s="409">
        <f>SUM(BL9:BL31)</f>
        <v>0</v>
      </c>
      <c r="BM33" s="406">
        <f>SUM(BM9:BM31)</f>
        <v>0</v>
      </c>
      <c r="BN33" s="407">
        <f>SUM(BN9:BN31)</f>
        <v>0</v>
      </c>
      <c r="BO33" s="206"/>
      <c r="BP33" s="207"/>
      <c r="BQ33" s="208"/>
      <c r="BR33" s="405">
        <f>SUM(BR9:BR31)</f>
        <v>0</v>
      </c>
      <c r="BS33" s="406">
        <f>SUM(BS9:BS31)</f>
        <v>0</v>
      </c>
      <c r="BT33" s="408">
        <f>SUM(BT9:BT31)</f>
        <v>0</v>
      </c>
      <c r="BU33" s="206"/>
      <c r="BV33" s="207"/>
      <c r="BW33" s="208"/>
      <c r="BX33" s="409">
        <f>SUM(BX9:BX31)</f>
        <v>0</v>
      </c>
      <c r="BY33" s="406">
        <f>SUM(BY9:BY31)</f>
        <v>0</v>
      </c>
      <c r="BZ33" s="407">
        <f>SUM(BZ9:BZ31)</f>
        <v>0</v>
      </c>
      <c r="CA33" s="206"/>
      <c r="CB33" s="207"/>
      <c r="CC33" s="208"/>
      <c r="CD33" s="405">
        <f t="shared" ref="CD33:CI33" si="1">SUM(CD9:CD31)</f>
        <v>0</v>
      </c>
      <c r="CE33" s="406">
        <f t="shared" si="1"/>
        <v>0</v>
      </c>
      <c r="CF33" s="407">
        <f t="shared" si="1"/>
        <v>0</v>
      </c>
      <c r="CG33" s="410">
        <f t="shared" si="1"/>
        <v>0</v>
      </c>
      <c r="CH33" s="406">
        <f t="shared" si="1"/>
        <v>0</v>
      </c>
      <c r="CI33" s="408">
        <f t="shared" si="1"/>
        <v>0</v>
      </c>
    </row>
  </sheetData>
  <dataConsolidate/>
  <mergeCells count="29">
    <mergeCell ref="BU6:BW7"/>
    <mergeCell ref="BX6:BZ7"/>
    <mergeCell ref="CA6:CC7"/>
    <mergeCell ref="CD6:CF7"/>
    <mergeCell ref="CG6:CI7"/>
    <mergeCell ref="BC6:BE7"/>
    <mergeCell ref="BF6:BH7"/>
    <mergeCell ref="BI6:BK7"/>
    <mergeCell ref="BL6:BN7"/>
    <mergeCell ref="BO6:BQ7"/>
    <mergeCell ref="BR6:BT7"/>
    <mergeCell ref="AK6:AM7"/>
    <mergeCell ref="AN6:AP7"/>
    <mergeCell ref="AQ6:AS7"/>
    <mergeCell ref="AT6:AV7"/>
    <mergeCell ref="AW6:AY7"/>
    <mergeCell ref="AZ6:BB7"/>
    <mergeCell ref="S6:U7"/>
    <mergeCell ref="V6:X7"/>
    <mergeCell ref="Y6:AA7"/>
    <mergeCell ref="AB6:AD7"/>
    <mergeCell ref="AE6:AG7"/>
    <mergeCell ref="AH6:AJ7"/>
    <mergeCell ref="D2:F2"/>
    <mergeCell ref="I2:J2"/>
    <mergeCell ref="D3:F3"/>
    <mergeCell ref="I3:J3"/>
    <mergeCell ref="M6:O7"/>
    <mergeCell ref="P6:R7"/>
  </mergeCells>
  <phoneticPr fontId="9"/>
  <pageMargins left="0.7" right="0.7" top="0.75" bottom="0.75" header="0.3" footer="0.3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45"/>
  <sheetViews>
    <sheetView showGridLines="0" zoomScale="85" zoomScaleNormal="85" workbookViewId="0">
      <selection activeCell="E25" sqref="E25"/>
    </sheetView>
  </sheetViews>
  <sheetFormatPr defaultRowHeight="13.5"/>
  <cols>
    <col min="1" max="1" width="3.125" style="14" customWidth="1"/>
    <col min="2" max="2" width="3.625" style="14" customWidth="1"/>
    <col min="3" max="3" width="10.625" style="14" customWidth="1"/>
    <col min="4" max="4" width="4.25" style="16" customWidth="1"/>
    <col min="5" max="5" width="5.875" style="14" customWidth="1"/>
    <col min="6" max="6" width="7.375" style="14" customWidth="1"/>
    <col min="7" max="7" width="9.375" style="14" customWidth="1"/>
    <col min="8" max="8" width="20.625" style="14" customWidth="1"/>
    <col min="9" max="9" width="10.75" style="14" customWidth="1"/>
    <col min="10" max="11" width="10.625" style="14" customWidth="1"/>
    <col min="12" max="12" width="30" style="14" customWidth="1"/>
    <col min="13" max="15" width="9.25" style="14" customWidth="1"/>
    <col min="16" max="16" width="9" style="14"/>
    <col min="17" max="17" width="12.75" style="14" customWidth="1"/>
    <col min="18" max="18" width="11.875" style="14" customWidth="1"/>
    <col min="19" max="21" width="9.25" style="14" customWidth="1"/>
    <col min="22" max="22" width="9" style="14"/>
    <col min="23" max="23" width="12.25" style="14" customWidth="1"/>
    <col min="24" max="24" width="11.875" style="14" customWidth="1"/>
    <col min="25" max="27" width="9.25" style="14" customWidth="1"/>
    <col min="28" max="28" width="9" style="14" customWidth="1"/>
    <col min="29" max="29" width="12.5" style="14" customWidth="1"/>
    <col min="30" max="30" width="11.875" style="14" customWidth="1"/>
    <col min="31" max="33" width="9.25" style="14" customWidth="1"/>
    <col min="34" max="34" width="9" style="14" customWidth="1"/>
    <col min="35" max="35" width="12.375" style="14" customWidth="1"/>
    <col min="36" max="36" width="12.625" style="14" customWidth="1"/>
    <col min="37" max="39" width="9.25" style="14" customWidth="1"/>
    <col min="40" max="40" width="9" style="14" customWidth="1"/>
    <col min="41" max="42" width="12" style="14" customWidth="1"/>
    <col min="43" max="45" width="9.25" style="14" customWidth="1"/>
    <col min="46" max="46" width="9" style="14" customWidth="1"/>
    <col min="47" max="48" width="12.75" style="14" customWidth="1"/>
    <col min="49" max="51" width="9.25" style="14" customWidth="1"/>
    <col min="52" max="52" width="9" style="14" customWidth="1"/>
    <col min="53" max="54" width="11.625" style="14" customWidth="1"/>
    <col min="55" max="57" width="9.25" style="14" customWidth="1"/>
    <col min="58" max="58" width="9" style="14" customWidth="1"/>
    <col min="59" max="60" width="11.625" style="14" customWidth="1"/>
    <col min="61" max="63" width="9.25" style="14" customWidth="1"/>
    <col min="64" max="64" width="9" style="14" customWidth="1"/>
    <col min="65" max="66" width="11.625" style="14" customWidth="1"/>
    <col min="67" max="69" width="9.25" style="14" customWidth="1"/>
    <col min="70" max="70" width="9" style="14" customWidth="1"/>
    <col min="71" max="72" width="12.25" style="14" customWidth="1"/>
    <col min="73" max="75" width="9.25" style="14" customWidth="1"/>
    <col min="76" max="76" width="9" style="14" customWidth="1"/>
    <col min="77" max="78" width="12.25" style="14" customWidth="1"/>
    <col min="79" max="81" width="9.25" style="14" customWidth="1"/>
    <col min="82" max="82" width="9" style="14"/>
    <col min="83" max="84" width="12.25" style="14" customWidth="1"/>
    <col min="85" max="85" width="12.375" style="14" customWidth="1"/>
    <col min="86" max="86" width="10.375" style="14" customWidth="1"/>
    <col min="87" max="87" width="13.375" style="14" customWidth="1"/>
    <col min="88" max="16384" width="9" style="14"/>
  </cols>
  <sheetData>
    <row r="1" spans="2:88" ht="14.25" thickBot="1">
      <c r="G1" s="14" t="s">
        <v>65</v>
      </c>
      <c r="P1" s="1"/>
    </row>
    <row r="2" spans="2:88" ht="14.25">
      <c r="C2" s="221" t="s">
        <v>50</v>
      </c>
      <c r="D2" s="335">
        <v>2018</v>
      </c>
      <c r="E2" s="336"/>
      <c r="F2" s="336"/>
      <c r="G2" s="222" t="s">
        <v>6</v>
      </c>
      <c r="H2" s="222" t="s">
        <v>7</v>
      </c>
      <c r="I2" s="341" t="s">
        <v>8</v>
      </c>
      <c r="J2" s="342"/>
      <c r="K2" s="42"/>
      <c r="P2" s="44"/>
      <c r="Q2" s="44"/>
      <c r="R2" s="44"/>
      <c r="AO2" s="13"/>
      <c r="CE2" s="13"/>
    </row>
    <row r="3" spans="2:88" ht="15" thickBot="1">
      <c r="C3" s="223"/>
      <c r="D3" s="337" t="s">
        <v>11</v>
      </c>
      <c r="E3" s="338"/>
      <c r="F3" s="338"/>
      <c r="G3" s="218">
        <f>SUM(P5,V5,AB5,AH5,AN5,AT5,AZ5,BF5,BL5,BR5,BX5,CD5)</f>
        <v>52</v>
      </c>
      <c r="H3" s="218">
        <f>SUM(Q5,W5,AC5,AI5,AO5,AU5,BA5,BG5,BM5,BS5,BY5,CE5)</f>
        <v>2728000</v>
      </c>
      <c r="I3" s="339">
        <f>SUM(R5,X5,AD5,AJ5,AP5,AV5,BB5,BH5,BN5,BT5,BZ5,CF5)</f>
        <v>1237000</v>
      </c>
      <c r="J3" s="340"/>
      <c r="K3" s="43"/>
      <c r="P3" s="1" t="s">
        <v>67</v>
      </c>
      <c r="W3" s="177"/>
      <c r="X3" s="177"/>
      <c r="AB3" s="177"/>
      <c r="AC3" s="177"/>
      <c r="AD3" s="177"/>
      <c r="AH3" s="177"/>
      <c r="AI3" s="177"/>
      <c r="AJ3" s="177"/>
      <c r="AN3" s="177"/>
      <c r="AO3" s="177"/>
      <c r="AP3" s="177"/>
      <c r="AT3" s="177"/>
      <c r="AU3" s="177"/>
      <c r="AV3" s="177"/>
      <c r="AZ3" s="177"/>
      <c r="BA3" s="177"/>
      <c r="BB3" s="177"/>
      <c r="BF3" s="177"/>
      <c r="BG3" s="177"/>
      <c r="BH3" s="177"/>
      <c r="BL3" s="177"/>
      <c r="BM3" s="177"/>
      <c r="BN3" s="177"/>
      <c r="BR3" s="177"/>
      <c r="BS3" s="177"/>
      <c r="BT3" s="177"/>
      <c r="BX3" s="177"/>
      <c r="BY3" s="177"/>
      <c r="BZ3" s="177"/>
      <c r="CD3" s="177"/>
      <c r="CE3" s="177"/>
      <c r="CF3" s="177"/>
      <c r="CG3" s="177"/>
      <c r="CH3" s="177"/>
      <c r="CI3" s="177"/>
      <c r="CJ3" s="177"/>
    </row>
    <row r="4" spans="2:88" ht="10.5" customHeight="1" thickBot="1">
      <c r="C4" s="178"/>
      <c r="D4" s="179"/>
      <c r="E4" s="180"/>
      <c r="F4" s="180"/>
      <c r="G4" s="219"/>
      <c r="H4" s="219"/>
      <c r="I4" s="219"/>
      <c r="J4" s="220"/>
      <c r="K4" s="43"/>
      <c r="L4" s="59"/>
      <c r="M4" s="59"/>
      <c r="N4" s="59"/>
      <c r="O4" s="59"/>
      <c r="P4" s="44" t="s">
        <v>66</v>
      </c>
      <c r="Q4" s="44" t="s">
        <v>66</v>
      </c>
      <c r="R4" s="44" t="s">
        <v>66</v>
      </c>
      <c r="S4" s="59"/>
      <c r="T4" s="59"/>
      <c r="U4" s="59"/>
      <c r="W4" s="175"/>
      <c r="X4" s="175"/>
      <c r="Y4" s="59"/>
      <c r="Z4" s="59"/>
      <c r="AA4" s="59"/>
      <c r="AB4" s="176"/>
      <c r="AC4" s="176"/>
      <c r="AD4" s="176"/>
      <c r="AE4" s="59"/>
      <c r="AF4" s="59"/>
      <c r="AG4" s="59"/>
      <c r="AH4" s="176"/>
      <c r="AI4" s="176"/>
      <c r="AJ4" s="176"/>
      <c r="AK4" s="59"/>
      <c r="AL4" s="59"/>
      <c r="AM4" s="59"/>
      <c r="AN4" s="176"/>
      <c r="AO4" s="176"/>
      <c r="AP4" s="176"/>
      <c r="AQ4" s="59"/>
      <c r="AR4" s="59"/>
      <c r="AS4" s="59"/>
      <c r="AT4" s="176"/>
      <c r="AU4" s="176"/>
      <c r="AV4" s="176"/>
      <c r="AW4" s="59"/>
      <c r="AX4" s="59"/>
      <c r="AY4" s="59"/>
      <c r="AZ4" s="176"/>
      <c r="BA4" s="176"/>
      <c r="BB4" s="176"/>
      <c r="BC4" s="59"/>
      <c r="BD4" s="59"/>
      <c r="BE4" s="59"/>
      <c r="BF4" s="176"/>
      <c r="BG4" s="176"/>
      <c r="BH4" s="176"/>
      <c r="BI4" s="59"/>
      <c r="BJ4" s="59"/>
      <c r="BK4" s="59"/>
      <c r="BL4" s="176"/>
      <c r="BM4" s="176"/>
      <c r="BN4" s="176"/>
      <c r="BO4" s="59"/>
      <c r="BP4" s="59"/>
      <c r="BQ4" s="59"/>
      <c r="BR4" s="2" t="s">
        <v>45</v>
      </c>
      <c r="BS4" s="176"/>
      <c r="BT4" s="176"/>
      <c r="BU4" s="59"/>
      <c r="BV4" s="59"/>
      <c r="BW4" s="59"/>
      <c r="BX4" s="176"/>
      <c r="BY4" s="176"/>
      <c r="BZ4" s="176"/>
      <c r="CA4" s="59"/>
      <c r="CB4" s="59"/>
      <c r="CC4" s="59"/>
      <c r="CD4" s="176"/>
      <c r="CE4" s="176"/>
      <c r="CF4" s="176"/>
      <c r="CG4" s="177"/>
      <c r="CH4" s="177"/>
      <c r="CI4" s="177"/>
      <c r="CJ4" s="177"/>
    </row>
    <row r="5" spans="2:88" ht="14.25" thickBot="1">
      <c r="C5" s="178"/>
      <c r="D5" s="179"/>
      <c r="E5" s="180"/>
      <c r="F5" s="180"/>
      <c r="G5" s="181"/>
      <c r="H5" s="181"/>
      <c r="I5" s="181"/>
      <c r="J5" s="182"/>
      <c r="K5" s="43"/>
      <c r="L5" s="59" t="s">
        <v>10</v>
      </c>
      <c r="M5" s="59"/>
      <c r="N5" s="59"/>
      <c r="O5" s="59"/>
      <c r="P5" s="45">
        <f>SUBTOTAL(9,P9:P43)</f>
        <v>4</v>
      </c>
      <c r="Q5" s="9">
        <f>SUBTOTAL(9,Q9:Q43)</f>
        <v>215000</v>
      </c>
      <c r="R5" s="10">
        <f>SUBTOTAL(9,R9:R43)</f>
        <v>73000</v>
      </c>
      <c r="S5" s="59"/>
      <c r="T5" s="59"/>
      <c r="U5" s="59"/>
      <c r="V5" s="212">
        <f>SUBTOTAL(9,V9:V43)</f>
        <v>5</v>
      </c>
      <c r="W5" s="213">
        <f>SUBTOTAL(9,W9:W43)</f>
        <v>168000</v>
      </c>
      <c r="X5" s="214">
        <f>SUBTOTAL(9,X9:X43)</f>
        <v>72000</v>
      </c>
      <c r="Y5" s="59"/>
      <c r="Z5" s="59"/>
      <c r="AA5" s="59"/>
      <c r="AB5" s="46">
        <f>SUBTOTAL(9,AB9:AB43)</f>
        <v>4</v>
      </c>
      <c r="AC5" s="11">
        <f>SUBTOTAL(9,AC9:AC43)</f>
        <v>152000</v>
      </c>
      <c r="AD5" s="12">
        <f>SUBTOTAL(9,AD9:AD43)</f>
        <v>84000</v>
      </c>
      <c r="AE5" s="59"/>
      <c r="AF5" s="59"/>
      <c r="AG5" s="59"/>
      <c r="AH5" s="215">
        <f>SUBTOTAL(9,AH9:AH43)</f>
        <v>5</v>
      </c>
      <c r="AI5" s="216">
        <f>SUBTOTAL(9,AI9:AI43)</f>
        <v>190000</v>
      </c>
      <c r="AJ5" s="217">
        <f>SUBTOTAL(9,AJ9:AJ43)</f>
        <v>95000</v>
      </c>
      <c r="AK5" s="59"/>
      <c r="AL5" s="59"/>
      <c r="AM5" s="59"/>
      <c r="AN5" s="46">
        <f>SUBTOTAL(9,AN9:AN43)</f>
        <v>4</v>
      </c>
      <c r="AO5" s="11">
        <f>SUBTOTAL(9,AO9:AO43)</f>
        <v>152000</v>
      </c>
      <c r="AP5" s="12">
        <f>SUBTOTAL(9,AP9:AP43)</f>
        <v>84000</v>
      </c>
      <c r="AQ5" s="59"/>
      <c r="AR5" s="59"/>
      <c r="AS5" s="59"/>
      <c r="AT5" s="215">
        <f>SUBTOTAL(9,AT9:AT43)</f>
        <v>4</v>
      </c>
      <c r="AU5" s="216">
        <f>SUBTOTAL(9,AU9:AU43)</f>
        <v>152000</v>
      </c>
      <c r="AV5" s="217">
        <f>SUBTOTAL(9,AV9:AV43)</f>
        <v>76000</v>
      </c>
      <c r="AW5" s="59"/>
      <c r="AX5" s="59"/>
      <c r="AY5" s="59"/>
      <c r="AZ5" s="46">
        <f>SUBTOTAL(9,AZ9:AZ43)</f>
        <v>5</v>
      </c>
      <c r="BA5" s="11">
        <f>SUBTOTAL(9,BA9:BA43)</f>
        <v>324000</v>
      </c>
      <c r="BB5" s="12">
        <f>SUBTOTAL(9,BB9:BB43)</f>
        <v>106000</v>
      </c>
      <c r="BC5" s="59"/>
      <c r="BD5" s="59"/>
      <c r="BE5" s="59"/>
      <c r="BF5" s="215">
        <f>SUBTOTAL(9,BF9:BF43)</f>
        <v>4</v>
      </c>
      <c r="BG5" s="216">
        <f>SUBTOTAL(9,BG9:BG43)</f>
        <v>152000</v>
      </c>
      <c r="BH5" s="217">
        <f>SUBTOTAL(9,BH9:BH43)</f>
        <v>76000</v>
      </c>
      <c r="BI5" s="59"/>
      <c r="BJ5" s="59"/>
      <c r="BK5" s="59"/>
      <c r="BL5" s="46">
        <f>SUBTOTAL(9,BL9:BL43)</f>
        <v>3</v>
      </c>
      <c r="BM5" s="11">
        <f>SUBTOTAL(9,BM9:BM43)</f>
        <v>404000</v>
      </c>
      <c r="BN5" s="12">
        <f>SUBTOTAL(9,BN9:BN43)</f>
        <v>262000</v>
      </c>
      <c r="BO5" s="59"/>
      <c r="BP5" s="59"/>
      <c r="BQ5" s="59"/>
      <c r="BR5" s="215">
        <f>SUBTOTAL(9,BR9:BR43)</f>
        <v>4</v>
      </c>
      <c r="BS5" s="216">
        <f>SUBTOTAL(9,BS9:BS43)</f>
        <v>239000</v>
      </c>
      <c r="BT5" s="217">
        <f>SUBTOTAL(9,BT9:BT43)</f>
        <v>114000</v>
      </c>
      <c r="BU5" s="59"/>
      <c r="BV5" s="59"/>
      <c r="BW5" s="59"/>
      <c r="BX5" s="46">
        <f>SUBTOTAL(9,BX9:BX43)</f>
        <v>4</v>
      </c>
      <c r="BY5" s="11">
        <f>SUBTOTAL(9,BY9:BY43)</f>
        <v>152000</v>
      </c>
      <c r="BZ5" s="12">
        <f>SUBTOTAL(9,BZ9:BZ43)</f>
        <v>68000</v>
      </c>
      <c r="CA5" s="59"/>
      <c r="CB5" s="59"/>
      <c r="CC5" s="59"/>
      <c r="CD5" s="215">
        <f>SUBTOTAL(9,CD9:CD43)</f>
        <v>6</v>
      </c>
      <c r="CE5" s="216">
        <f>SUBTOTAL(9,CE9:CE43)</f>
        <v>428000</v>
      </c>
      <c r="CF5" s="217">
        <f>SUBTOTAL(9,CF9:CF43)</f>
        <v>127000</v>
      </c>
    </row>
    <row r="6" spans="2:88">
      <c r="L6" s="14" t="s">
        <v>232</v>
      </c>
      <c r="M6" s="309" t="s">
        <v>183</v>
      </c>
      <c r="N6" s="310"/>
      <c r="O6" s="311"/>
      <c r="P6" s="321" t="s">
        <v>68</v>
      </c>
      <c r="Q6" s="322"/>
      <c r="R6" s="323"/>
      <c r="S6" s="309" t="s">
        <v>184</v>
      </c>
      <c r="T6" s="310"/>
      <c r="U6" s="311"/>
      <c r="V6" s="327" t="s">
        <v>76</v>
      </c>
      <c r="W6" s="328"/>
      <c r="X6" s="329"/>
      <c r="Y6" s="309" t="s">
        <v>185</v>
      </c>
      <c r="Z6" s="310"/>
      <c r="AA6" s="311"/>
      <c r="AB6" s="321" t="s">
        <v>75</v>
      </c>
      <c r="AC6" s="322"/>
      <c r="AD6" s="323"/>
      <c r="AE6" s="309" t="s">
        <v>186</v>
      </c>
      <c r="AF6" s="310"/>
      <c r="AG6" s="311"/>
      <c r="AH6" s="327" t="s">
        <v>74</v>
      </c>
      <c r="AI6" s="328"/>
      <c r="AJ6" s="329"/>
      <c r="AK6" s="309" t="s">
        <v>187</v>
      </c>
      <c r="AL6" s="310"/>
      <c r="AM6" s="311"/>
      <c r="AN6" s="321" t="s">
        <v>73</v>
      </c>
      <c r="AO6" s="322"/>
      <c r="AP6" s="323"/>
      <c r="AQ6" s="309" t="s">
        <v>188</v>
      </c>
      <c r="AR6" s="310"/>
      <c r="AS6" s="311"/>
      <c r="AT6" s="327" t="s">
        <v>72</v>
      </c>
      <c r="AU6" s="328"/>
      <c r="AV6" s="329"/>
      <c r="AW6" s="309" t="s">
        <v>189</v>
      </c>
      <c r="AX6" s="310"/>
      <c r="AY6" s="311"/>
      <c r="AZ6" s="321" t="s">
        <v>71</v>
      </c>
      <c r="BA6" s="322"/>
      <c r="BB6" s="323"/>
      <c r="BC6" s="309" t="s">
        <v>190</v>
      </c>
      <c r="BD6" s="310"/>
      <c r="BE6" s="311"/>
      <c r="BF6" s="327" t="s">
        <v>70</v>
      </c>
      <c r="BG6" s="328"/>
      <c r="BH6" s="329"/>
      <c r="BI6" s="309" t="s">
        <v>191</v>
      </c>
      <c r="BJ6" s="310"/>
      <c r="BK6" s="311"/>
      <c r="BL6" s="321" t="s">
        <v>69</v>
      </c>
      <c r="BM6" s="322"/>
      <c r="BN6" s="323"/>
      <c r="BO6" s="309" t="s">
        <v>192</v>
      </c>
      <c r="BP6" s="310"/>
      <c r="BQ6" s="311"/>
      <c r="BR6" s="327" t="s">
        <v>77</v>
      </c>
      <c r="BS6" s="328"/>
      <c r="BT6" s="329"/>
      <c r="BU6" s="309" t="s">
        <v>193</v>
      </c>
      <c r="BV6" s="310"/>
      <c r="BW6" s="311"/>
      <c r="BX6" s="321" t="s">
        <v>78</v>
      </c>
      <c r="BY6" s="322"/>
      <c r="BZ6" s="323"/>
      <c r="CA6" s="309" t="s">
        <v>194</v>
      </c>
      <c r="CB6" s="310"/>
      <c r="CC6" s="311"/>
      <c r="CD6" s="327" t="s">
        <v>79</v>
      </c>
      <c r="CE6" s="328"/>
      <c r="CF6" s="333"/>
      <c r="CG6" s="315" t="s">
        <v>80</v>
      </c>
      <c r="CH6" s="316"/>
      <c r="CI6" s="317"/>
    </row>
    <row r="7" spans="2:88" ht="14.25" thickBot="1">
      <c r="G7" s="17" t="s">
        <v>30</v>
      </c>
      <c r="M7" s="312"/>
      <c r="N7" s="313"/>
      <c r="O7" s="314"/>
      <c r="P7" s="324"/>
      <c r="Q7" s="325"/>
      <c r="R7" s="326"/>
      <c r="S7" s="312"/>
      <c r="T7" s="313"/>
      <c r="U7" s="314"/>
      <c r="V7" s="330"/>
      <c r="W7" s="331"/>
      <c r="X7" s="332"/>
      <c r="Y7" s="312"/>
      <c r="Z7" s="313"/>
      <c r="AA7" s="314"/>
      <c r="AB7" s="324"/>
      <c r="AC7" s="325"/>
      <c r="AD7" s="326"/>
      <c r="AE7" s="312"/>
      <c r="AF7" s="313"/>
      <c r="AG7" s="314"/>
      <c r="AH7" s="330"/>
      <c r="AI7" s="331"/>
      <c r="AJ7" s="332"/>
      <c r="AK7" s="312"/>
      <c r="AL7" s="313"/>
      <c r="AM7" s="314"/>
      <c r="AN7" s="324"/>
      <c r="AO7" s="325"/>
      <c r="AP7" s="326"/>
      <c r="AQ7" s="312"/>
      <c r="AR7" s="313"/>
      <c r="AS7" s="314"/>
      <c r="AT7" s="330"/>
      <c r="AU7" s="331"/>
      <c r="AV7" s="332"/>
      <c r="AW7" s="312"/>
      <c r="AX7" s="313"/>
      <c r="AY7" s="314"/>
      <c r="AZ7" s="324"/>
      <c r="BA7" s="325"/>
      <c r="BB7" s="326"/>
      <c r="BC7" s="312"/>
      <c r="BD7" s="313"/>
      <c r="BE7" s="314"/>
      <c r="BF7" s="330"/>
      <c r="BG7" s="331"/>
      <c r="BH7" s="332"/>
      <c r="BI7" s="312"/>
      <c r="BJ7" s="313"/>
      <c r="BK7" s="314"/>
      <c r="BL7" s="324"/>
      <c r="BM7" s="325"/>
      <c r="BN7" s="326"/>
      <c r="BO7" s="312"/>
      <c r="BP7" s="313"/>
      <c r="BQ7" s="314"/>
      <c r="BR7" s="330"/>
      <c r="BS7" s="331"/>
      <c r="BT7" s="332"/>
      <c r="BU7" s="312"/>
      <c r="BV7" s="313"/>
      <c r="BW7" s="314"/>
      <c r="BX7" s="324"/>
      <c r="BY7" s="325"/>
      <c r="BZ7" s="326"/>
      <c r="CA7" s="312"/>
      <c r="CB7" s="313"/>
      <c r="CC7" s="314"/>
      <c r="CD7" s="330"/>
      <c r="CE7" s="331"/>
      <c r="CF7" s="334"/>
      <c r="CG7" s="318"/>
      <c r="CH7" s="319"/>
      <c r="CI7" s="320"/>
    </row>
    <row r="8" spans="2:88" s="15" customFormat="1" ht="54">
      <c r="B8" s="68" t="s">
        <v>49</v>
      </c>
      <c r="C8" s="70" t="s">
        <v>50</v>
      </c>
      <c r="D8" s="69" t="s">
        <v>21</v>
      </c>
      <c r="E8" s="70" t="s">
        <v>20</v>
      </c>
      <c r="F8" s="70" t="s">
        <v>22</v>
      </c>
      <c r="G8" s="70" t="s">
        <v>19</v>
      </c>
      <c r="H8" s="71" t="s">
        <v>9</v>
      </c>
      <c r="I8" s="70" t="s">
        <v>46</v>
      </c>
      <c r="J8" s="82" t="s">
        <v>84</v>
      </c>
      <c r="K8" s="70" t="s">
        <v>18</v>
      </c>
      <c r="L8" s="72" t="s">
        <v>23</v>
      </c>
      <c r="M8" s="202" t="s">
        <v>195</v>
      </c>
      <c r="N8" s="200" t="s">
        <v>196</v>
      </c>
      <c r="O8" s="201" t="s">
        <v>197</v>
      </c>
      <c r="P8" s="73" t="s">
        <v>6</v>
      </c>
      <c r="Q8" s="71" t="s">
        <v>7</v>
      </c>
      <c r="R8" s="72" t="s">
        <v>8</v>
      </c>
      <c r="S8" s="202" t="s">
        <v>195</v>
      </c>
      <c r="T8" s="200" t="s">
        <v>196</v>
      </c>
      <c r="U8" s="201" t="s">
        <v>197</v>
      </c>
      <c r="V8" s="73" t="s">
        <v>6</v>
      </c>
      <c r="W8" s="71" t="s">
        <v>7</v>
      </c>
      <c r="X8" s="74" t="s">
        <v>8</v>
      </c>
      <c r="Y8" s="202" t="s">
        <v>195</v>
      </c>
      <c r="Z8" s="200" t="s">
        <v>196</v>
      </c>
      <c r="AA8" s="201" t="s">
        <v>197</v>
      </c>
      <c r="AB8" s="75" t="s">
        <v>6</v>
      </c>
      <c r="AC8" s="71" t="s">
        <v>7</v>
      </c>
      <c r="AD8" s="72" t="s">
        <v>8</v>
      </c>
      <c r="AE8" s="202" t="s">
        <v>195</v>
      </c>
      <c r="AF8" s="200" t="s">
        <v>196</v>
      </c>
      <c r="AG8" s="201" t="s">
        <v>197</v>
      </c>
      <c r="AH8" s="73" t="s">
        <v>6</v>
      </c>
      <c r="AI8" s="71" t="s">
        <v>7</v>
      </c>
      <c r="AJ8" s="74" t="s">
        <v>8</v>
      </c>
      <c r="AK8" s="202" t="s">
        <v>195</v>
      </c>
      <c r="AL8" s="200" t="s">
        <v>196</v>
      </c>
      <c r="AM8" s="201" t="s">
        <v>197</v>
      </c>
      <c r="AN8" s="75" t="s">
        <v>6</v>
      </c>
      <c r="AO8" s="71" t="s">
        <v>7</v>
      </c>
      <c r="AP8" s="72" t="s">
        <v>8</v>
      </c>
      <c r="AQ8" s="202" t="s">
        <v>195</v>
      </c>
      <c r="AR8" s="200" t="s">
        <v>196</v>
      </c>
      <c r="AS8" s="201" t="s">
        <v>197</v>
      </c>
      <c r="AT8" s="73" t="s">
        <v>6</v>
      </c>
      <c r="AU8" s="71" t="s">
        <v>7</v>
      </c>
      <c r="AV8" s="74" t="s">
        <v>8</v>
      </c>
      <c r="AW8" s="202" t="s">
        <v>195</v>
      </c>
      <c r="AX8" s="200" t="s">
        <v>196</v>
      </c>
      <c r="AY8" s="201" t="s">
        <v>197</v>
      </c>
      <c r="AZ8" s="75" t="s">
        <v>6</v>
      </c>
      <c r="BA8" s="71" t="s">
        <v>7</v>
      </c>
      <c r="BB8" s="72" t="s">
        <v>8</v>
      </c>
      <c r="BC8" s="202" t="s">
        <v>195</v>
      </c>
      <c r="BD8" s="200" t="s">
        <v>196</v>
      </c>
      <c r="BE8" s="201" t="s">
        <v>197</v>
      </c>
      <c r="BF8" s="73" t="s">
        <v>6</v>
      </c>
      <c r="BG8" s="71" t="s">
        <v>7</v>
      </c>
      <c r="BH8" s="74" t="s">
        <v>8</v>
      </c>
      <c r="BI8" s="202" t="s">
        <v>195</v>
      </c>
      <c r="BJ8" s="200" t="s">
        <v>196</v>
      </c>
      <c r="BK8" s="201" t="s">
        <v>197</v>
      </c>
      <c r="BL8" s="75" t="s">
        <v>6</v>
      </c>
      <c r="BM8" s="71" t="s">
        <v>7</v>
      </c>
      <c r="BN8" s="72" t="s">
        <v>8</v>
      </c>
      <c r="BO8" s="202" t="s">
        <v>195</v>
      </c>
      <c r="BP8" s="200" t="s">
        <v>196</v>
      </c>
      <c r="BQ8" s="201" t="s">
        <v>197</v>
      </c>
      <c r="BR8" s="73" t="s">
        <v>6</v>
      </c>
      <c r="BS8" s="71" t="s">
        <v>7</v>
      </c>
      <c r="BT8" s="74" t="s">
        <v>8</v>
      </c>
      <c r="BU8" s="202" t="s">
        <v>195</v>
      </c>
      <c r="BV8" s="200" t="s">
        <v>196</v>
      </c>
      <c r="BW8" s="201" t="s">
        <v>197</v>
      </c>
      <c r="BX8" s="75" t="s">
        <v>6</v>
      </c>
      <c r="BY8" s="71" t="s">
        <v>7</v>
      </c>
      <c r="BZ8" s="72" t="s">
        <v>8</v>
      </c>
      <c r="CA8" s="202" t="s">
        <v>195</v>
      </c>
      <c r="CB8" s="200" t="s">
        <v>196</v>
      </c>
      <c r="CC8" s="201" t="s">
        <v>197</v>
      </c>
      <c r="CD8" s="73" t="s">
        <v>6</v>
      </c>
      <c r="CE8" s="71" t="s">
        <v>7</v>
      </c>
      <c r="CF8" s="74" t="s">
        <v>8</v>
      </c>
      <c r="CG8" s="56" t="s">
        <v>6</v>
      </c>
      <c r="CH8" s="57" t="s">
        <v>7</v>
      </c>
      <c r="CI8" s="58" t="s">
        <v>8</v>
      </c>
    </row>
    <row r="9" spans="2:88" s="368" customFormat="1" ht="13.5" customHeight="1">
      <c r="B9" s="520">
        <v>2018</v>
      </c>
      <c r="C9" s="518" t="s">
        <v>233</v>
      </c>
      <c r="D9" s="518" t="s">
        <v>234</v>
      </c>
      <c r="E9" s="518" t="s">
        <v>235</v>
      </c>
      <c r="F9" s="518" t="s">
        <v>236</v>
      </c>
      <c r="G9" s="519" t="s">
        <v>237</v>
      </c>
      <c r="H9" s="518" t="s">
        <v>238</v>
      </c>
      <c r="I9" s="518" t="s">
        <v>239</v>
      </c>
      <c r="J9" s="518" t="s">
        <v>83</v>
      </c>
      <c r="K9" s="518" t="s">
        <v>0</v>
      </c>
      <c r="L9" s="521" t="s">
        <v>12</v>
      </c>
      <c r="M9" s="531">
        <v>1</v>
      </c>
      <c r="N9" s="532">
        <v>10000</v>
      </c>
      <c r="O9" s="533">
        <v>5000</v>
      </c>
      <c r="P9" s="515">
        <v>0</v>
      </c>
      <c r="Q9" s="498">
        <v>0</v>
      </c>
      <c r="R9" s="500">
        <v>0</v>
      </c>
      <c r="S9" s="523"/>
      <c r="T9" s="524"/>
      <c r="U9" s="525"/>
      <c r="V9" s="514">
        <v>0</v>
      </c>
      <c r="W9" s="498">
        <v>0</v>
      </c>
      <c r="X9" s="499">
        <v>0</v>
      </c>
      <c r="Y9" s="523"/>
      <c r="Z9" s="524"/>
      <c r="AA9" s="525"/>
      <c r="AB9" s="516">
        <v>0</v>
      </c>
      <c r="AC9" s="498">
        <v>0</v>
      </c>
      <c r="AD9" s="500">
        <v>0</v>
      </c>
      <c r="AE9" s="523"/>
      <c r="AF9" s="524"/>
      <c r="AG9" s="525"/>
      <c r="AH9" s="514">
        <v>0</v>
      </c>
      <c r="AI9" s="498">
        <v>0</v>
      </c>
      <c r="AJ9" s="499">
        <v>0</v>
      </c>
      <c r="AK9" s="523"/>
      <c r="AL9" s="524"/>
      <c r="AM9" s="525"/>
      <c r="AN9" s="516">
        <v>0</v>
      </c>
      <c r="AO9" s="498">
        <v>0</v>
      </c>
      <c r="AP9" s="500">
        <v>0</v>
      </c>
      <c r="AQ9" s="523"/>
      <c r="AR9" s="524"/>
      <c r="AS9" s="525"/>
      <c r="AT9" s="514">
        <v>0</v>
      </c>
      <c r="AU9" s="498">
        <v>0</v>
      </c>
      <c r="AV9" s="499">
        <v>0</v>
      </c>
      <c r="AW9" s="523"/>
      <c r="AX9" s="524"/>
      <c r="AY9" s="525"/>
      <c r="AZ9" s="516">
        <v>0</v>
      </c>
      <c r="BA9" s="498">
        <v>0</v>
      </c>
      <c r="BB9" s="500">
        <v>0</v>
      </c>
      <c r="BC9" s="523"/>
      <c r="BD9" s="524"/>
      <c r="BE9" s="525"/>
      <c r="BF9" s="514">
        <v>0</v>
      </c>
      <c r="BG9" s="498">
        <v>0</v>
      </c>
      <c r="BH9" s="499">
        <v>0</v>
      </c>
      <c r="BI9" s="523"/>
      <c r="BJ9" s="524"/>
      <c r="BK9" s="525"/>
      <c r="BL9" s="516">
        <v>0</v>
      </c>
      <c r="BM9" s="498">
        <v>0</v>
      </c>
      <c r="BN9" s="500">
        <v>0</v>
      </c>
      <c r="BO9" s="523"/>
      <c r="BP9" s="524"/>
      <c r="BQ9" s="525"/>
      <c r="BR9" s="514">
        <v>0</v>
      </c>
      <c r="BS9" s="498">
        <v>0</v>
      </c>
      <c r="BT9" s="499">
        <v>0</v>
      </c>
      <c r="BU9" s="523"/>
      <c r="BV9" s="524"/>
      <c r="BW9" s="525"/>
      <c r="BX9" s="516">
        <v>0</v>
      </c>
      <c r="BY9" s="498">
        <v>0</v>
      </c>
      <c r="BZ9" s="500">
        <v>0</v>
      </c>
      <c r="CA9" s="523"/>
      <c r="CB9" s="524"/>
      <c r="CC9" s="525"/>
      <c r="CD9" s="514">
        <v>0</v>
      </c>
      <c r="CE9" s="498">
        <v>0</v>
      </c>
      <c r="CF9" s="499">
        <v>0</v>
      </c>
      <c r="CG9" s="517">
        <v>0</v>
      </c>
      <c r="CH9" s="501">
        <v>0</v>
      </c>
      <c r="CI9" s="506">
        <v>0</v>
      </c>
      <c r="CJ9" s="497"/>
    </row>
    <row r="10" spans="2:88" s="368" customFormat="1" ht="13.5" customHeight="1">
      <c r="B10" s="520">
        <v>2018</v>
      </c>
      <c r="C10" s="518" t="s">
        <v>233</v>
      </c>
      <c r="D10" s="518" t="s">
        <v>234</v>
      </c>
      <c r="E10" s="518" t="s">
        <v>235</v>
      </c>
      <c r="F10" s="518" t="s">
        <v>236</v>
      </c>
      <c r="G10" s="519" t="s">
        <v>237</v>
      </c>
      <c r="H10" s="518" t="s">
        <v>238</v>
      </c>
      <c r="I10" s="518" t="s">
        <v>239</v>
      </c>
      <c r="J10" s="518" t="s">
        <v>83</v>
      </c>
      <c r="K10" s="518" t="s">
        <v>1</v>
      </c>
      <c r="L10" s="521" t="s">
        <v>13</v>
      </c>
      <c r="M10" s="531">
        <v>0</v>
      </c>
      <c r="N10" s="532">
        <v>0</v>
      </c>
      <c r="O10" s="533">
        <v>0</v>
      </c>
      <c r="P10" s="515">
        <v>0</v>
      </c>
      <c r="Q10" s="498">
        <v>0</v>
      </c>
      <c r="R10" s="500">
        <v>0</v>
      </c>
      <c r="S10" s="523"/>
      <c r="T10" s="524"/>
      <c r="U10" s="525"/>
      <c r="V10" s="515">
        <v>0</v>
      </c>
      <c r="W10" s="498">
        <v>0</v>
      </c>
      <c r="X10" s="499">
        <v>0</v>
      </c>
      <c r="Y10" s="523"/>
      <c r="Z10" s="524"/>
      <c r="AA10" s="525"/>
      <c r="AB10" s="513">
        <v>0</v>
      </c>
      <c r="AC10" s="498">
        <v>0</v>
      </c>
      <c r="AD10" s="500">
        <v>0</v>
      </c>
      <c r="AE10" s="523"/>
      <c r="AF10" s="524"/>
      <c r="AG10" s="525"/>
      <c r="AH10" s="515">
        <v>0</v>
      </c>
      <c r="AI10" s="498">
        <v>0</v>
      </c>
      <c r="AJ10" s="499">
        <v>0</v>
      </c>
      <c r="AK10" s="523"/>
      <c r="AL10" s="524"/>
      <c r="AM10" s="525"/>
      <c r="AN10" s="513">
        <v>0</v>
      </c>
      <c r="AO10" s="498">
        <v>0</v>
      </c>
      <c r="AP10" s="500">
        <v>0</v>
      </c>
      <c r="AQ10" s="523"/>
      <c r="AR10" s="524"/>
      <c r="AS10" s="525"/>
      <c r="AT10" s="515">
        <v>0</v>
      </c>
      <c r="AU10" s="498">
        <v>0</v>
      </c>
      <c r="AV10" s="499">
        <v>0</v>
      </c>
      <c r="AW10" s="523"/>
      <c r="AX10" s="524"/>
      <c r="AY10" s="525"/>
      <c r="AZ10" s="513">
        <v>0</v>
      </c>
      <c r="BA10" s="498">
        <v>0</v>
      </c>
      <c r="BB10" s="500">
        <v>0</v>
      </c>
      <c r="BC10" s="523"/>
      <c r="BD10" s="524"/>
      <c r="BE10" s="525"/>
      <c r="BF10" s="515">
        <v>0</v>
      </c>
      <c r="BG10" s="498">
        <v>0</v>
      </c>
      <c r="BH10" s="499">
        <v>0</v>
      </c>
      <c r="BI10" s="523"/>
      <c r="BJ10" s="524"/>
      <c r="BK10" s="525"/>
      <c r="BL10" s="513">
        <v>0</v>
      </c>
      <c r="BM10" s="498">
        <v>0</v>
      </c>
      <c r="BN10" s="500">
        <v>0</v>
      </c>
      <c r="BO10" s="523"/>
      <c r="BP10" s="524"/>
      <c r="BQ10" s="525"/>
      <c r="BR10" s="515">
        <v>0</v>
      </c>
      <c r="BS10" s="498">
        <v>0</v>
      </c>
      <c r="BT10" s="499">
        <v>0</v>
      </c>
      <c r="BU10" s="523"/>
      <c r="BV10" s="524"/>
      <c r="BW10" s="525"/>
      <c r="BX10" s="513">
        <v>0</v>
      </c>
      <c r="BY10" s="498">
        <v>0</v>
      </c>
      <c r="BZ10" s="500">
        <v>0</v>
      </c>
      <c r="CA10" s="523"/>
      <c r="CB10" s="524"/>
      <c r="CC10" s="525"/>
      <c r="CD10" s="515">
        <v>0</v>
      </c>
      <c r="CE10" s="498">
        <v>0</v>
      </c>
      <c r="CF10" s="499">
        <v>0</v>
      </c>
      <c r="CG10" s="517">
        <v>0</v>
      </c>
      <c r="CH10" s="501">
        <v>0</v>
      </c>
      <c r="CI10" s="506">
        <v>0</v>
      </c>
      <c r="CJ10" s="497"/>
    </row>
    <row r="11" spans="2:88" s="368" customFormat="1" ht="13.5" customHeight="1">
      <c r="B11" s="520">
        <v>2018</v>
      </c>
      <c r="C11" s="518" t="s">
        <v>233</v>
      </c>
      <c r="D11" s="518" t="s">
        <v>234</v>
      </c>
      <c r="E11" s="518" t="s">
        <v>235</v>
      </c>
      <c r="F11" s="518" t="s">
        <v>236</v>
      </c>
      <c r="G11" s="519" t="s">
        <v>237</v>
      </c>
      <c r="H11" s="518" t="s">
        <v>238</v>
      </c>
      <c r="I11" s="518" t="s">
        <v>239</v>
      </c>
      <c r="J11" s="518"/>
      <c r="K11" s="518" t="s">
        <v>31</v>
      </c>
      <c r="L11" s="521" t="s">
        <v>32</v>
      </c>
      <c r="M11" s="531">
        <v>3</v>
      </c>
      <c r="N11" s="532">
        <v>6000</v>
      </c>
      <c r="O11" s="533">
        <v>3000</v>
      </c>
      <c r="P11" s="515">
        <v>0</v>
      </c>
      <c r="Q11" s="498">
        <v>0</v>
      </c>
      <c r="R11" s="500">
        <v>0</v>
      </c>
      <c r="S11" s="523"/>
      <c r="T11" s="524"/>
      <c r="U11" s="525"/>
      <c r="V11" s="515">
        <v>0</v>
      </c>
      <c r="W11" s="498">
        <v>0</v>
      </c>
      <c r="X11" s="499">
        <v>0</v>
      </c>
      <c r="Y11" s="523"/>
      <c r="Z11" s="524"/>
      <c r="AA11" s="525"/>
      <c r="AB11" s="513">
        <v>0</v>
      </c>
      <c r="AC11" s="498">
        <v>0</v>
      </c>
      <c r="AD11" s="500">
        <v>0</v>
      </c>
      <c r="AE11" s="523"/>
      <c r="AF11" s="524"/>
      <c r="AG11" s="525"/>
      <c r="AH11" s="515">
        <v>0</v>
      </c>
      <c r="AI11" s="498">
        <v>0</v>
      </c>
      <c r="AJ11" s="499">
        <v>0</v>
      </c>
      <c r="AK11" s="523"/>
      <c r="AL11" s="524"/>
      <c r="AM11" s="525"/>
      <c r="AN11" s="513">
        <v>0</v>
      </c>
      <c r="AO11" s="498">
        <v>0</v>
      </c>
      <c r="AP11" s="500">
        <v>0</v>
      </c>
      <c r="AQ11" s="523"/>
      <c r="AR11" s="524"/>
      <c r="AS11" s="525"/>
      <c r="AT11" s="515">
        <v>0</v>
      </c>
      <c r="AU11" s="498">
        <v>0</v>
      </c>
      <c r="AV11" s="499">
        <v>0</v>
      </c>
      <c r="AW11" s="523"/>
      <c r="AX11" s="524"/>
      <c r="AY11" s="525"/>
      <c r="AZ11" s="513">
        <v>0</v>
      </c>
      <c r="BA11" s="498">
        <v>0</v>
      </c>
      <c r="BB11" s="500">
        <v>0</v>
      </c>
      <c r="BC11" s="523"/>
      <c r="BD11" s="524"/>
      <c r="BE11" s="525"/>
      <c r="BF11" s="515">
        <v>0</v>
      </c>
      <c r="BG11" s="498">
        <v>0</v>
      </c>
      <c r="BH11" s="499">
        <v>0</v>
      </c>
      <c r="BI11" s="523"/>
      <c r="BJ11" s="524"/>
      <c r="BK11" s="525"/>
      <c r="BL11" s="513">
        <v>0</v>
      </c>
      <c r="BM11" s="498">
        <v>0</v>
      </c>
      <c r="BN11" s="500">
        <v>0</v>
      </c>
      <c r="BO11" s="523"/>
      <c r="BP11" s="524"/>
      <c r="BQ11" s="525"/>
      <c r="BR11" s="515">
        <v>0</v>
      </c>
      <c r="BS11" s="498">
        <v>0</v>
      </c>
      <c r="BT11" s="499">
        <v>0</v>
      </c>
      <c r="BU11" s="523"/>
      <c r="BV11" s="524"/>
      <c r="BW11" s="525"/>
      <c r="BX11" s="513">
        <v>0</v>
      </c>
      <c r="BY11" s="498">
        <v>0</v>
      </c>
      <c r="BZ11" s="500">
        <v>0</v>
      </c>
      <c r="CA11" s="523"/>
      <c r="CB11" s="524"/>
      <c r="CC11" s="525"/>
      <c r="CD11" s="515">
        <v>0</v>
      </c>
      <c r="CE11" s="498">
        <v>0</v>
      </c>
      <c r="CF11" s="499">
        <v>0</v>
      </c>
      <c r="CG11" s="517">
        <v>0</v>
      </c>
      <c r="CH11" s="501">
        <v>0</v>
      </c>
      <c r="CI11" s="506">
        <v>0</v>
      </c>
      <c r="CJ11" s="497"/>
    </row>
    <row r="12" spans="2:88" s="368" customFormat="1" ht="13.5" customHeight="1">
      <c r="B12" s="520">
        <v>2018</v>
      </c>
      <c r="C12" s="518" t="s">
        <v>233</v>
      </c>
      <c r="D12" s="518" t="s">
        <v>234</v>
      </c>
      <c r="E12" s="518" t="s">
        <v>235</v>
      </c>
      <c r="F12" s="518" t="s">
        <v>236</v>
      </c>
      <c r="G12" s="519" t="s">
        <v>237</v>
      </c>
      <c r="H12" s="518" t="s">
        <v>238</v>
      </c>
      <c r="I12" s="518" t="s">
        <v>239</v>
      </c>
      <c r="J12" s="518" t="s">
        <v>83</v>
      </c>
      <c r="K12" s="518" t="s">
        <v>2</v>
      </c>
      <c r="L12" s="521" t="s">
        <v>16</v>
      </c>
      <c r="M12" s="531">
        <v>55</v>
      </c>
      <c r="N12" s="532">
        <v>3200000</v>
      </c>
      <c r="O12" s="533">
        <v>1600000</v>
      </c>
      <c r="P12" s="515">
        <v>0</v>
      </c>
      <c r="Q12" s="498">
        <v>0</v>
      </c>
      <c r="R12" s="500">
        <v>0</v>
      </c>
      <c r="S12" s="523"/>
      <c r="T12" s="524"/>
      <c r="U12" s="525"/>
      <c r="V12" s="515">
        <v>0</v>
      </c>
      <c r="W12" s="498">
        <v>0</v>
      </c>
      <c r="X12" s="499">
        <v>0</v>
      </c>
      <c r="Y12" s="523"/>
      <c r="Z12" s="524"/>
      <c r="AA12" s="525"/>
      <c r="AB12" s="513">
        <v>0</v>
      </c>
      <c r="AC12" s="498">
        <v>0</v>
      </c>
      <c r="AD12" s="500">
        <v>0</v>
      </c>
      <c r="AE12" s="523"/>
      <c r="AF12" s="524"/>
      <c r="AG12" s="525"/>
      <c r="AH12" s="515">
        <v>0</v>
      </c>
      <c r="AI12" s="498">
        <v>0</v>
      </c>
      <c r="AJ12" s="499">
        <v>0</v>
      </c>
      <c r="AK12" s="523"/>
      <c r="AL12" s="524"/>
      <c r="AM12" s="525"/>
      <c r="AN12" s="513">
        <v>0</v>
      </c>
      <c r="AO12" s="498">
        <v>0</v>
      </c>
      <c r="AP12" s="500">
        <v>0</v>
      </c>
      <c r="AQ12" s="523"/>
      <c r="AR12" s="524"/>
      <c r="AS12" s="525"/>
      <c r="AT12" s="515">
        <v>0</v>
      </c>
      <c r="AU12" s="498">
        <v>0</v>
      </c>
      <c r="AV12" s="499">
        <v>0</v>
      </c>
      <c r="AW12" s="523"/>
      <c r="AX12" s="524"/>
      <c r="AY12" s="525"/>
      <c r="AZ12" s="513">
        <v>0</v>
      </c>
      <c r="BA12" s="498">
        <v>0</v>
      </c>
      <c r="BB12" s="500">
        <v>0</v>
      </c>
      <c r="BC12" s="523"/>
      <c r="BD12" s="524"/>
      <c r="BE12" s="525"/>
      <c r="BF12" s="515">
        <v>0</v>
      </c>
      <c r="BG12" s="498">
        <v>0</v>
      </c>
      <c r="BH12" s="499">
        <v>0</v>
      </c>
      <c r="BI12" s="523"/>
      <c r="BJ12" s="524"/>
      <c r="BK12" s="525"/>
      <c r="BL12" s="513">
        <v>0</v>
      </c>
      <c r="BM12" s="498">
        <v>0</v>
      </c>
      <c r="BN12" s="500">
        <v>0</v>
      </c>
      <c r="BO12" s="523"/>
      <c r="BP12" s="524"/>
      <c r="BQ12" s="525"/>
      <c r="BR12" s="515">
        <v>0</v>
      </c>
      <c r="BS12" s="498">
        <v>0</v>
      </c>
      <c r="BT12" s="499">
        <v>0</v>
      </c>
      <c r="BU12" s="523"/>
      <c r="BV12" s="524"/>
      <c r="BW12" s="525"/>
      <c r="BX12" s="513">
        <v>0</v>
      </c>
      <c r="BY12" s="498">
        <v>0</v>
      </c>
      <c r="BZ12" s="500">
        <v>0</v>
      </c>
      <c r="CA12" s="523"/>
      <c r="CB12" s="524"/>
      <c r="CC12" s="525"/>
      <c r="CD12" s="515">
        <v>0</v>
      </c>
      <c r="CE12" s="498">
        <v>0</v>
      </c>
      <c r="CF12" s="499">
        <v>0</v>
      </c>
      <c r="CG12" s="517">
        <v>0</v>
      </c>
      <c r="CH12" s="501">
        <v>0</v>
      </c>
      <c r="CI12" s="506">
        <v>0</v>
      </c>
      <c r="CJ12" s="497"/>
    </row>
    <row r="13" spans="2:88" s="368" customFormat="1" ht="13.5" customHeight="1">
      <c r="B13" s="520">
        <v>2018</v>
      </c>
      <c r="C13" s="518" t="s">
        <v>233</v>
      </c>
      <c r="D13" s="518" t="s">
        <v>234</v>
      </c>
      <c r="E13" s="518" t="s">
        <v>235</v>
      </c>
      <c r="F13" s="518" t="s">
        <v>236</v>
      </c>
      <c r="G13" s="519" t="s">
        <v>237</v>
      </c>
      <c r="H13" s="518" t="s">
        <v>238</v>
      </c>
      <c r="I13" s="518" t="s">
        <v>239</v>
      </c>
      <c r="J13" s="518" t="s">
        <v>83</v>
      </c>
      <c r="K13" s="518" t="s">
        <v>3</v>
      </c>
      <c r="L13" s="521" t="s">
        <v>14</v>
      </c>
      <c r="M13" s="531">
        <v>7</v>
      </c>
      <c r="N13" s="532">
        <v>70000</v>
      </c>
      <c r="O13" s="533">
        <v>35000</v>
      </c>
      <c r="P13" s="515">
        <v>0</v>
      </c>
      <c r="Q13" s="498">
        <v>0</v>
      </c>
      <c r="R13" s="500">
        <v>0</v>
      </c>
      <c r="S13" s="523"/>
      <c r="T13" s="524"/>
      <c r="U13" s="525"/>
      <c r="V13" s="514">
        <v>0</v>
      </c>
      <c r="W13" s="498">
        <v>0</v>
      </c>
      <c r="X13" s="499">
        <v>0</v>
      </c>
      <c r="Y13" s="523"/>
      <c r="Z13" s="524"/>
      <c r="AA13" s="525"/>
      <c r="AB13" s="516">
        <v>0</v>
      </c>
      <c r="AC13" s="498">
        <v>0</v>
      </c>
      <c r="AD13" s="500">
        <v>0</v>
      </c>
      <c r="AE13" s="523"/>
      <c r="AF13" s="524"/>
      <c r="AG13" s="525"/>
      <c r="AH13" s="514">
        <v>0</v>
      </c>
      <c r="AI13" s="498">
        <v>0</v>
      </c>
      <c r="AJ13" s="499">
        <v>0</v>
      </c>
      <c r="AK13" s="523"/>
      <c r="AL13" s="524"/>
      <c r="AM13" s="525"/>
      <c r="AN13" s="516">
        <v>0</v>
      </c>
      <c r="AO13" s="498">
        <v>0</v>
      </c>
      <c r="AP13" s="500">
        <v>0</v>
      </c>
      <c r="AQ13" s="523"/>
      <c r="AR13" s="524"/>
      <c r="AS13" s="525"/>
      <c r="AT13" s="514">
        <v>0</v>
      </c>
      <c r="AU13" s="498">
        <v>0</v>
      </c>
      <c r="AV13" s="499">
        <v>0</v>
      </c>
      <c r="AW13" s="523"/>
      <c r="AX13" s="524"/>
      <c r="AY13" s="525"/>
      <c r="AZ13" s="516">
        <v>0</v>
      </c>
      <c r="BA13" s="498">
        <v>0</v>
      </c>
      <c r="BB13" s="500">
        <v>0</v>
      </c>
      <c r="BC13" s="523"/>
      <c r="BD13" s="524"/>
      <c r="BE13" s="525"/>
      <c r="BF13" s="514">
        <v>0</v>
      </c>
      <c r="BG13" s="498">
        <v>0</v>
      </c>
      <c r="BH13" s="499">
        <v>0</v>
      </c>
      <c r="BI13" s="523"/>
      <c r="BJ13" s="524"/>
      <c r="BK13" s="525"/>
      <c r="BL13" s="516">
        <v>0</v>
      </c>
      <c r="BM13" s="498">
        <v>0</v>
      </c>
      <c r="BN13" s="500">
        <v>0</v>
      </c>
      <c r="BO13" s="523"/>
      <c r="BP13" s="524"/>
      <c r="BQ13" s="525"/>
      <c r="BR13" s="514">
        <v>0</v>
      </c>
      <c r="BS13" s="498">
        <v>0</v>
      </c>
      <c r="BT13" s="499">
        <v>0</v>
      </c>
      <c r="BU13" s="523"/>
      <c r="BV13" s="524"/>
      <c r="BW13" s="525"/>
      <c r="BX13" s="516">
        <v>0</v>
      </c>
      <c r="BY13" s="498">
        <v>0</v>
      </c>
      <c r="BZ13" s="500">
        <v>0</v>
      </c>
      <c r="CA13" s="523"/>
      <c r="CB13" s="524"/>
      <c r="CC13" s="525"/>
      <c r="CD13" s="514">
        <v>0</v>
      </c>
      <c r="CE13" s="498">
        <v>0</v>
      </c>
      <c r="CF13" s="499">
        <v>0</v>
      </c>
      <c r="CG13" s="517">
        <v>0</v>
      </c>
      <c r="CH13" s="501">
        <v>0</v>
      </c>
      <c r="CI13" s="506">
        <v>0</v>
      </c>
      <c r="CJ13" s="497"/>
    </row>
    <row r="14" spans="2:88" s="368" customFormat="1" ht="13.5" customHeight="1">
      <c r="B14" s="520">
        <v>2018</v>
      </c>
      <c r="C14" s="518" t="s">
        <v>233</v>
      </c>
      <c r="D14" s="518" t="s">
        <v>234</v>
      </c>
      <c r="E14" s="518" t="s">
        <v>235</v>
      </c>
      <c r="F14" s="518" t="s">
        <v>236</v>
      </c>
      <c r="G14" s="519" t="s">
        <v>237</v>
      </c>
      <c r="H14" s="518" t="s">
        <v>238</v>
      </c>
      <c r="I14" s="518" t="s">
        <v>239</v>
      </c>
      <c r="J14" s="518" t="s">
        <v>83</v>
      </c>
      <c r="K14" s="518" t="s">
        <v>33</v>
      </c>
      <c r="L14" s="521" t="s">
        <v>34</v>
      </c>
      <c r="M14" s="531">
        <v>2</v>
      </c>
      <c r="N14" s="532">
        <v>6000</v>
      </c>
      <c r="O14" s="533">
        <v>1000</v>
      </c>
      <c r="P14" s="515">
        <v>0</v>
      </c>
      <c r="Q14" s="498">
        <v>0</v>
      </c>
      <c r="R14" s="500">
        <v>0</v>
      </c>
      <c r="S14" s="523"/>
      <c r="T14" s="524"/>
      <c r="U14" s="525"/>
      <c r="V14" s="514">
        <v>0</v>
      </c>
      <c r="W14" s="498">
        <v>0</v>
      </c>
      <c r="X14" s="499">
        <v>0</v>
      </c>
      <c r="Y14" s="523"/>
      <c r="Z14" s="524"/>
      <c r="AA14" s="525"/>
      <c r="AB14" s="516">
        <v>0</v>
      </c>
      <c r="AC14" s="498">
        <v>0</v>
      </c>
      <c r="AD14" s="500">
        <v>0</v>
      </c>
      <c r="AE14" s="523"/>
      <c r="AF14" s="524"/>
      <c r="AG14" s="525"/>
      <c r="AH14" s="514">
        <v>0</v>
      </c>
      <c r="AI14" s="498">
        <v>0</v>
      </c>
      <c r="AJ14" s="499">
        <v>0</v>
      </c>
      <c r="AK14" s="523"/>
      <c r="AL14" s="524"/>
      <c r="AM14" s="525"/>
      <c r="AN14" s="516">
        <v>0</v>
      </c>
      <c r="AO14" s="498">
        <v>0</v>
      </c>
      <c r="AP14" s="500">
        <v>0</v>
      </c>
      <c r="AQ14" s="523"/>
      <c r="AR14" s="524"/>
      <c r="AS14" s="525"/>
      <c r="AT14" s="514">
        <v>0</v>
      </c>
      <c r="AU14" s="498">
        <v>0</v>
      </c>
      <c r="AV14" s="499">
        <v>0</v>
      </c>
      <c r="AW14" s="523"/>
      <c r="AX14" s="524"/>
      <c r="AY14" s="525"/>
      <c r="AZ14" s="516">
        <v>0</v>
      </c>
      <c r="BA14" s="498">
        <v>0</v>
      </c>
      <c r="BB14" s="500">
        <v>0</v>
      </c>
      <c r="BC14" s="523"/>
      <c r="BD14" s="524"/>
      <c r="BE14" s="525"/>
      <c r="BF14" s="514">
        <v>0</v>
      </c>
      <c r="BG14" s="498">
        <v>0</v>
      </c>
      <c r="BH14" s="499">
        <v>0</v>
      </c>
      <c r="BI14" s="523"/>
      <c r="BJ14" s="524"/>
      <c r="BK14" s="525"/>
      <c r="BL14" s="516">
        <v>0</v>
      </c>
      <c r="BM14" s="498">
        <v>0</v>
      </c>
      <c r="BN14" s="500">
        <v>0</v>
      </c>
      <c r="BO14" s="523"/>
      <c r="BP14" s="524"/>
      <c r="BQ14" s="525"/>
      <c r="BR14" s="514">
        <v>0</v>
      </c>
      <c r="BS14" s="498">
        <v>0</v>
      </c>
      <c r="BT14" s="499">
        <v>0</v>
      </c>
      <c r="BU14" s="523"/>
      <c r="BV14" s="524"/>
      <c r="BW14" s="525"/>
      <c r="BX14" s="516">
        <v>0</v>
      </c>
      <c r="BY14" s="498">
        <v>0</v>
      </c>
      <c r="BZ14" s="500">
        <v>0</v>
      </c>
      <c r="CA14" s="523"/>
      <c r="CB14" s="524"/>
      <c r="CC14" s="525"/>
      <c r="CD14" s="514">
        <v>0</v>
      </c>
      <c r="CE14" s="498">
        <v>0</v>
      </c>
      <c r="CF14" s="499">
        <v>0</v>
      </c>
      <c r="CG14" s="517">
        <v>0</v>
      </c>
      <c r="CH14" s="501">
        <v>0</v>
      </c>
      <c r="CI14" s="506">
        <v>0</v>
      </c>
      <c r="CJ14" s="497"/>
    </row>
    <row r="15" spans="2:88" s="368" customFormat="1" ht="13.5" customHeight="1">
      <c r="B15" s="520">
        <v>2018</v>
      </c>
      <c r="C15" s="518" t="s">
        <v>233</v>
      </c>
      <c r="D15" s="518" t="s">
        <v>234</v>
      </c>
      <c r="E15" s="518" t="s">
        <v>235</v>
      </c>
      <c r="F15" s="518" t="s">
        <v>236</v>
      </c>
      <c r="G15" s="519" t="s">
        <v>237</v>
      </c>
      <c r="H15" s="518" t="s">
        <v>238</v>
      </c>
      <c r="I15" s="518" t="s">
        <v>239</v>
      </c>
      <c r="J15" s="518"/>
      <c r="K15" s="518" t="s">
        <v>35</v>
      </c>
      <c r="L15" s="521" t="s">
        <v>240</v>
      </c>
      <c r="M15" s="531">
        <v>3</v>
      </c>
      <c r="N15" s="532">
        <v>3000</v>
      </c>
      <c r="O15" s="533">
        <v>2000</v>
      </c>
      <c r="P15" s="515">
        <v>0</v>
      </c>
      <c r="Q15" s="498">
        <v>0</v>
      </c>
      <c r="R15" s="500">
        <v>0</v>
      </c>
      <c r="S15" s="523"/>
      <c r="T15" s="524"/>
      <c r="U15" s="525"/>
      <c r="V15" s="514">
        <v>0</v>
      </c>
      <c r="W15" s="498">
        <v>0</v>
      </c>
      <c r="X15" s="499">
        <v>0</v>
      </c>
      <c r="Y15" s="523"/>
      <c r="Z15" s="524"/>
      <c r="AA15" s="525"/>
      <c r="AB15" s="516">
        <v>0</v>
      </c>
      <c r="AC15" s="498">
        <v>0</v>
      </c>
      <c r="AD15" s="500">
        <v>0</v>
      </c>
      <c r="AE15" s="523"/>
      <c r="AF15" s="524"/>
      <c r="AG15" s="525"/>
      <c r="AH15" s="514">
        <v>0</v>
      </c>
      <c r="AI15" s="498">
        <v>0</v>
      </c>
      <c r="AJ15" s="499">
        <v>0</v>
      </c>
      <c r="AK15" s="523"/>
      <c r="AL15" s="524"/>
      <c r="AM15" s="525"/>
      <c r="AN15" s="516">
        <v>0</v>
      </c>
      <c r="AO15" s="498">
        <v>0</v>
      </c>
      <c r="AP15" s="500">
        <v>0</v>
      </c>
      <c r="AQ15" s="523"/>
      <c r="AR15" s="524"/>
      <c r="AS15" s="525"/>
      <c r="AT15" s="514">
        <v>0</v>
      </c>
      <c r="AU15" s="498">
        <v>0</v>
      </c>
      <c r="AV15" s="499">
        <v>0</v>
      </c>
      <c r="AW15" s="523"/>
      <c r="AX15" s="524"/>
      <c r="AY15" s="525"/>
      <c r="AZ15" s="516">
        <v>0</v>
      </c>
      <c r="BA15" s="498">
        <v>0</v>
      </c>
      <c r="BB15" s="500">
        <v>0</v>
      </c>
      <c r="BC15" s="523"/>
      <c r="BD15" s="524"/>
      <c r="BE15" s="525"/>
      <c r="BF15" s="514">
        <v>0</v>
      </c>
      <c r="BG15" s="498">
        <v>0</v>
      </c>
      <c r="BH15" s="499">
        <v>0</v>
      </c>
      <c r="BI15" s="523"/>
      <c r="BJ15" s="524"/>
      <c r="BK15" s="525"/>
      <c r="BL15" s="516">
        <v>0</v>
      </c>
      <c r="BM15" s="498">
        <v>0</v>
      </c>
      <c r="BN15" s="500">
        <v>0</v>
      </c>
      <c r="BO15" s="523"/>
      <c r="BP15" s="524"/>
      <c r="BQ15" s="525"/>
      <c r="BR15" s="514">
        <v>0</v>
      </c>
      <c r="BS15" s="498">
        <v>0</v>
      </c>
      <c r="BT15" s="499">
        <v>0</v>
      </c>
      <c r="BU15" s="523"/>
      <c r="BV15" s="524"/>
      <c r="BW15" s="525"/>
      <c r="BX15" s="516">
        <v>0</v>
      </c>
      <c r="BY15" s="498">
        <v>0</v>
      </c>
      <c r="BZ15" s="500">
        <v>0</v>
      </c>
      <c r="CA15" s="523"/>
      <c r="CB15" s="524"/>
      <c r="CC15" s="525"/>
      <c r="CD15" s="514">
        <v>0</v>
      </c>
      <c r="CE15" s="498">
        <v>0</v>
      </c>
      <c r="CF15" s="499">
        <v>0</v>
      </c>
      <c r="CG15" s="517">
        <v>0</v>
      </c>
      <c r="CH15" s="501">
        <v>0</v>
      </c>
      <c r="CI15" s="506">
        <v>0</v>
      </c>
      <c r="CJ15" s="497"/>
    </row>
    <row r="16" spans="2:88" s="368" customFormat="1" ht="13.5" customHeight="1">
      <c r="B16" s="520">
        <v>2018</v>
      </c>
      <c r="C16" s="518" t="s">
        <v>233</v>
      </c>
      <c r="D16" s="518" t="s">
        <v>234</v>
      </c>
      <c r="E16" s="518" t="s">
        <v>235</v>
      </c>
      <c r="F16" s="518" t="s">
        <v>236</v>
      </c>
      <c r="G16" s="519" t="s">
        <v>237</v>
      </c>
      <c r="H16" s="518" t="s">
        <v>238</v>
      </c>
      <c r="I16" s="518" t="s">
        <v>239</v>
      </c>
      <c r="J16" s="518"/>
      <c r="K16" s="518" t="s">
        <v>36</v>
      </c>
      <c r="L16" s="521" t="s">
        <v>37</v>
      </c>
      <c r="M16" s="531">
        <v>0</v>
      </c>
      <c r="N16" s="532">
        <v>0</v>
      </c>
      <c r="O16" s="533">
        <v>0</v>
      </c>
      <c r="P16" s="515">
        <v>0</v>
      </c>
      <c r="Q16" s="498">
        <v>0</v>
      </c>
      <c r="R16" s="500">
        <v>0</v>
      </c>
      <c r="S16" s="523"/>
      <c r="T16" s="524"/>
      <c r="U16" s="525"/>
      <c r="V16" s="514">
        <v>0</v>
      </c>
      <c r="W16" s="498">
        <v>0</v>
      </c>
      <c r="X16" s="499">
        <v>0</v>
      </c>
      <c r="Y16" s="523"/>
      <c r="Z16" s="524"/>
      <c r="AA16" s="525"/>
      <c r="AB16" s="516">
        <v>0</v>
      </c>
      <c r="AC16" s="498">
        <v>0</v>
      </c>
      <c r="AD16" s="500">
        <v>0</v>
      </c>
      <c r="AE16" s="523"/>
      <c r="AF16" s="524"/>
      <c r="AG16" s="525"/>
      <c r="AH16" s="514">
        <v>0</v>
      </c>
      <c r="AI16" s="498">
        <v>0</v>
      </c>
      <c r="AJ16" s="499">
        <v>0</v>
      </c>
      <c r="AK16" s="523"/>
      <c r="AL16" s="524"/>
      <c r="AM16" s="525"/>
      <c r="AN16" s="516">
        <v>0</v>
      </c>
      <c r="AO16" s="498">
        <v>0</v>
      </c>
      <c r="AP16" s="500">
        <v>0</v>
      </c>
      <c r="AQ16" s="523"/>
      <c r="AR16" s="524"/>
      <c r="AS16" s="525"/>
      <c r="AT16" s="514">
        <v>0</v>
      </c>
      <c r="AU16" s="498">
        <v>0</v>
      </c>
      <c r="AV16" s="499">
        <v>0</v>
      </c>
      <c r="AW16" s="523"/>
      <c r="AX16" s="524"/>
      <c r="AY16" s="525"/>
      <c r="AZ16" s="516">
        <v>0</v>
      </c>
      <c r="BA16" s="498">
        <v>0</v>
      </c>
      <c r="BB16" s="500">
        <v>0</v>
      </c>
      <c r="BC16" s="523"/>
      <c r="BD16" s="524"/>
      <c r="BE16" s="525"/>
      <c r="BF16" s="514">
        <v>0</v>
      </c>
      <c r="BG16" s="498">
        <v>0</v>
      </c>
      <c r="BH16" s="499">
        <v>0</v>
      </c>
      <c r="BI16" s="523"/>
      <c r="BJ16" s="524"/>
      <c r="BK16" s="525"/>
      <c r="BL16" s="516">
        <v>0</v>
      </c>
      <c r="BM16" s="498">
        <v>0</v>
      </c>
      <c r="BN16" s="500">
        <v>0</v>
      </c>
      <c r="BO16" s="523"/>
      <c r="BP16" s="524"/>
      <c r="BQ16" s="525"/>
      <c r="BR16" s="514">
        <v>0</v>
      </c>
      <c r="BS16" s="498">
        <v>0</v>
      </c>
      <c r="BT16" s="499">
        <v>0</v>
      </c>
      <c r="BU16" s="523"/>
      <c r="BV16" s="524"/>
      <c r="BW16" s="525"/>
      <c r="BX16" s="516">
        <v>0</v>
      </c>
      <c r="BY16" s="498">
        <v>0</v>
      </c>
      <c r="BZ16" s="500">
        <v>0</v>
      </c>
      <c r="CA16" s="523"/>
      <c r="CB16" s="524"/>
      <c r="CC16" s="525"/>
      <c r="CD16" s="514">
        <v>0</v>
      </c>
      <c r="CE16" s="498">
        <v>0</v>
      </c>
      <c r="CF16" s="499">
        <v>0</v>
      </c>
      <c r="CG16" s="517">
        <v>0</v>
      </c>
      <c r="CH16" s="501">
        <v>0</v>
      </c>
      <c r="CI16" s="506">
        <v>0</v>
      </c>
      <c r="CJ16" s="497"/>
    </row>
    <row r="17" spans="1:87" s="368" customFormat="1" ht="13.5" customHeight="1">
      <c r="B17" s="520">
        <v>2018</v>
      </c>
      <c r="C17" s="518" t="s">
        <v>233</v>
      </c>
      <c r="D17" s="518" t="s">
        <v>234</v>
      </c>
      <c r="E17" s="518" t="s">
        <v>235</v>
      </c>
      <c r="F17" s="518" t="s">
        <v>236</v>
      </c>
      <c r="G17" s="519" t="s">
        <v>237</v>
      </c>
      <c r="H17" s="518" t="s">
        <v>238</v>
      </c>
      <c r="I17" s="518" t="s">
        <v>239</v>
      </c>
      <c r="J17" s="518"/>
      <c r="K17" s="518" t="s">
        <v>38</v>
      </c>
      <c r="L17" s="521" t="s">
        <v>39</v>
      </c>
      <c r="M17" s="531">
        <v>5</v>
      </c>
      <c r="N17" s="532">
        <v>500</v>
      </c>
      <c r="O17" s="533">
        <v>0</v>
      </c>
      <c r="P17" s="515">
        <v>0</v>
      </c>
      <c r="Q17" s="498">
        <v>0</v>
      </c>
      <c r="R17" s="500">
        <v>0</v>
      </c>
      <c r="S17" s="523"/>
      <c r="T17" s="524"/>
      <c r="U17" s="525"/>
      <c r="V17" s="515">
        <v>0</v>
      </c>
      <c r="W17" s="498">
        <v>0</v>
      </c>
      <c r="X17" s="499">
        <v>0</v>
      </c>
      <c r="Y17" s="523"/>
      <c r="Z17" s="524"/>
      <c r="AA17" s="525"/>
      <c r="AB17" s="513">
        <v>0</v>
      </c>
      <c r="AC17" s="498">
        <v>0</v>
      </c>
      <c r="AD17" s="500">
        <v>0</v>
      </c>
      <c r="AE17" s="523"/>
      <c r="AF17" s="524"/>
      <c r="AG17" s="525"/>
      <c r="AH17" s="515">
        <v>0</v>
      </c>
      <c r="AI17" s="498">
        <v>0</v>
      </c>
      <c r="AJ17" s="499">
        <v>0</v>
      </c>
      <c r="AK17" s="523"/>
      <c r="AL17" s="524"/>
      <c r="AM17" s="525"/>
      <c r="AN17" s="513">
        <v>0</v>
      </c>
      <c r="AO17" s="498">
        <v>0</v>
      </c>
      <c r="AP17" s="500">
        <v>0</v>
      </c>
      <c r="AQ17" s="523"/>
      <c r="AR17" s="524"/>
      <c r="AS17" s="525"/>
      <c r="AT17" s="515">
        <v>0</v>
      </c>
      <c r="AU17" s="498">
        <v>0</v>
      </c>
      <c r="AV17" s="499">
        <v>0</v>
      </c>
      <c r="AW17" s="523"/>
      <c r="AX17" s="524"/>
      <c r="AY17" s="525"/>
      <c r="AZ17" s="513">
        <v>0</v>
      </c>
      <c r="BA17" s="498">
        <v>0</v>
      </c>
      <c r="BB17" s="500">
        <v>0</v>
      </c>
      <c r="BC17" s="523"/>
      <c r="BD17" s="524"/>
      <c r="BE17" s="525"/>
      <c r="BF17" s="515">
        <v>0</v>
      </c>
      <c r="BG17" s="498">
        <v>0</v>
      </c>
      <c r="BH17" s="499">
        <v>0</v>
      </c>
      <c r="BI17" s="523"/>
      <c r="BJ17" s="524"/>
      <c r="BK17" s="525"/>
      <c r="BL17" s="513">
        <v>0</v>
      </c>
      <c r="BM17" s="498">
        <v>0</v>
      </c>
      <c r="BN17" s="500">
        <v>0</v>
      </c>
      <c r="BO17" s="523"/>
      <c r="BP17" s="524"/>
      <c r="BQ17" s="525"/>
      <c r="BR17" s="515">
        <v>0</v>
      </c>
      <c r="BS17" s="498">
        <v>0</v>
      </c>
      <c r="BT17" s="499">
        <v>0</v>
      </c>
      <c r="BU17" s="523"/>
      <c r="BV17" s="524"/>
      <c r="BW17" s="525"/>
      <c r="BX17" s="513">
        <v>0</v>
      </c>
      <c r="BY17" s="498">
        <v>0</v>
      </c>
      <c r="BZ17" s="500">
        <v>0</v>
      </c>
      <c r="CA17" s="523"/>
      <c r="CB17" s="524"/>
      <c r="CC17" s="525"/>
      <c r="CD17" s="515">
        <v>0</v>
      </c>
      <c r="CE17" s="498">
        <v>0</v>
      </c>
      <c r="CF17" s="499">
        <v>0</v>
      </c>
      <c r="CG17" s="517">
        <v>0</v>
      </c>
      <c r="CH17" s="501">
        <v>0</v>
      </c>
      <c r="CI17" s="506">
        <v>0</v>
      </c>
    </row>
    <row r="18" spans="1:87" s="368" customFormat="1" ht="13.5" customHeight="1">
      <c r="B18" s="520">
        <v>2018</v>
      </c>
      <c r="C18" s="518" t="s">
        <v>233</v>
      </c>
      <c r="D18" s="518" t="s">
        <v>234</v>
      </c>
      <c r="E18" s="518" t="s">
        <v>235</v>
      </c>
      <c r="F18" s="518" t="s">
        <v>236</v>
      </c>
      <c r="G18" s="519" t="s">
        <v>243</v>
      </c>
      <c r="H18" s="518" t="s">
        <v>244</v>
      </c>
      <c r="I18" s="518" t="s">
        <v>245</v>
      </c>
      <c r="J18" s="518" t="s">
        <v>83</v>
      </c>
      <c r="K18" s="518" t="s">
        <v>0</v>
      </c>
      <c r="L18" s="521" t="s">
        <v>12</v>
      </c>
      <c r="M18" s="531">
        <v>6</v>
      </c>
      <c r="N18" s="532">
        <v>80000</v>
      </c>
      <c r="O18" s="533">
        <v>20000</v>
      </c>
      <c r="P18" s="515">
        <v>3</v>
      </c>
      <c r="Q18" s="498">
        <v>114000</v>
      </c>
      <c r="R18" s="500">
        <v>54000</v>
      </c>
      <c r="S18" s="523"/>
      <c r="T18" s="524"/>
      <c r="U18" s="525"/>
      <c r="V18" s="514">
        <v>4</v>
      </c>
      <c r="W18" s="498">
        <v>152000</v>
      </c>
      <c r="X18" s="499">
        <v>68000</v>
      </c>
      <c r="Y18" s="523"/>
      <c r="Z18" s="524"/>
      <c r="AA18" s="525"/>
      <c r="AB18" s="516">
        <v>4</v>
      </c>
      <c r="AC18" s="498">
        <v>152000</v>
      </c>
      <c r="AD18" s="500">
        <v>84000</v>
      </c>
      <c r="AE18" s="523"/>
      <c r="AF18" s="524"/>
      <c r="AG18" s="525"/>
      <c r="AH18" s="514">
        <v>5</v>
      </c>
      <c r="AI18" s="498">
        <v>190000</v>
      </c>
      <c r="AJ18" s="499">
        <v>95000</v>
      </c>
      <c r="AK18" s="523"/>
      <c r="AL18" s="524"/>
      <c r="AM18" s="525"/>
      <c r="AN18" s="516">
        <v>4</v>
      </c>
      <c r="AO18" s="498">
        <v>152000</v>
      </c>
      <c r="AP18" s="500">
        <v>84000</v>
      </c>
      <c r="AQ18" s="523"/>
      <c r="AR18" s="524"/>
      <c r="AS18" s="525"/>
      <c r="AT18" s="514">
        <v>4</v>
      </c>
      <c r="AU18" s="498">
        <v>152000</v>
      </c>
      <c r="AV18" s="499">
        <v>76000</v>
      </c>
      <c r="AW18" s="523"/>
      <c r="AX18" s="524"/>
      <c r="AY18" s="525"/>
      <c r="AZ18" s="516">
        <v>4</v>
      </c>
      <c r="BA18" s="498">
        <v>152000</v>
      </c>
      <c r="BB18" s="500">
        <v>84000</v>
      </c>
      <c r="BC18" s="523"/>
      <c r="BD18" s="524"/>
      <c r="BE18" s="525"/>
      <c r="BF18" s="514">
        <v>4</v>
      </c>
      <c r="BG18" s="498">
        <v>152000</v>
      </c>
      <c r="BH18" s="499">
        <v>76000</v>
      </c>
      <c r="BI18" s="523"/>
      <c r="BJ18" s="524"/>
      <c r="BK18" s="525"/>
      <c r="BL18" s="516">
        <v>2</v>
      </c>
      <c r="BM18" s="498">
        <v>76000</v>
      </c>
      <c r="BN18" s="500">
        <v>42000</v>
      </c>
      <c r="BO18" s="523"/>
      <c r="BP18" s="524"/>
      <c r="BQ18" s="525"/>
      <c r="BR18" s="514">
        <v>3</v>
      </c>
      <c r="BS18" s="498">
        <v>114000</v>
      </c>
      <c r="BT18" s="499">
        <v>36000</v>
      </c>
      <c r="BU18" s="523"/>
      <c r="BV18" s="524"/>
      <c r="BW18" s="525"/>
      <c r="BX18" s="516">
        <v>3</v>
      </c>
      <c r="BY18" s="498">
        <v>114000</v>
      </c>
      <c r="BZ18" s="500">
        <v>51000</v>
      </c>
      <c r="CA18" s="523"/>
      <c r="CB18" s="524"/>
      <c r="CC18" s="525"/>
      <c r="CD18" s="514">
        <v>5</v>
      </c>
      <c r="CE18" s="498">
        <v>190000</v>
      </c>
      <c r="CF18" s="499">
        <v>95000</v>
      </c>
      <c r="CG18" s="517">
        <v>45</v>
      </c>
      <c r="CH18" s="501">
        <v>1710000</v>
      </c>
      <c r="CI18" s="506">
        <v>845000</v>
      </c>
    </row>
    <row r="19" spans="1:87" s="368" customFormat="1" ht="13.5" customHeight="1">
      <c r="B19" s="520">
        <v>2018</v>
      </c>
      <c r="C19" s="518" t="s">
        <v>233</v>
      </c>
      <c r="D19" s="518" t="s">
        <v>234</v>
      </c>
      <c r="E19" s="518" t="s">
        <v>235</v>
      </c>
      <c r="F19" s="518" t="s">
        <v>236</v>
      </c>
      <c r="G19" s="519" t="s">
        <v>243</v>
      </c>
      <c r="H19" s="518" t="s">
        <v>244</v>
      </c>
      <c r="I19" s="518" t="s">
        <v>245</v>
      </c>
      <c r="J19" s="518" t="s">
        <v>83</v>
      </c>
      <c r="K19" s="518" t="s">
        <v>1</v>
      </c>
      <c r="L19" s="521" t="s">
        <v>13</v>
      </c>
      <c r="M19" s="531"/>
      <c r="N19" s="532"/>
      <c r="O19" s="533"/>
      <c r="P19" s="515">
        <v>0</v>
      </c>
      <c r="Q19" s="498">
        <v>0</v>
      </c>
      <c r="R19" s="500">
        <v>0</v>
      </c>
      <c r="S19" s="523"/>
      <c r="T19" s="524"/>
      <c r="U19" s="525"/>
      <c r="V19" s="514">
        <v>0</v>
      </c>
      <c r="W19" s="498">
        <v>0</v>
      </c>
      <c r="X19" s="499">
        <v>0</v>
      </c>
      <c r="Y19" s="523"/>
      <c r="Z19" s="524"/>
      <c r="AA19" s="525"/>
      <c r="AB19" s="516">
        <v>0</v>
      </c>
      <c r="AC19" s="498">
        <v>0</v>
      </c>
      <c r="AD19" s="500">
        <v>0</v>
      </c>
      <c r="AE19" s="523"/>
      <c r="AF19" s="524"/>
      <c r="AG19" s="525"/>
      <c r="AH19" s="514">
        <v>0</v>
      </c>
      <c r="AI19" s="498">
        <v>0</v>
      </c>
      <c r="AJ19" s="499">
        <v>0</v>
      </c>
      <c r="AK19" s="523"/>
      <c r="AL19" s="524"/>
      <c r="AM19" s="525"/>
      <c r="AN19" s="516">
        <v>0</v>
      </c>
      <c r="AO19" s="498">
        <v>0</v>
      </c>
      <c r="AP19" s="500">
        <v>0</v>
      </c>
      <c r="AQ19" s="523"/>
      <c r="AR19" s="524"/>
      <c r="AS19" s="525"/>
      <c r="AT19" s="514">
        <v>0</v>
      </c>
      <c r="AU19" s="498">
        <v>0</v>
      </c>
      <c r="AV19" s="499">
        <v>0</v>
      </c>
      <c r="AW19" s="523"/>
      <c r="AX19" s="524"/>
      <c r="AY19" s="525"/>
      <c r="AZ19" s="516">
        <v>0</v>
      </c>
      <c r="BA19" s="498">
        <v>0</v>
      </c>
      <c r="BB19" s="500">
        <v>0</v>
      </c>
      <c r="BC19" s="523"/>
      <c r="BD19" s="524"/>
      <c r="BE19" s="525"/>
      <c r="BF19" s="514">
        <v>0</v>
      </c>
      <c r="BG19" s="498">
        <v>0</v>
      </c>
      <c r="BH19" s="499">
        <v>0</v>
      </c>
      <c r="BI19" s="523"/>
      <c r="BJ19" s="524"/>
      <c r="BK19" s="525"/>
      <c r="BL19" s="516">
        <v>0</v>
      </c>
      <c r="BM19" s="498">
        <v>0</v>
      </c>
      <c r="BN19" s="500">
        <v>0</v>
      </c>
      <c r="BO19" s="523"/>
      <c r="BP19" s="524"/>
      <c r="BQ19" s="525"/>
      <c r="BR19" s="514">
        <v>0</v>
      </c>
      <c r="BS19" s="498">
        <v>0</v>
      </c>
      <c r="BT19" s="499">
        <v>0</v>
      </c>
      <c r="BU19" s="523"/>
      <c r="BV19" s="524"/>
      <c r="BW19" s="525"/>
      <c r="BX19" s="516">
        <v>0</v>
      </c>
      <c r="BY19" s="498">
        <v>0</v>
      </c>
      <c r="BZ19" s="500">
        <v>0</v>
      </c>
      <c r="CA19" s="523"/>
      <c r="CB19" s="524"/>
      <c r="CC19" s="525"/>
      <c r="CD19" s="514">
        <v>0</v>
      </c>
      <c r="CE19" s="498">
        <v>0</v>
      </c>
      <c r="CF19" s="499">
        <v>0</v>
      </c>
      <c r="CG19" s="517">
        <v>0</v>
      </c>
      <c r="CH19" s="501">
        <v>0</v>
      </c>
      <c r="CI19" s="506">
        <v>0</v>
      </c>
    </row>
    <row r="20" spans="1:87" s="368" customFormat="1" ht="13.5" customHeight="1">
      <c r="B20" s="520">
        <v>2018</v>
      </c>
      <c r="C20" s="518" t="s">
        <v>233</v>
      </c>
      <c r="D20" s="518" t="s">
        <v>234</v>
      </c>
      <c r="E20" s="518" t="s">
        <v>235</v>
      </c>
      <c r="F20" s="518" t="s">
        <v>236</v>
      </c>
      <c r="G20" s="519" t="s">
        <v>243</v>
      </c>
      <c r="H20" s="518" t="s">
        <v>244</v>
      </c>
      <c r="I20" s="518" t="s">
        <v>245</v>
      </c>
      <c r="J20" s="518"/>
      <c r="K20" s="518" t="s">
        <v>31</v>
      </c>
      <c r="L20" s="521" t="s">
        <v>32</v>
      </c>
      <c r="M20" s="531"/>
      <c r="N20" s="532"/>
      <c r="O20" s="533"/>
      <c r="P20" s="515">
        <v>0</v>
      </c>
      <c r="Q20" s="498">
        <v>0</v>
      </c>
      <c r="R20" s="500">
        <v>0</v>
      </c>
      <c r="S20" s="523"/>
      <c r="T20" s="524"/>
      <c r="U20" s="525"/>
      <c r="V20" s="515">
        <v>0</v>
      </c>
      <c r="W20" s="498">
        <v>0</v>
      </c>
      <c r="X20" s="499">
        <v>0</v>
      </c>
      <c r="Y20" s="523"/>
      <c r="Z20" s="524"/>
      <c r="AA20" s="525"/>
      <c r="AB20" s="513">
        <v>0</v>
      </c>
      <c r="AC20" s="498">
        <v>0</v>
      </c>
      <c r="AD20" s="500">
        <v>0</v>
      </c>
      <c r="AE20" s="523"/>
      <c r="AF20" s="524"/>
      <c r="AG20" s="525"/>
      <c r="AH20" s="515">
        <v>0</v>
      </c>
      <c r="AI20" s="498">
        <v>0</v>
      </c>
      <c r="AJ20" s="499">
        <v>0</v>
      </c>
      <c r="AK20" s="523"/>
      <c r="AL20" s="524"/>
      <c r="AM20" s="525"/>
      <c r="AN20" s="513">
        <v>0</v>
      </c>
      <c r="AO20" s="498">
        <v>0</v>
      </c>
      <c r="AP20" s="500">
        <v>0</v>
      </c>
      <c r="AQ20" s="523"/>
      <c r="AR20" s="524"/>
      <c r="AS20" s="525"/>
      <c r="AT20" s="515">
        <v>0</v>
      </c>
      <c r="AU20" s="498">
        <v>0</v>
      </c>
      <c r="AV20" s="499">
        <v>0</v>
      </c>
      <c r="AW20" s="523"/>
      <c r="AX20" s="524"/>
      <c r="AY20" s="525"/>
      <c r="AZ20" s="513">
        <v>0</v>
      </c>
      <c r="BA20" s="498">
        <v>0</v>
      </c>
      <c r="BB20" s="500">
        <v>0</v>
      </c>
      <c r="BC20" s="523"/>
      <c r="BD20" s="524"/>
      <c r="BE20" s="525"/>
      <c r="BF20" s="515">
        <v>0</v>
      </c>
      <c r="BG20" s="498">
        <v>0</v>
      </c>
      <c r="BH20" s="499">
        <v>0</v>
      </c>
      <c r="BI20" s="523"/>
      <c r="BJ20" s="524"/>
      <c r="BK20" s="525"/>
      <c r="BL20" s="513">
        <v>0</v>
      </c>
      <c r="BM20" s="498">
        <v>0</v>
      </c>
      <c r="BN20" s="500">
        <v>0</v>
      </c>
      <c r="BO20" s="523"/>
      <c r="BP20" s="524"/>
      <c r="BQ20" s="525"/>
      <c r="BR20" s="515">
        <v>0</v>
      </c>
      <c r="BS20" s="498">
        <v>0</v>
      </c>
      <c r="BT20" s="499">
        <v>0</v>
      </c>
      <c r="BU20" s="523"/>
      <c r="BV20" s="524"/>
      <c r="BW20" s="525"/>
      <c r="BX20" s="513">
        <v>0</v>
      </c>
      <c r="BY20" s="498">
        <v>0</v>
      </c>
      <c r="BZ20" s="500">
        <v>0</v>
      </c>
      <c r="CA20" s="523"/>
      <c r="CB20" s="524"/>
      <c r="CC20" s="525"/>
      <c r="CD20" s="515">
        <v>0</v>
      </c>
      <c r="CE20" s="498">
        <v>0</v>
      </c>
      <c r="CF20" s="499">
        <v>0</v>
      </c>
      <c r="CG20" s="517">
        <v>0</v>
      </c>
      <c r="CH20" s="501">
        <v>0</v>
      </c>
      <c r="CI20" s="506">
        <v>0</v>
      </c>
    </row>
    <row r="21" spans="1:87" s="368" customFormat="1" ht="13.5" customHeight="1">
      <c r="B21" s="520">
        <v>2018</v>
      </c>
      <c r="C21" s="518" t="s">
        <v>233</v>
      </c>
      <c r="D21" s="518" t="s">
        <v>234</v>
      </c>
      <c r="E21" s="518" t="s">
        <v>235</v>
      </c>
      <c r="F21" s="518" t="s">
        <v>236</v>
      </c>
      <c r="G21" s="519" t="s">
        <v>243</v>
      </c>
      <c r="H21" s="518" t="s">
        <v>244</v>
      </c>
      <c r="I21" s="518" t="s">
        <v>245</v>
      </c>
      <c r="J21" s="518" t="s">
        <v>83</v>
      </c>
      <c r="K21" s="518" t="s">
        <v>2</v>
      </c>
      <c r="L21" s="521" t="s">
        <v>16</v>
      </c>
      <c r="M21" s="531"/>
      <c r="N21" s="532"/>
      <c r="O21" s="533"/>
      <c r="P21" s="515">
        <v>0</v>
      </c>
      <c r="Q21" s="498">
        <v>0</v>
      </c>
      <c r="R21" s="500">
        <v>0</v>
      </c>
      <c r="S21" s="523"/>
      <c r="T21" s="524"/>
      <c r="U21" s="525"/>
      <c r="V21" s="514">
        <v>0</v>
      </c>
      <c r="W21" s="498">
        <v>0</v>
      </c>
      <c r="X21" s="499">
        <v>0</v>
      </c>
      <c r="Y21" s="523"/>
      <c r="Z21" s="524"/>
      <c r="AA21" s="525"/>
      <c r="AB21" s="516">
        <v>0</v>
      </c>
      <c r="AC21" s="498">
        <v>0</v>
      </c>
      <c r="AD21" s="500">
        <v>0</v>
      </c>
      <c r="AE21" s="523"/>
      <c r="AF21" s="524"/>
      <c r="AG21" s="525"/>
      <c r="AH21" s="514">
        <v>0</v>
      </c>
      <c r="AI21" s="498">
        <v>0</v>
      </c>
      <c r="AJ21" s="499">
        <v>0</v>
      </c>
      <c r="AK21" s="523"/>
      <c r="AL21" s="524"/>
      <c r="AM21" s="525"/>
      <c r="AN21" s="516">
        <v>0</v>
      </c>
      <c r="AO21" s="498">
        <v>0</v>
      </c>
      <c r="AP21" s="500">
        <v>0</v>
      </c>
      <c r="AQ21" s="523"/>
      <c r="AR21" s="524"/>
      <c r="AS21" s="525"/>
      <c r="AT21" s="514">
        <v>0</v>
      </c>
      <c r="AU21" s="498">
        <v>0</v>
      </c>
      <c r="AV21" s="499">
        <v>0</v>
      </c>
      <c r="AW21" s="523"/>
      <c r="AX21" s="524"/>
      <c r="AY21" s="525"/>
      <c r="AZ21" s="516">
        <v>0</v>
      </c>
      <c r="BA21" s="498">
        <v>0</v>
      </c>
      <c r="BB21" s="500">
        <v>0</v>
      </c>
      <c r="BC21" s="523"/>
      <c r="BD21" s="524"/>
      <c r="BE21" s="525"/>
      <c r="BF21" s="514">
        <v>0</v>
      </c>
      <c r="BG21" s="498">
        <v>0</v>
      </c>
      <c r="BH21" s="499">
        <v>0</v>
      </c>
      <c r="BI21" s="523"/>
      <c r="BJ21" s="524"/>
      <c r="BK21" s="525"/>
      <c r="BL21" s="516">
        <v>0</v>
      </c>
      <c r="BM21" s="498">
        <v>0</v>
      </c>
      <c r="BN21" s="500">
        <v>0</v>
      </c>
      <c r="BO21" s="523"/>
      <c r="BP21" s="524"/>
      <c r="BQ21" s="525"/>
      <c r="BR21" s="514">
        <v>0</v>
      </c>
      <c r="BS21" s="498">
        <v>0</v>
      </c>
      <c r="BT21" s="499">
        <v>0</v>
      </c>
      <c r="BU21" s="523"/>
      <c r="BV21" s="524"/>
      <c r="BW21" s="525"/>
      <c r="BX21" s="516">
        <v>0</v>
      </c>
      <c r="BY21" s="498">
        <v>0</v>
      </c>
      <c r="BZ21" s="500">
        <v>0</v>
      </c>
      <c r="CA21" s="523"/>
      <c r="CB21" s="524"/>
      <c r="CC21" s="525"/>
      <c r="CD21" s="514">
        <v>0</v>
      </c>
      <c r="CE21" s="498">
        <v>0</v>
      </c>
      <c r="CF21" s="499">
        <v>0</v>
      </c>
      <c r="CG21" s="517">
        <v>0</v>
      </c>
      <c r="CH21" s="501">
        <v>0</v>
      </c>
      <c r="CI21" s="506">
        <v>0</v>
      </c>
    </row>
    <row r="22" spans="1:87" s="368" customFormat="1" ht="13.5" customHeight="1">
      <c r="B22" s="520">
        <v>2018</v>
      </c>
      <c r="C22" s="518" t="s">
        <v>233</v>
      </c>
      <c r="D22" s="518" t="s">
        <v>234</v>
      </c>
      <c r="E22" s="518" t="s">
        <v>235</v>
      </c>
      <c r="F22" s="518" t="s">
        <v>236</v>
      </c>
      <c r="G22" s="519" t="s">
        <v>243</v>
      </c>
      <c r="H22" s="518" t="s">
        <v>244</v>
      </c>
      <c r="I22" s="518" t="s">
        <v>245</v>
      </c>
      <c r="J22" s="518" t="s">
        <v>83</v>
      </c>
      <c r="K22" s="518" t="s">
        <v>3</v>
      </c>
      <c r="L22" s="521" t="s">
        <v>14</v>
      </c>
      <c r="M22" s="531"/>
      <c r="N22" s="532"/>
      <c r="O22" s="533"/>
      <c r="P22" s="515">
        <v>1</v>
      </c>
      <c r="Q22" s="498">
        <v>101000</v>
      </c>
      <c r="R22" s="500">
        <v>19000</v>
      </c>
      <c r="S22" s="523"/>
      <c r="T22" s="524"/>
      <c r="U22" s="525"/>
      <c r="V22" s="515">
        <v>1</v>
      </c>
      <c r="W22" s="498">
        <v>16000</v>
      </c>
      <c r="X22" s="499">
        <v>4000</v>
      </c>
      <c r="Y22" s="523"/>
      <c r="Z22" s="524"/>
      <c r="AA22" s="525"/>
      <c r="AB22" s="513">
        <v>0</v>
      </c>
      <c r="AC22" s="498">
        <v>0</v>
      </c>
      <c r="AD22" s="500">
        <v>0</v>
      </c>
      <c r="AE22" s="523"/>
      <c r="AF22" s="524"/>
      <c r="AG22" s="525"/>
      <c r="AH22" s="515">
        <v>0</v>
      </c>
      <c r="AI22" s="498">
        <v>0</v>
      </c>
      <c r="AJ22" s="499">
        <v>0</v>
      </c>
      <c r="AK22" s="523"/>
      <c r="AL22" s="524"/>
      <c r="AM22" s="525"/>
      <c r="AN22" s="513">
        <v>0</v>
      </c>
      <c r="AO22" s="498">
        <v>0</v>
      </c>
      <c r="AP22" s="500">
        <v>0</v>
      </c>
      <c r="AQ22" s="523"/>
      <c r="AR22" s="524"/>
      <c r="AS22" s="525"/>
      <c r="AT22" s="515">
        <v>0</v>
      </c>
      <c r="AU22" s="498">
        <v>0</v>
      </c>
      <c r="AV22" s="499">
        <v>0</v>
      </c>
      <c r="AW22" s="523"/>
      <c r="AX22" s="524"/>
      <c r="AY22" s="525"/>
      <c r="AZ22" s="513">
        <v>1</v>
      </c>
      <c r="BA22" s="498">
        <v>172000</v>
      </c>
      <c r="BB22" s="500">
        <v>22000</v>
      </c>
      <c r="BC22" s="523"/>
      <c r="BD22" s="524"/>
      <c r="BE22" s="525"/>
      <c r="BF22" s="515">
        <v>0</v>
      </c>
      <c r="BG22" s="498">
        <v>0</v>
      </c>
      <c r="BH22" s="499">
        <v>0</v>
      </c>
      <c r="BI22" s="523"/>
      <c r="BJ22" s="524"/>
      <c r="BK22" s="525"/>
      <c r="BL22" s="513">
        <v>1</v>
      </c>
      <c r="BM22" s="498">
        <v>328000</v>
      </c>
      <c r="BN22" s="500">
        <v>220000</v>
      </c>
      <c r="BO22" s="523"/>
      <c r="BP22" s="524"/>
      <c r="BQ22" s="525"/>
      <c r="BR22" s="515">
        <v>1</v>
      </c>
      <c r="BS22" s="498">
        <v>125000</v>
      </c>
      <c r="BT22" s="499">
        <v>78000</v>
      </c>
      <c r="BU22" s="523"/>
      <c r="BV22" s="524"/>
      <c r="BW22" s="525"/>
      <c r="BX22" s="513">
        <v>1</v>
      </c>
      <c r="BY22" s="498">
        <v>38000</v>
      </c>
      <c r="BZ22" s="500">
        <v>17000</v>
      </c>
      <c r="CA22" s="523"/>
      <c r="CB22" s="524"/>
      <c r="CC22" s="525"/>
      <c r="CD22" s="515">
        <v>1</v>
      </c>
      <c r="CE22" s="498">
        <v>238000</v>
      </c>
      <c r="CF22" s="499">
        <v>32000</v>
      </c>
      <c r="CG22" s="517">
        <v>7</v>
      </c>
      <c r="CH22" s="501">
        <v>1018000</v>
      </c>
      <c r="CI22" s="506">
        <v>392000</v>
      </c>
    </row>
    <row r="23" spans="1:87" s="368" customFormat="1" ht="13.5" customHeight="1">
      <c r="B23" s="520">
        <v>2018</v>
      </c>
      <c r="C23" s="518" t="s">
        <v>233</v>
      </c>
      <c r="D23" s="518" t="s">
        <v>234</v>
      </c>
      <c r="E23" s="518" t="s">
        <v>235</v>
      </c>
      <c r="F23" s="518" t="s">
        <v>236</v>
      </c>
      <c r="G23" s="519" t="s">
        <v>243</v>
      </c>
      <c r="H23" s="518" t="s">
        <v>244</v>
      </c>
      <c r="I23" s="518" t="s">
        <v>245</v>
      </c>
      <c r="J23" s="518" t="s">
        <v>83</v>
      </c>
      <c r="K23" s="518" t="s">
        <v>33</v>
      </c>
      <c r="L23" s="521" t="s">
        <v>34</v>
      </c>
      <c r="M23" s="531"/>
      <c r="N23" s="532"/>
      <c r="O23" s="533"/>
      <c r="P23" s="515">
        <v>0</v>
      </c>
      <c r="Q23" s="498">
        <v>0</v>
      </c>
      <c r="R23" s="500">
        <v>0</v>
      </c>
      <c r="S23" s="523"/>
      <c r="T23" s="524"/>
      <c r="U23" s="525"/>
      <c r="V23" s="515">
        <v>0</v>
      </c>
      <c r="W23" s="498">
        <v>0</v>
      </c>
      <c r="X23" s="499">
        <v>0</v>
      </c>
      <c r="Y23" s="523"/>
      <c r="Z23" s="524"/>
      <c r="AA23" s="525"/>
      <c r="AB23" s="513">
        <v>0</v>
      </c>
      <c r="AC23" s="498">
        <v>0</v>
      </c>
      <c r="AD23" s="500">
        <v>0</v>
      </c>
      <c r="AE23" s="523"/>
      <c r="AF23" s="524"/>
      <c r="AG23" s="525"/>
      <c r="AH23" s="515">
        <v>0</v>
      </c>
      <c r="AI23" s="498">
        <v>0</v>
      </c>
      <c r="AJ23" s="499">
        <v>0</v>
      </c>
      <c r="AK23" s="523"/>
      <c r="AL23" s="524"/>
      <c r="AM23" s="525"/>
      <c r="AN23" s="513">
        <v>0</v>
      </c>
      <c r="AO23" s="498">
        <v>0</v>
      </c>
      <c r="AP23" s="500">
        <v>0</v>
      </c>
      <c r="AQ23" s="523"/>
      <c r="AR23" s="524"/>
      <c r="AS23" s="525"/>
      <c r="AT23" s="515">
        <v>0</v>
      </c>
      <c r="AU23" s="498">
        <v>0</v>
      </c>
      <c r="AV23" s="499">
        <v>0</v>
      </c>
      <c r="AW23" s="523"/>
      <c r="AX23" s="524"/>
      <c r="AY23" s="525"/>
      <c r="AZ23" s="513">
        <v>0</v>
      </c>
      <c r="BA23" s="498">
        <v>0</v>
      </c>
      <c r="BB23" s="500">
        <v>0</v>
      </c>
      <c r="BC23" s="523"/>
      <c r="BD23" s="524"/>
      <c r="BE23" s="525"/>
      <c r="BF23" s="515">
        <v>0</v>
      </c>
      <c r="BG23" s="498">
        <v>0</v>
      </c>
      <c r="BH23" s="499">
        <v>0</v>
      </c>
      <c r="BI23" s="523"/>
      <c r="BJ23" s="524"/>
      <c r="BK23" s="525"/>
      <c r="BL23" s="513">
        <v>0</v>
      </c>
      <c r="BM23" s="498">
        <v>0</v>
      </c>
      <c r="BN23" s="500">
        <v>0</v>
      </c>
      <c r="BO23" s="523"/>
      <c r="BP23" s="524"/>
      <c r="BQ23" s="525"/>
      <c r="BR23" s="515">
        <v>0</v>
      </c>
      <c r="BS23" s="498">
        <v>0</v>
      </c>
      <c r="BT23" s="499">
        <v>0</v>
      </c>
      <c r="BU23" s="523"/>
      <c r="BV23" s="524"/>
      <c r="BW23" s="525"/>
      <c r="BX23" s="513">
        <v>0</v>
      </c>
      <c r="BY23" s="498">
        <v>0</v>
      </c>
      <c r="BZ23" s="500">
        <v>0</v>
      </c>
      <c r="CA23" s="523"/>
      <c r="CB23" s="524"/>
      <c r="CC23" s="525"/>
      <c r="CD23" s="515">
        <v>0</v>
      </c>
      <c r="CE23" s="498">
        <v>0</v>
      </c>
      <c r="CF23" s="499">
        <v>0</v>
      </c>
      <c r="CG23" s="517">
        <v>0</v>
      </c>
      <c r="CH23" s="501">
        <v>0</v>
      </c>
      <c r="CI23" s="506">
        <v>0</v>
      </c>
    </row>
    <row r="24" spans="1:87" s="368" customFormat="1" ht="13.5" customHeight="1">
      <c r="B24" s="520">
        <v>2018</v>
      </c>
      <c r="C24" s="518" t="s">
        <v>233</v>
      </c>
      <c r="D24" s="518" t="s">
        <v>234</v>
      </c>
      <c r="E24" s="518" t="s">
        <v>235</v>
      </c>
      <c r="F24" s="518" t="s">
        <v>236</v>
      </c>
      <c r="G24" s="519" t="s">
        <v>243</v>
      </c>
      <c r="H24" s="518" t="s">
        <v>244</v>
      </c>
      <c r="I24" s="518" t="s">
        <v>245</v>
      </c>
      <c r="J24" s="518"/>
      <c r="K24" s="518" t="s">
        <v>35</v>
      </c>
      <c r="L24" s="521" t="s">
        <v>240</v>
      </c>
      <c r="M24" s="531"/>
      <c r="N24" s="532"/>
      <c r="O24" s="533"/>
      <c r="P24" s="515">
        <v>0</v>
      </c>
      <c r="Q24" s="498">
        <v>0</v>
      </c>
      <c r="R24" s="500">
        <v>0</v>
      </c>
      <c r="S24" s="523"/>
      <c r="T24" s="524"/>
      <c r="U24" s="525"/>
      <c r="V24" s="514">
        <v>0</v>
      </c>
      <c r="W24" s="498">
        <v>0</v>
      </c>
      <c r="X24" s="499">
        <v>0</v>
      </c>
      <c r="Y24" s="523"/>
      <c r="Z24" s="524"/>
      <c r="AA24" s="525"/>
      <c r="AB24" s="516">
        <v>0</v>
      </c>
      <c r="AC24" s="498">
        <v>0</v>
      </c>
      <c r="AD24" s="500">
        <v>0</v>
      </c>
      <c r="AE24" s="523"/>
      <c r="AF24" s="524"/>
      <c r="AG24" s="525"/>
      <c r="AH24" s="514">
        <v>0</v>
      </c>
      <c r="AI24" s="498">
        <v>0</v>
      </c>
      <c r="AJ24" s="499">
        <v>0</v>
      </c>
      <c r="AK24" s="523"/>
      <c r="AL24" s="524"/>
      <c r="AM24" s="525"/>
      <c r="AN24" s="516">
        <v>0</v>
      </c>
      <c r="AO24" s="498">
        <v>0</v>
      </c>
      <c r="AP24" s="500">
        <v>0</v>
      </c>
      <c r="AQ24" s="523"/>
      <c r="AR24" s="524"/>
      <c r="AS24" s="525"/>
      <c r="AT24" s="514">
        <v>0</v>
      </c>
      <c r="AU24" s="498">
        <v>0</v>
      </c>
      <c r="AV24" s="499">
        <v>0</v>
      </c>
      <c r="AW24" s="523"/>
      <c r="AX24" s="524"/>
      <c r="AY24" s="525"/>
      <c r="AZ24" s="516">
        <v>0</v>
      </c>
      <c r="BA24" s="498">
        <v>0</v>
      </c>
      <c r="BB24" s="500">
        <v>0</v>
      </c>
      <c r="BC24" s="523"/>
      <c r="BD24" s="524"/>
      <c r="BE24" s="525"/>
      <c r="BF24" s="514">
        <v>0</v>
      </c>
      <c r="BG24" s="498">
        <v>0</v>
      </c>
      <c r="BH24" s="499">
        <v>0</v>
      </c>
      <c r="BI24" s="523"/>
      <c r="BJ24" s="524"/>
      <c r="BK24" s="525"/>
      <c r="BL24" s="516">
        <v>0</v>
      </c>
      <c r="BM24" s="498">
        <v>0</v>
      </c>
      <c r="BN24" s="500">
        <v>0</v>
      </c>
      <c r="BO24" s="523"/>
      <c r="BP24" s="524"/>
      <c r="BQ24" s="525"/>
      <c r="BR24" s="514">
        <v>0</v>
      </c>
      <c r="BS24" s="498">
        <v>0</v>
      </c>
      <c r="BT24" s="499">
        <v>0</v>
      </c>
      <c r="BU24" s="523"/>
      <c r="BV24" s="524"/>
      <c r="BW24" s="525"/>
      <c r="BX24" s="516">
        <v>0</v>
      </c>
      <c r="BY24" s="498">
        <v>0</v>
      </c>
      <c r="BZ24" s="500">
        <v>0</v>
      </c>
      <c r="CA24" s="523"/>
      <c r="CB24" s="524"/>
      <c r="CC24" s="525"/>
      <c r="CD24" s="514">
        <v>0</v>
      </c>
      <c r="CE24" s="498">
        <v>0</v>
      </c>
      <c r="CF24" s="499">
        <v>0</v>
      </c>
      <c r="CG24" s="517">
        <v>0</v>
      </c>
      <c r="CH24" s="501">
        <v>0</v>
      </c>
      <c r="CI24" s="506">
        <v>0</v>
      </c>
    </row>
    <row r="25" spans="1:87" s="368" customFormat="1" ht="13.5" customHeight="1">
      <c r="B25" s="520">
        <v>2018</v>
      </c>
      <c r="C25" s="518" t="s">
        <v>233</v>
      </c>
      <c r="D25" s="518" t="s">
        <v>234</v>
      </c>
      <c r="E25" s="518" t="s">
        <v>235</v>
      </c>
      <c r="F25" s="518" t="s">
        <v>236</v>
      </c>
      <c r="G25" s="519" t="s">
        <v>243</v>
      </c>
      <c r="H25" s="518" t="s">
        <v>244</v>
      </c>
      <c r="I25" s="518" t="s">
        <v>245</v>
      </c>
      <c r="J25" s="518"/>
      <c r="K25" s="518" t="s">
        <v>36</v>
      </c>
      <c r="L25" s="521" t="s">
        <v>37</v>
      </c>
      <c r="M25" s="531"/>
      <c r="N25" s="532"/>
      <c r="O25" s="533"/>
      <c r="P25" s="515">
        <v>0</v>
      </c>
      <c r="Q25" s="498">
        <v>0</v>
      </c>
      <c r="R25" s="500">
        <v>0</v>
      </c>
      <c r="S25" s="523"/>
      <c r="T25" s="524"/>
      <c r="U25" s="525"/>
      <c r="V25" s="515">
        <v>0</v>
      </c>
      <c r="W25" s="498">
        <v>0</v>
      </c>
      <c r="X25" s="499">
        <v>0</v>
      </c>
      <c r="Y25" s="523"/>
      <c r="Z25" s="524"/>
      <c r="AA25" s="525"/>
      <c r="AB25" s="513">
        <v>0</v>
      </c>
      <c r="AC25" s="498">
        <v>0</v>
      </c>
      <c r="AD25" s="500">
        <v>0</v>
      </c>
      <c r="AE25" s="523"/>
      <c r="AF25" s="524"/>
      <c r="AG25" s="525"/>
      <c r="AH25" s="515">
        <v>0</v>
      </c>
      <c r="AI25" s="498">
        <v>0</v>
      </c>
      <c r="AJ25" s="499">
        <v>0</v>
      </c>
      <c r="AK25" s="523"/>
      <c r="AL25" s="524"/>
      <c r="AM25" s="525"/>
      <c r="AN25" s="513">
        <v>0</v>
      </c>
      <c r="AO25" s="498">
        <v>0</v>
      </c>
      <c r="AP25" s="500">
        <v>0</v>
      </c>
      <c r="AQ25" s="523"/>
      <c r="AR25" s="524"/>
      <c r="AS25" s="525"/>
      <c r="AT25" s="515">
        <v>0</v>
      </c>
      <c r="AU25" s="498">
        <v>0</v>
      </c>
      <c r="AV25" s="499">
        <v>0</v>
      </c>
      <c r="AW25" s="523"/>
      <c r="AX25" s="524"/>
      <c r="AY25" s="525"/>
      <c r="AZ25" s="513">
        <v>0</v>
      </c>
      <c r="BA25" s="498">
        <v>0</v>
      </c>
      <c r="BB25" s="500">
        <v>0</v>
      </c>
      <c r="BC25" s="523"/>
      <c r="BD25" s="524"/>
      <c r="BE25" s="525"/>
      <c r="BF25" s="515">
        <v>0</v>
      </c>
      <c r="BG25" s="498">
        <v>0</v>
      </c>
      <c r="BH25" s="499">
        <v>0</v>
      </c>
      <c r="BI25" s="523"/>
      <c r="BJ25" s="524"/>
      <c r="BK25" s="525"/>
      <c r="BL25" s="513">
        <v>0</v>
      </c>
      <c r="BM25" s="498">
        <v>0</v>
      </c>
      <c r="BN25" s="500">
        <v>0</v>
      </c>
      <c r="BO25" s="523"/>
      <c r="BP25" s="524"/>
      <c r="BQ25" s="525"/>
      <c r="BR25" s="515">
        <v>0</v>
      </c>
      <c r="BS25" s="498">
        <v>0</v>
      </c>
      <c r="BT25" s="499">
        <v>0</v>
      </c>
      <c r="BU25" s="523"/>
      <c r="BV25" s="524"/>
      <c r="BW25" s="525"/>
      <c r="BX25" s="513">
        <v>0</v>
      </c>
      <c r="BY25" s="498">
        <v>0</v>
      </c>
      <c r="BZ25" s="500">
        <v>0</v>
      </c>
      <c r="CA25" s="523"/>
      <c r="CB25" s="524"/>
      <c r="CC25" s="525"/>
      <c r="CD25" s="515">
        <v>0</v>
      </c>
      <c r="CE25" s="498">
        <v>0</v>
      </c>
      <c r="CF25" s="499">
        <v>0</v>
      </c>
      <c r="CG25" s="517">
        <v>0</v>
      </c>
      <c r="CH25" s="501">
        <v>0</v>
      </c>
      <c r="CI25" s="506">
        <v>0</v>
      </c>
    </row>
    <row r="26" spans="1:87" s="368" customFormat="1" ht="13.5" customHeight="1">
      <c r="B26" s="520">
        <v>2018</v>
      </c>
      <c r="C26" s="518" t="s">
        <v>233</v>
      </c>
      <c r="D26" s="518" t="s">
        <v>234</v>
      </c>
      <c r="E26" s="518" t="s">
        <v>235</v>
      </c>
      <c r="F26" s="518" t="s">
        <v>236</v>
      </c>
      <c r="G26" s="519" t="s">
        <v>243</v>
      </c>
      <c r="H26" s="518" t="s">
        <v>244</v>
      </c>
      <c r="I26" s="518" t="s">
        <v>245</v>
      </c>
      <c r="J26" s="518"/>
      <c r="K26" s="518" t="s">
        <v>38</v>
      </c>
      <c r="L26" s="521" t="s">
        <v>39</v>
      </c>
      <c r="M26" s="531"/>
      <c r="N26" s="532"/>
      <c r="O26" s="533"/>
      <c r="P26" s="515">
        <v>0</v>
      </c>
      <c r="Q26" s="498">
        <v>0</v>
      </c>
      <c r="R26" s="500">
        <v>0</v>
      </c>
      <c r="S26" s="523"/>
      <c r="T26" s="524"/>
      <c r="U26" s="525"/>
      <c r="V26" s="514">
        <v>0</v>
      </c>
      <c r="W26" s="498">
        <v>0</v>
      </c>
      <c r="X26" s="499">
        <v>0</v>
      </c>
      <c r="Y26" s="523"/>
      <c r="Z26" s="524"/>
      <c r="AA26" s="525"/>
      <c r="AB26" s="516">
        <v>0</v>
      </c>
      <c r="AC26" s="498">
        <v>0</v>
      </c>
      <c r="AD26" s="500">
        <v>0</v>
      </c>
      <c r="AE26" s="523"/>
      <c r="AF26" s="524"/>
      <c r="AG26" s="525"/>
      <c r="AH26" s="514">
        <v>0</v>
      </c>
      <c r="AI26" s="498">
        <v>0</v>
      </c>
      <c r="AJ26" s="499">
        <v>0</v>
      </c>
      <c r="AK26" s="523"/>
      <c r="AL26" s="524"/>
      <c r="AM26" s="525"/>
      <c r="AN26" s="516">
        <v>0</v>
      </c>
      <c r="AO26" s="498">
        <v>0</v>
      </c>
      <c r="AP26" s="500">
        <v>0</v>
      </c>
      <c r="AQ26" s="523"/>
      <c r="AR26" s="524"/>
      <c r="AS26" s="525"/>
      <c r="AT26" s="514">
        <v>0</v>
      </c>
      <c r="AU26" s="498">
        <v>0</v>
      </c>
      <c r="AV26" s="499">
        <v>0</v>
      </c>
      <c r="AW26" s="523"/>
      <c r="AX26" s="524"/>
      <c r="AY26" s="525"/>
      <c r="AZ26" s="516">
        <v>0</v>
      </c>
      <c r="BA26" s="498">
        <v>0</v>
      </c>
      <c r="BB26" s="500">
        <v>0</v>
      </c>
      <c r="BC26" s="523"/>
      <c r="BD26" s="524"/>
      <c r="BE26" s="525"/>
      <c r="BF26" s="514">
        <v>0</v>
      </c>
      <c r="BG26" s="498">
        <v>0</v>
      </c>
      <c r="BH26" s="499">
        <v>0</v>
      </c>
      <c r="BI26" s="523"/>
      <c r="BJ26" s="524"/>
      <c r="BK26" s="525"/>
      <c r="BL26" s="516">
        <v>0</v>
      </c>
      <c r="BM26" s="498">
        <v>0</v>
      </c>
      <c r="BN26" s="500">
        <v>0</v>
      </c>
      <c r="BO26" s="523"/>
      <c r="BP26" s="524"/>
      <c r="BQ26" s="525"/>
      <c r="BR26" s="514">
        <v>0</v>
      </c>
      <c r="BS26" s="498">
        <v>0</v>
      </c>
      <c r="BT26" s="499">
        <v>0</v>
      </c>
      <c r="BU26" s="523"/>
      <c r="BV26" s="524"/>
      <c r="BW26" s="525"/>
      <c r="BX26" s="516">
        <v>0</v>
      </c>
      <c r="BY26" s="498">
        <v>0</v>
      </c>
      <c r="BZ26" s="500">
        <v>0</v>
      </c>
      <c r="CA26" s="523"/>
      <c r="CB26" s="524"/>
      <c r="CC26" s="525"/>
      <c r="CD26" s="514">
        <v>0</v>
      </c>
      <c r="CE26" s="498">
        <v>0</v>
      </c>
      <c r="CF26" s="499">
        <v>0</v>
      </c>
      <c r="CG26" s="517">
        <v>0</v>
      </c>
      <c r="CH26" s="501">
        <v>0</v>
      </c>
      <c r="CI26" s="506">
        <v>0</v>
      </c>
    </row>
    <row r="27" spans="1:87" s="368" customFormat="1" ht="13.5" customHeight="1">
      <c r="B27" s="402"/>
      <c r="C27" s="400"/>
      <c r="D27" s="400"/>
      <c r="E27" s="400"/>
      <c r="F27" s="400"/>
      <c r="G27" s="401"/>
      <c r="H27" s="400"/>
      <c r="I27" s="400"/>
      <c r="J27" s="400"/>
      <c r="K27" s="400"/>
      <c r="L27" s="403"/>
      <c r="M27" s="441"/>
      <c r="N27" s="442"/>
      <c r="O27" s="443"/>
      <c r="P27" s="396"/>
      <c r="Q27" s="375"/>
      <c r="R27" s="378"/>
      <c r="S27" s="426"/>
      <c r="T27" s="427"/>
      <c r="U27" s="428"/>
      <c r="V27" s="395"/>
      <c r="W27" s="375"/>
      <c r="X27" s="376"/>
      <c r="Y27" s="426"/>
      <c r="Z27" s="427"/>
      <c r="AA27" s="428"/>
      <c r="AB27" s="397"/>
      <c r="AC27" s="375"/>
      <c r="AD27" s="378"/>
      <c r="AE27" s="426"/>
      <c r="AF27" s="427"/>
      <c r="AG27" s="428"/>
      <c r="AH27" s="395"/>
      <c r="AI27" s="375"/>
      <c r="AJ27" s="376"/>
      <c r="AK27" s="426"/>
      <c r="AL27" s="427"/>
      <c r="AM27" s="428"/>
      <c r="AN27" s="397"/>
      <c r="AO27" s="375"/>
      <c r="AP27" s="378"/>
      <c r="AQ27" s="426"/>
      <c r="AR27" s="427"/>
      <c r="AS27" s="428"/>
      <c r="AT27" s="395"/>
      <c r="AU27" s="375"/>
      <c r="AV27" s="376"/>
      <c r="AW27" s="426"/>
      <c r="AX27" s="427"/>
      <c r="AY27" s="428"/>
      <c r="AZ27" s="397"/>
      <c r="BA27" s="375"/>
      <c r="BB27" s="378"/>
      <c r="BC27" s="426"/>
      <c r="BD27" s="427"/>
      <c r="BE27" s="428"/>
      <c r="BF27" s="395"/>
      <c r="BG27" s="375"/>
      <c r="BH27" s="376"/>
      <c r="BI27" s="426"/>
      <c r="BJ27" s="427"/>
      <c r="BK27" s="428"/>
      <c r="BL27" s="397"/>
      <c r="BM27" s="375"/>
      <c r="BN27" s="378"/>
      <c r="BO27" s="426"/>
      <c r="BP27" s="427"/>
      <c r="BQ27" s="428"/>
      <c r="BR27" s="395"/>
      <c r="BS27" s="375"/>
      <c r="BT27" s="376"/>
      <c r="BU27" s="426"/>
      <c r="BV27" s="427"/>
      <c r="BW27" s="428"/>
      <c r="BX27" s="397"/>
      <c r="BY27" s="375"/>
      <c r="BZ27" s="378"/>
      <c r="CA27" s="426"/>
      <c r="CB27" s="427"/>
      <c r="CC27" s="428"/>
      <c r="CD27" s="395"/>
      <c r="CE27" s="375"/>
      <c r="CF27" s="376"/>
      <c r="CG27" s="398"/>
      <c r="CH27" s="383"/>
      <c r="CI27" s="385"/>
    </row>
    <row r="28" spans="1:87" s="368" customFormat="1" ht="13.5" customHeight="1">
      <c r="B28" s="402"/>
      <c r="C28" s="400"/>
      <c r="D28" s="400"/>
      <c r="E28" s="400"/>
      <c r="F28" s="400"/>
      <c r="G28" s="401"/>
      <c r="H28" s="400"/>
      <c r="I28" s="400"/>
      <c r="J28" s="400"/>
      <c r="K28" s="400"/>
      <c r="L28" s="403"/>
      <c r="M28" s="441"/>
      <c r="N28" s="442"/>
      <c r="O28" s="443"/>
      <c r="P28" s="396"/>
      <c r="Q28" s="375"/>
      <c r="R28" s="378"/>
      <c r="S28" s="426"/>
      <c r="T28" s="427"/>
      <c r="U28" s="428"/>
      <c r="V28" s="395"/>
      <c r="W28" s="375"/>
      <c r="X28" s="376"/>
      <c r="Y28" s="426"/>
      <c r="Z28" s="427"/>
      <c r="AA28" s="428"/>
      <c r="AB28" s="397"/>
      <c r="AC28" s="375"/>
      <c r="AD28" s="378"/>
      <c r="AE28" s="426"/>
      <c r="AF28" s="427"/>
      <c r="AG28" s="428"/>
      <c r="AH28" s="395"/>
      <c r="AI28" s="375"/>
      <c r="AJ28" s="376"/>
      <c r="AK28" s="426"/>
      <c r="AL28" s="427"/>
      <c r="AM28" s="428"/>
      <c r="AN28" s="397"/>
      <c r="AO28" s="375"/>
      <c r="AP28" s="378"/>
      <c r="AQ28" s="426"/>
      <c r="AR28" s="427"/>
      <c r="AS28" s="428"/>
      <c r="AT28" s="395"/>
      <c r="AU28" s="375"/>
      <c r="AV28" s="376"/>
      <c r="AW28" s="426"/>
      <c r="AX28" s="427"/>
      <c r="AY28" s="428"/>
      <c r="AZ28" s="397"/>
      <c r="BA28" s="375"/>
      <c r="BB28" s="378"/>
      <c r="BC28" s="426"/>
      <c r="BD28" s="427"/>
      <c r="BE28" s="428"/>
      <c r="BF28" s="395"/>
      <c r="BG28" s="375"/>
      <c r="BH28" s="376"/>
      <c r="BI28" s="426"/>
      <c r="BJ28" s="427"/>
      <c r="BK28" s="428"/>
      <c r="BL28" s="397"/>
      <c r="BM28" s="375"/>
      <c r="BN28" s="378"/>
      <c r="BO28" s="426"/>
      <c r="BP28" s="427"/>
      <c r="BQ28" s="428"/>
      <c r="BR28" s="395"/>
      <c r="BS28" s="375"/>
      <c r="BT28" s="376"/>
      <c r="BU28" s="426"/>
      <c r="BV28" s="427"/>
      <c r="BW28" s="428"/>
      <c r="BX28" s="397"/>
      <c r="BY28" s="375"/>
      <c r="BZ28" s="378"/>
      <c r="CA28" s="426"/>
      <c r="CB28" s="427"/>
      <c r="CC28" s="428"/>
      <c r="CD28" s="395"/>
      <c r="CE28" s="375"/>
      <c r="CF28" s="376"/>
      <c r="CG28" s="398"/>
      <c r="CH28" s="383"/>
      <c r="CI28" s="385"/>
    </row>
    <row r="29" spans="1:87" s="368" customFormat="1" ht="13.5" customHeight="1" thickBot="1">
      <c r="B29" s="402"/>
      <c r="C29" s="400"/>
      <c r="D29" s="400"/>
      <c r="E29" s="400"/>
      <c r="F29" s="400"/>
      <c r="G29" s="401"/>
      <c r="H29" s="400"/>
      <c r="I29" s="400"/>
      <c r="J29" s="400"/>
      <c r="K29" s="400"/>
      <c r="L29" s="403"/>
      <c r="M29" s="441"/>
      <c r="N29" s="442"/>
      <c r="O29" s="443"/>
      <c r="P29" s="396"/>
      <c r="Q29" s="375"/>
      <c r="R29" s="378"/>
      <c r="S29" s="426"/>
      <c r="T29" s="427"/>
      <c r="U29" s="428"/>
      <c r="V29" s="395"/>
      <c r="W29" s="375"/>
      <c r="X29" s="376"/>
      <c r="Y29" s="426"/>
      <c r="Z29" s="427"/>
      <c r="AA29" s="428"/>
      <c r="AB29" s="397"/>
      <c r="AC29" s="375"/>
      <c r="AD29" s="378"/>
      <c r="AE29" s="426"/>
      <c r="AF29" s="427"/>
      <c r="AG29" s="428"/>
      <c r="AH29" s="395"/>
      <c r="AI29" s="375"/>
      <c r="AJ29" s="376"/>
      <c r="AK29" s="426"/>
      <c r="AL29" s="427"/>
      <c r="AM29" s="428"/>
      <c r="AN29" s="397"/>
      <c r="AO29" s="375"/>
      <c r="AP29" s="378"/>
      <c r="AQ29" s="426"/>
      <c r="AR29" s="427"/>
      <c r="AS29" s="428"/>
      <c r="AT29" s="395"/>
      <c r="AU29" s="375"/>
      <c r="AV29" s="376"/>
      <c r="AW29" s="426"/>
      <c r="AX29" s="427"/>
      <c r="AY29" s="428"/>
      <c r="AZ29" s="397"/>
      <c r="BA29" s="375"/>
      <c r="BB29" s="378"/>
      <c r="BC29" s="426"/>
      <c r="BD29" s="427"/>
      <c r="BE29" s="428"/>
      <c r="BF29" s="395"/>
      <c r="BG29" s="375"/>
      <c r="BH29" s="376"/>
      <c r="BI29" s="426"/>
      <c r="BJ29" s="427"/>
      <c r="BK29" s="428"/>
      <c r="BL29" s="397"/>
      <c r="BM29" s="375"/>
      <c r="BN29" s="378"/>
      <c r="BO29" s="426"/>
      <c r="BP29" s="427"/>
      <c r="BQ29" s="428"/>
      <c r="BR29" s="395"/>
      <c r="BS29" s="375"/>
      <c r="BT29" s="376"/>
      <c r="BU29" s="426"/>
      <c r="BV29" s="427"/>
      <c r="BW29" s="428"/>
      <c r="BX29" s="397"/>
      <c r="BY29" s="375"/>
      <c r="BZ29" s="378"/>
      <c r="CA29" s="426"/>
      <c r="CB29" s="427"/>
      <c r="CC29" s="428"/>
      <c r="CD29" s="395"/>
      <c r="CE29" s="375"/>
      <c r="CF29" s="376"/>
      <c r="CG29" s="398"/>
      <c r="CH29" s="383"/>
      <c r="CI29" s="385"/>
    </row>
    <row r="30" spans="1:87" customFormat="1" ht="13.5" customHeight="1" thickTop="1">
      <c r="A30" s="84" t="s">
        <v>223</v>
      </c>
      <c r="B30" s="292"/>
      <c r="C30" s="293"/>
      <c r="D30" s="293"/>
      <c r="E30" s="294"/>
      <c r="F30" s="294"/>
      <c r="G30" s="295" t="s">
        <v>231</v>
      </c>
      <c r="H30" s="294"/>
      <c r="I30" s="293"/>
      <c r="J30" s="293"/>
      <c r="K30" s="293"/>
      <c r="L30" s="296"/>
      <c r="M30" s="297"/>
      <c r="N30" s="298"/>
      <c r="O30" s="299"/>
      <c r="P30" s="300"/>
      <c r="Q30" s="301"/>
      <c r="R30" s="302"/>
      <c r="S30" s="297"/>
      <c r="T30" s="298"/>
      <c r="U30" s="299"/>
      <c r="V30" s="303"/>
      <c r="W30" s="301"/>
      <c r="X30" s="304"/>
      <c r="Y30" s="297"/>
      <c r="Z30" s="298"/>
      <c r="AA30" s="299"/>
      <c r="AB30" s="305"/>
      <c r="AC30" s="301"/>
      <c r="AD30" s="302"/>
      <c r="AE30" s="297"/>
      <c r="AF30" s="298"/>
      <c r="AG30" s="299"/>
      <c r="AH30" s="303"/>
      <c r="AI30" s="301"/>
      <c r="AJ30" s="304"/>
      <c r="AK30" s="297"/>
      <c r="AL30" s="298"/>
      <c r="AM30" s="299"/>
      <c r="AN30" s="305"/>
      <c r="AO30" s="301"/>
      <c r="AP30" s="302"/>
      <c r="AQ30" s="297"/>
      <c r="AR30" s="298"/>
      <c r="AS30" s="299"/>
      <c r="AT30" s="303"/>
      <c r="AU30" s="301"/>
      <c r="AV30" s="304"/>
      <c r="AW30" s="297"/>
      <c r="AX30" s="298"/>
      <c r="AY30" s="299"/>
      <c r="AZ30" s="305"/>
      <c r="BA30" s="301"/>
      <c r="BB30" s="302"/>
      <c r="BC30" s="297"/>
      <c r="BD30" s="298"/>
      <c r="BE30" s="299"/>
      <c r="BF30" s="303"/>
      <c r="BG30" s="301"/>
      <c r="BH30" s="304"/>
      <c r="BI30" s="297"/>
      <c r="BJ30" s="298"/>
      <c r="BK30" s="299"/>
      <c r="BL30" s="305"/>
      <c r="BM30" s="301"/>
      <c r="BN30" s="302"/>
      <c r="BO30" s="297"/>
      <c r="BP30" s="298"/>
      <c r="BQ30" s="299"/>
      <c r="BR30" s="303"/>
      <c r="BS30" s="301"/>
      <c r="BT30" s="304"/>
      <c r="BU30" s="297"/>
      <c r="BV30" s="298"/>
      <c r="BW30" s="299"/>
      <c r="BX30" s="305"/>
      <c r="BY30" s="301"/>
      <c r="BZ30" s="302"/>
      <c r="CA30" s="297"/>
      <c r="CB30" s="298"/>
      <c r="CC30" s="299"/>
      <c r="CD30" s="303"/>
      <c r="CE30" s="301"/>
      <c r="CF30" s="304"/>
      <c r="CG30" s="306"/>
      <c r="CH30" s="307"/>
      <c r="CI30" s="308"/>
    </row>
    <row r="31" spans="1:87" customFormat="1" ht="13.5" customHeight="1">
      <c r="A31" s="84" t="s">
        <v>224</v>
      </c>
      <c r="B31" s="165"/>
      <c r="C31" s="166"/>
      <c r="D31" s="166"/>
      <c r="E31" s="167"/>
      <c r="F31" s="167"/>
      <c r="G31" s="168"/>
      <c r="H31" s="167"/>
      <c r="I31" s="166"/>
      <c r="J31" s="166"/>
      <c r="K31" s="166"/>
      <c r="L31" s="169"/>
      <c r="M31" s="203"/>
      <c r="N31" s="204"/>
      <c r="O31" s="205"/>
      <c r="P31" s="54"/>
      <c r="Q31" s="3"/>
      <c r="R31" s="5"/>
      <c r="S31" s="203"/>
      <c r="T31" s="204"/>
      <c r="U31" s="205"/>
      <c r="V31" s="48"/>
      <c r="W31" s="3"/>
      <c r="X31" s="4"/>
      <c r="Y31" s="203"/>
      <c r="Z31" s="204"/>
      <c r="AA31" s="205"/>
      <c r="AB31" s="50"/>
      <c r="AC31" s="3"/>
      <c r="AD31" s="5"/>
      <c r="AE31" s="203"/>
      <c r="AF31" s="204"/>
      <c r="AG31" s="205"/>
      <c r="AH31" s="48"/>
      <c r="AI31" s="3"/>
      <c r="AJ31" s="4"/>
      <c r="AK31" s="203"/>
      <c r="AL31" s="204"/>
      <c r="AM31" s="205"/>
      <c r="AN31" s="50"/>
      <c r="AO31" s="3"/>
      <c r="AP31" s="5"/>
      <c r="AQ31" s="203"/>
      <c r="AR31" s="204"/>
      <c r="AS31" s="205"/>
      <c r="AT31" s="48"/>
      <c r="AU31" s="3"/>
      <c r="AV31" s="4"/>
      <c r="AW31" s="203"/>
      <c r="AX31" s="204"/>
      <c r="AY31" s="205"/>
      <c r="AZ31" s="50"/>
      <c r="BA31" s="3"/>
      <c r="BB31" s="5"/>
      <c r="BC31" s="203"/>
      <c r="BD31" s="204"/>
      <c r="BE31" s="205"/>
      <c r="BF31" s="48"/>
      <c r="BG31" s="3"/>
      <c r="BH31" s="4"/>
      <c r="BI31" s="203"/>
      <c r="BJ31" s="204"/>
      <c r="BK31" s="205"/>
      <c r="BL31" s="50"/>
      <c r="BM31" s="3"/>
      <c r="BN31" s="5"/>
      <c r="BO31" s="203"/>
      <c r="BP31" s="204"/>
      <c r="BQ31" s="205"/>
      <c r="BR31" s="48"/>
      <c r="BS31" s="3"/>
      <c r="BT31" s="4"/>
      <c r="BU31" s="203"/>
      <c r="BV31" s="204"/>
      <c r="BW31" s="205"/>
      <c r="BX31" s="50"/>
      <c r="BY31" s="3"/>
      <c r="BZ31" s="5"/>
      <c r="CA31" s="203"/>
      <c r="CB31" s="204"/>
      <c r="CC31" s="205"/>
      <c r="CD31" s="48"/>
      <c r="CE31" s="3"/>
      <c r="CF31" s="4"/>
      <c r="CG31" s="52"/>
      <c r="CH31" s="21"/>
      <c r="CI31" s="26"/>
    </row>
    <row r="32" spans="1:87" customFormat="1" ht="13.5" customHeight="1">
      <c r="A32" s="84" t="s">
        <v>229</v>
      </c>
      <c r="B32" s="165"/>
      <c r="C32" s="166"/>
      <c r="D32" s="166"/>
      <c r="E32" s="167"/>
      <c r="F32" s="167"/>
      <c r="G32" s="168"/>
      <c r="H32" s="167"/>
      <c r="I32" s="166"/>
      <c r="J32" s="166"/>
      <c r="K32" s="166"/>
      <c r="L32" s="169"/>
      <c r="M32" s="203"/>
      <c r="N32" s="204"/>
      <c r="O32" s="205"/>
      <c r="P32" s="54"/>
      <c r="Q32" s="3"/>
      <c r="R32" s="5"/>
      <c r="S32" s="203"/>
      <c r="T32" s="204"/>
      <c r="U32" s="205"/>
      <c r="V32" s="48"/>
      <c r="W32" s="3"/>
      <c r="X32" s="4"/>
      <c r="Y32" s="203"/>
      <c r="Z32" s="204"/>
      <c r="AA32" s="205"/>
      <c r="AB32" s="50"/>
      <c r="AC32" s="3"/>
      <c r="AD32" s="5"/>
      <c r="AE32" s="203"/>
      <c r="AF32" s="204"/>
      <c r="AG32" s="205"/>
      <c r="AH32" s="48"/>
      <c r="AI32" s="3"/>
      <c r="AJ32" s="4"/>
      <c r="AK32" s="203"/>
      <c r="AL32" s="204"/>
      <c r="AM32" s="205"/>
      <c r="AN32" s="50"/>
      <c r="AO32" s="3"/>
      <c r="AP32" s="5"/>
      <c r="AQ32" s="203"/>
      <c r="AR32" s="204"/>
      <c r="AS32" s="205"/>
      <c r="AT32" s="48"/>
      <c r="AU32" s="3"/>
      <c r="AV32" s="4"/>
      <c r="AW32" s="203"/>
      <c r="AX32" s="204"/>
      <c r="AY32" s="205"/>
      <c r="AZ32" s="50"/>
      <c r="BA32" s="3"/>
      <c r="BB32" s="5"/>
      <c r="BC32" s="203"/>
      <c r="BD32" s="204"/>
      <c r="BE32" s="205"/>
      <c r="BF32" s="48"/>
      <c r="BG32" s="3"/>
      <c r="BH32" s="4"/>
      <c r="BI32" s="203"/>
      <c r="BJ32" s="204"/>
      <c r="BK32" s="205"/>
      <c r="BL32" s="50"/>
      <c r="BM32" s="3"/>
      <c r="BN32" s="5"/>
      <c r="BO32" s="203"/>
      <c r="BP32" s="204"/>
      <c r="BQ32" s="205"/>
      <c r="BR32" s="48"/>
      <c r="BS32" s="3"/>
      <c r="BT32" s="4"/>
      <c r="BU32" s="203"/>
      <c r="BV32" s="204"/>
      <c r="BW32" s="205"/>
      <c r="BX32" s="50"/>
      <c r="BY32" s="3"/>
      <c r="BZ32" s="5"/>
      <c r="CA32" s="203"/>
      <c r="CB32" s="204"/>
      <c r="CC32" s="205"/>
      <c r="CD32" s="48"/>
      <c r="CE32" s="3"/>
      <c r="CF32" s="4"/>
      <c r="CG32" s="52"/>
      <c r="CH32" s="21"/>
      <c r="CI32" s="26"/>
    </row>
    <row r="33" spans="1:87" customFormat="1" ht="13.5" customHeight="1">
      <c r="A33" s="84" t="s">
        <v>230</v>
      </c>
      <c r="B33" s="165"/>
      <c r="C33" s="166"/>
      <c r="D33" s="166"/>
      <c r="E33" s="167"/>
      <c r="F33" s="167"/>
      <c r="G33" s="168"/>
      <c r="H33" s="167"/>
      <c r="I33" s="166"/>
      <c r="J33" s="166"/>
      <c r="K33" s="166"/>
      <c r="L33" s="169"/>
      <c r="M33" s="203"/>
      <c r="N33" s="204"/>
      <c r="O33" s="205"/>
      <c r="P33" s="54"/>
      <c r="Q33" s="3"/>
      <c r="R33" s="5"/>
      <c r="S33" s="203"/>
      <c r="T33" s="204"/>
      <c r="U33" s="205"/>
      <c r="V33" s="48"/>
      <c r="W33" s="3"/>
      <c r="X33" s="4"/>
      <c r="Y33" s="203"/>
      <c r="Z33" s="204"/>
      <c r="AA33" s="205"/>
      <c r="AB33" s="50"/>
      <c r="AC33" s="3"/>
      <c r="AD33" s="5"/>
      <c r="AE33" s="203"/>
      <c r="AF33" s="204"/>
      <c r="AG33" s="205"/>
      <c r="AH33" s="48"/>
      <c r="AI33" s="3"/>
      <c r="AJ33" s="4"/>
      <c r="AK33" s="203"/>
      <c r="AL33" s="204"/>
      <c r="AM33" s="205"/>
      <c r="AN33" s="50"/>
      <c r="AO33" s="3"/>
      <c r="AP33" s="5"/>
      <c r="AQ33" s="203"/>
      <c r="AR33" s="204"/>
      <c r="AS33" s="205"/>
      <c r="AT33" s="48"/>
      <c r="AU33" s="3"/>
      <c r="AV33" s="4"/>
      <c r="AW33" s="203"/>
      <c r="AX33" s="204"/>
      <c r="AY33" s="205"/>
      <c r="AZ33" s="50"/>
      <c r="BA33" s="3"/>
      <c r="BB33" s="5"/>
      <c r="BC33" s="203"/>
      <c r="BD33" s="204"/>
      <c r="BE33" s="205"/>
      <c r="BF33" s="48"/>
      <c r="BG33" s="3"/>
      <c r="BH33" s="4"/>
      <c r="BI33" s="203"/>
      <c r="BJ33" s="204"/>
      <c r="BK33" s="205"/>
      <c r="BL33" s="50"/>
      <c r="BM33" s="3"/>
      <c r="BN33" s="5"/>
      <c r="BO33" s="203"/>
      <c r="BP33" s="204"/>
      <c r="BQ33" s="205"/>
      <c r="BR33" s="48"/>
      <c r="BS33" s="3"/>
      <c r="BT33" s="4"/>
      <c r="BU33" s="203"/>
      <c r="BV33" s="204"/>
      <c r="BW33" s="205"/>
      <c r="BX33" s="50"/>
      <c r="BY33" s="3"/>
      <c r="BZ33" s="5"/>
      <c r="CA33" s="203"/>
      <c r="CB33" s="204"/>
      <c r="CC33" s="205"/>
      <c r="CD33" s="48"/>
      <c r="CE33" s="3"/>
      <c r="CF33" s="4"/>
      <c r="CG33" s="52"/>
      <c r="CH33" s="21"/>
      <c r="CI33" s="26"/>
    </row>
    <row r="34" spans="1:87" customFormat="1" ht="13.5" customHeight="1">
      <c r="A34" s="84" t="s">
        <v>225</v>
      </c>
      <c r="B34" s="165"/>
      <c r="C34" s="166"/>
      <c r="D34" s="166"/>
      <c r="E34" s="167"/>
      <c r="F34" s="167"/>
      <c r="G34" s="168"/>
      <c r="H34" s="167"/>
      <c r="I34" s="166"/>
      <c r="J34" s="166"/>
      <c r="K34" s="166"/>
      <c r="L34" s="169"/>
      <c r="M34" s="203"/>
      <c r="N34" s="204"/>
      <c r="O34" s="205"/>
      <c r="P34" s="54"/>
      <c r="Q34" s="3"/>
      <c r="R34" s="5"/>
      <c r="S34" s="203"/>
      <c r="T34" s="204"/>
      <c r="U34" s="205"/>
      <c r="V34" s="48"/>
      <c r="W34" s="3"/>
      <c r="X34" s="4"/>
      <c r="Y34" s="203"/>
      <c r="Z34" s="204"/>
      <c r="AA34" s="205"/>
      <c r="AB34" s="50"/>
      <c r="AC34" s="3"/>
      <c r="AD34" s="5"/>
      <c r="AE34" s="203"/>
      <c r="AF34" s="204"/>
      <c r="AG34" s="205"/>
      <c r="AH34" s="48"/>
      <c r="AI34" s="3"/>
      <c r="AJ34" s="4"/>
      <c r="AK34" s="203"/>
      <c r="AL34" s="204"/>
      <c r="AM34" s="205"/>
      <c r="AN34" s="50"/>
      <c r="AO34" s="3"/>
      <c r="AP34" s="5"/>
      <c r="AQ34" s="203"/>
      <c r="AR34" s="204"/>
      <c r="AS34" s="205"/>
      <c r="AT34" s="48"/>
      <c r="AU34" s="3"/>
      <c r="AV34" s="4"/>
      <c r="AW34" s="203"/>
      <c r="AX34" s="204"/>
      <c r="AY34" s="205"/>
      <c r="AZ34" s="50"/>
      <c r="BA34" s="3"/>
      <c r="BB34" s="5"/>
      <c r="BC34" s="203"/>
      <c r="BD34" s="204"/>
      <c r="BE34" s="205"/>
      <c r="BF34" s="48"/>
      <c r="BG34" s="3"/>
      <c r="BH34" s="4"/>
      <c r="BI34" s="203"/>
      <c r="BJ34" s="204"/>
      <c r="BK34" s="205"/>
      <c r="BL34" s="50"/>
      <c r="BM34" s="3"/>
      <c r="BN34" s="5"/>
      <c r="BO34" s="203"/>
      <c r="BP34" s="204"/>
      <c r="BQ34" s="205"/>
      <c r="BR34" s="48"/>
      <c r="BS34" s="3"/>
      <c r="BT34" s="4"/>
      <c r="BU34" s="203"/>
      <c r="BV34" s="204"/>
      <c r="BW34" s="205"/>
      <c r="BX34" s="50"/>
      <c r="BY34" s="3"/>
      <c r="BZ34" s="5"/>
      <c r="CA34" s="203"/>
      <c r="CB34" s="204"/>
      <c r="CC34" s="205"/>
      <c r="CD34" s="48"/>
      <c r="CE34" s="3"/>
      <c r="CF34" s="4"/>
      <c r="CG34" s="52"/>
      <c r="CH34" s="21"/>
      <c r="CI34" s="26"/>
    </row>
    <row r="35" spans="1:87" customFormat="1" ht="13.5" customHeight="1">
      <c r="A35" s="84" t="s">
        <v>226</v>
      </c>
      <c r="B35" s="165"/>
      <c r="C35" s="166"/>
      <c r="D35" s="166"/>
      <c r="E35" s="167"/>
      <c r="F35" s="167"/>
      <c r="G35" s="168"/>
      <c r="H35" s="167"/>
      <c r="I35" s="166"/>
      <c r="J35" s="166"/>
      <c r="K35" s="166"/>
      <c r="L35" s="169"/>
      <c r="M35" s="203"/>
      <c r="N35" s="204"/>
      <c r="O35" s="205"/>
      <c r="P35" s="54"/>
      <c r="Q35" s="3"/>
      <c r="R35" s="5"/>
      <c r="S35" s="203"/>
      <c r="T35" s="204"/>
      <c r="U35" s="205"/>
      <c r="V35" s="48"/>
      <c r="W35" s="3"/>
      <c r="X35" s="4"/>
      <c r="Y35" s="203"/>
      <c r="Z35" s="204"/>
      <c r="AA35" s="205"/>
      <c r="AB35" s="50"/>
      <c r="AC35" s="3"/>
      <c r="AD35" s="5"/>
      <c r="AE35" s="203"/>
      <c r="AF35" s="204"/>
      <c r="AG35" s="205"/>
      <c r="AH35" s="48"/>
      <c r="AI35" s="3"/>
      <c r="AJ35" s="4"/>
      <c r="AK35" s="203"/>
      <c r="AL35" s="204"/>
      <c r="AM35" s="205"/>
      <c r="AN35" s="50"/>
      <c r="AO35" s="3"/>
      <c r="AP35" s="5"/>
      <c r="AQ35" s="203"/>
      <c r="AR35" s="204"/>
      <c r="AS35" s="205"/>
      <c r="AT35" s="48"/>
      <c r="AU35" s="3"/>
      <c r="AV35" s="4"/>
      <c r="AW35" s="203"/>
      <c r="AX35" s="204"/>
      <c r="AY35" s="205"/>
      <c r="AZ35" s="50"/>
      <c r="BA35" s="3"/>
      <c r="BB35" s="5"/>
      <c r="BC35" s="203"/>
      <c r="BD35" s="204"/>
      <c r="BE35" s="205"/>
      <c r="BF35" s="48"/>
      <c r="BG35" s="3"/>
      <c r="BH35" s="4"/>
      <c r="BI35" s="203"/>
      <c r="BJ35" s="204"/>
      <c r="BK35" s="205"/>
      <c r="BL35" s="50"/>
      <c r="BM35" s="3"/>
      <c r="BN35" s="5"/>
      <c r="BO35" s="203"/>
      <c r="BP35" s="204"/>
      <c r="BQ35" s="205"/>
      <c r="BR35" s="48"/>
      <c r="BS35" s="3"/>
      <c r="BT35" s="4"/>
      <c r="BU35" s="203"/>
      <c r="BV35" s="204"/>
      <c r="BW35" s="205"/>
      <c r="BX35" s="50"/>
      <c r="BY35" s="3"/>
      <c r="BZ35" s="5"/>
      <c r="CA35" s="203"/>
      <c r="CB35" s="204"/>
      <c r="CC35" s="205"/>
      <c r="CD35" s="48"/>
      <c r="CE35" s="3"/>
      <c r="CF35" s="4"/>
      <c r="CG35" s="52"/>
      <c r="CH35" s="21"/>
      <c r="CI35" s="26"/>
    </row>
    <row r="36" spans="1:87" customFormat="1" ht="13.5" customHeight="1">
      <c r="A36" s="84" t="s">
        <v>227</v>
      </c>
      <c r="B36" s="165"/>
      <c r="C36" s="166"/>
      <c r="D36" s="166"/>
      <c r="E36" s="167"/>
      <c r="F36" s="167"/>
      <c r="G36" s="168"/>
      <c r="H36" s="167"/>
      <c r="I36" s="166"/>
      <c r="J36" s="166"/>
      <c r="K36" s="166"/>
      <c r="L36" s="169"/>
      <c r="M36" s="203"/>
      <c r="N36" s="204"/>
      <c r="O36" s="205"/>
      <c r="P36" s="54"/>
      <c r="Q36" s="3"/>
      <c r="R36" s="5"/>
      <c r="S36" s="203"/>
      <c r="T36" s="204"/>
      <c r="U36" s="205"/>
      <c r="V36" s="48"/>
      <c r="W36" s="3"/>
      <c r="X36" s="4"/>
      <c r="Y36" s="203"/>
      <c r="Z36" s="204"/>
      <c r="AA36" s="205"/>
      <c r="AB36" s="50"/>
      <c r="AC36" s="3"/>
      <c r="AD36" s="5"/>
      <c r="AE36" s="203"/>
      <c r="AF36" s="204"/>
      <c r="AG36" s="205"/>
      <c r="AH36" s="48"/>
      <c r="AI36" s="3"/>
      <c r="AJ36" s="4"/>
      <c r="AK36" s="203"/>
      <c r="AL36" s="204"/>
      <c r="AM36" s="205"/>
      <c r="AN36" s="50"/>
      <c r="AO36" s="3"/>
      <c r="AP36" s="5"/>
      <c r="AQ36" s="203"/>
      <c r="AR36" s="204"/>
      <c r="AS36" s="205"/>
      <c r="AT36" s="48"/>
      <c r="AU36" s="3"/>
      <c r="AV36" s="4"/>
      <c r="AW36" s="203"/>
      <c r="AX36" s="204"/>
      <c r="AY36" s="205"/>
      <c r="AZ36" s="50"/>
      <c r="BA36" s="3"/>
      <c r="BB36" s="5"/>
      <c r="BC36" s="203"/>
      <c r="BD36" s="204"/>
      <c r="BE36" s="205"/>
      <c r="BF36" s="48"/>
      <c r="BG36" s="3"/>
      <c r="BH36" s="4"/>
      <c r="BI36" s="203"/>
      <c r="BJ36" s="204"/>
      <c r="BK36" s="205"/>
      <c r="BL36" s="50"/>
      <c r="BM36" s="3"/>
      <c r="BN36" s="5"/>
      <c r="BO36" s="203"/>
      <c r="BP36" s="204"/>
      <c r="BQ36" s="205"/>
      <c r="BR36" s="48"/>
      <c r="BS36" s="3"/>
      <c r="BT36" s="4"/>
      <c r="BU36" s="203"/>
      <c r="BV36" s="204"/>
      <c r="BW36" s="205"/>
      <c r="BX36" s="50"/>
      <c r="BY36" s="3"/>
      <c r="BZ36" s="5"/>
      <c r="CA36" s="203"/>
      <c r="CB36" s="204"/>
      <c r="CC36" s="205"/>
      <c r="CD36" s="48"/>
      <c r="CE36" s="3"/>
      <c r="CF36" s="4"/>
      <c r="CG36" s="52"/>
      <c r="CH36" s="21"/>
      <c r="CI36" s="26"/>
    </row>
    <row r="37" spans="1:87" customFormat="1" ht="13.5" customHeight="1">
      <c r="A37" s="84" t="s">
        <v>228</v>
      </c>
      <c r="B37" s="165"/>
      <c r="C37" s="166"/>
      <c r="D37" s="166"/>
      <c r="E37" s="167"/>
      <c r="F37" s="167"/>
      <c r="G37" s="168"/>
      <c r="H37" s="167"/>
      <c r="I37" s="166"/>
      <c r="J37" s="166"/>
      <c r="K37" s="166"/>
      <c r="L37" s="169"/>
      <c r="M37" s="203"/>
      <c r="N37" s="204"/>
      <c r="O37" s="205"/>
      <c r="P37" s="54"/>
      <c r="Q37" s="3"/>
      <c r="R37" s="5"/>
      <c r="S37" s="203"/>
      <c r="T37" s="204"/>
      <c r="U37" s="205"/>
      <c r="V37" s="48"/>
      <c r="W37" s="3"/>
      <c r="X37" s="4"/>
      <c r="Y37" s="203"/>
      <c r="Z37" s="204"/>
      <c r="AA37" s="205"/>
      <c r="AB37" s="50"/>
      <c r="AC37" s="3"/>
      <c r="AD37" s="5"/>
      <c r="AE37" s="203"/>
      <c r="AF37" s="204"/>
      <c r="AG37" s="205"/>
      <c r="AH37" s="48"/>
      <c r="AI37" s="3"/>
      <c r="AJ37" s="4"/>
      <c r="AK37" s="203"/>
      <c r="AL37" s="204"/>
      <c r="AM37" s="205"/>
      <c r="AN37" s="50"/>
      <c r="AO37" s="3"/>
      <c r="AP37" s="5"/>
      <c r="AQ37" s="203"/>
      <c r="AR37" s="204"/>
      <c r="AS37" s="205"/>
      <c r="AT37" s="48"/>
      <c r="AU37" s="3"/>
      <c r="AV37" s="4"/>
      <c r="AW37" s="203"/>
      <c r="AX37" s="204"/>
      <c r="AY37" s="205"/>
      <c r="AZ37" s="50"/>
      <c r="BA37" s="3"/>
      <c r="BB37" s="5"/>
      <c r="BC37" s="203"/>
      <c r="BD37" s="204"/>
      <c r="BE37" s="205"/>
      <c r="BF37" s="48"/>
      <c r="BG37" s="3"/>
      <c r="BH37" s="4"/>
      <c r="BI37" s="203"/>
      <c r="BJ37" s="204"/>
      <c r="BK37" s="205"/>
      <c r="BL37" s="50"/>
      <c r="BM37" s="3"/>
      <c r="BN37" s="5"/>
      <c r="BO37" s="203"/>
      <c r="BP37" s="204"/>
      <c r="BQ37" s="205"/>
      <c r="BR37" s="48"/>
      <c r="BS37" s="3"/>
      <c r="BT37" s="4"/>
      <c r="BU37" s="203"/>
      <c r="BV37" s="204"/>
      <c r="BW37" s="205"/>
      <c r="BX37" s="50"/>
      <c r="BY37" s="3"/>
      <c r="BZ37" s="5"/>
      <c r="CA37" s="203"/>
      <c r="CB37" s="204"/>
      <c r="CC37" s="205"/>
      <c r="CD37" s="48"/>
      <c r="CE37" s="3"/>
      <c r="CF37" s="4"/>
      <c r="CG37" s="52"/>
      <c r="CH37" s="21"/>
      <c r="CI37" s="26"/>
    </row>
    <row r="38" spans="1:87" customFormat="1" ht="13.5" customHeight="1">
      <c r="A38" s="84"/>
      <c r="B38" s="165"/>
      <c r="C38" s="166"/>
      <c r="D38" s="166"/>
      <c r="E38" s="167"/>
      <c r="F38" s="167"/>
      <c r="G38" s="168"/>
      <c r="H38" s="167"/>
      <c r="I38" s="166"/>
      <c r="J38" s="166"/>
      <c r="K38" s="166"/>
      <c r="L38" s="169"/>
      <c r="M38" s="203"/>
      <c r="N38" s="204"/>
      <c r="O38" s="205"/>
      <c r="P38" s="54"/>
      <c r="Q38" s="3"/>
      <c r="R38" s="5"/>
      <c r="S38" s="203"/>
      <c r="T38" s="204"/>
      <c r="U38" s="205"/>
      <c r="V38" s="48"/>
      <c r="W38" s="3"/>
      <c r="X38" s="4"/>
      <c r="Y38" s="203"/>
      <c r="Z38" s="204"/>
      <c r="AA38" s="205"/>
      <c r="AB38" s="50"/>
      <c r="AC38" s="3"/>
      <c r="AD38" s="5"/>
      <c r="AE38" s="203"/>
      <c r="AF38" s="204"/>
      <c r="AG38" s="205"/>
      <c r="AH38" s="48"/>
      <c r="AI38" s="3"/>
      <c r="AJ38" s="4"/>
      <c r="AK38" s="203"/>
      <c r="AL38" s="204"/>
      <c r="AM38" s="205"/>
      <c r="AN38" s="50"/>
      <c r="AO38" s="3"/>
      <c r="AP38" s="5"/>
      <c r="AQ38" s="203"/>
      <c r="AR38" s="204"/>
      <c r="AS38" s="205"/>
      <c r="AT38" s="48"/>
      <c r="AU38" s="3"/>
      <c r="AV38" s="4"/>
      <c r="AW38" s="203"/>
      <c r="AX38" s="204"/>
      <c r="AY38" s="205"/>
      <c r="AZ38" s="50"/>
      <c r="BA38" s="3"/>
      <c r="BB38" s="5"/>
      <c r="BC38" s="203"/>
      <c r="BD38" s="204"/>
      <c r="BE38" s="205"/>
      <c r="BF38" s="48"/>
      <c r="BG38" s="3"/>
      <c r="BH38" s="4"/>
      <c r="BI38" s="203"/>
      <c r="BJ38" s="204"/>
      <c r="BK38" s="205"/>
      <c r="BL38" s="50"/>
      <c r="BM38" s="3"/>
      <c r="BN38" s="5"/>
      <c r="BO38" s="203"/>
      <c r="BP38" s="204"/>
      <c r="BQ38" s="205"/>
      <c r="BR38" s="48"/>
      <c r="BS38" s="3"/>
      <c r="BT38" s="4"/>
      <c r="BU38" s="203"/>
      <c r="BV38" s="204"/>
      <c r="BW38" s="205"/>
      <c r="BX38" s="50"/>
      <c r="BY38" s="3"/>
      <c r="BZ38" s="5"/>
      <c r="CA38" s="203"/>
      <c r="CB38" s="204"/>
      <c r="CC38" s="205"/>
      <c r="CD38" s="48"/>
      <c r="CE38" s="3"/>
      <c r="CF38" s="4"/>
      <c r="CG38" s="52"/>
      <c r="CH38" s="21"/>
      <c r="CI38" s="26"/>
    </row>
    <row r="39" spans="1:87" customFormat="1" ht="13.5" customHeight="1">
      <c r="A39" s="84"/>
      <c r="B39" s="165"/>
      <c r="C39" s="167"/>
      <c r="D39" s="166"/>
      <c r="E39" s="167"/>
      <c r="F39" s="167"/>
      <c r="G39" s="168"/>
      <c r="H39" s="167"/>
      <c r="I39" s="167"/>
      <c r="J39" s="166"/>
      <c r="K39" s="166"/>
      <c r="L39" s="169"/>
      <c r="M39" s="203"/>
      <c r="N39" s="204"/>
      <c r="O39" s="205"/>
      <c r="P39" s="54"/>
      <c r="Q39" s="3"/>
      <c r="R39" s="5"/>
      <c r="S39" s="203"/>
      <c r="T39" s="204"/>
      <c r="U39" s="205"/>
      <c r="V39" s="48"/>
      <c r="W39" s="3"/>
      <c r="X39" s="4"/>
      <c r="Y39" s="203"/>
      <c r="Z39" s="204"/>
      <c r="AA39" s="205"/>
      <c r="AB39" s="50"/>
      <c r="AC39" s="3"/>
      <c r="AD39" s="5"/>
      <c r="AE39" s="203"/>
      <c r="AF39" s="204"/>
      <c r="AG39" s="205"/>
      <c r="AH39" s="48"/>
      <c r="AI39" s="3"/>
      <c r="AJ39" s="4"/>
      <c r="AK39" s="203"/>
      <c r="AL39" s="204"/>
      <c r="AM39" s="205"/>
      <c r="AN39" s="50"/>
      <c r="AO39" s="3"/>
      <c r="AP39" s="5"/>
      <c r="AQ39" s="203"/>
      <c r="AR39" s="204"/>
      <c r="AS39" s="205"/>
      <c r="AT39" s="48"/>
      <c r="AU39" s="3"/>
      <c r="AV39" s="4"/>
      <c r="AW39" s="203"/>
      <c r="AX39" s="204"/>
      <c r="AY39" s="205"/>
      <c r="AZ39" s="50"/>
      <c r="BA39" s="3"/>
      <c r="BB39" s="5"/>
      <c r="BC39" s="203"/>
      <c r="BD39" s="204"/>
      <c r="BE39" s="205"/>
      <c r="BF39" s="48"/>
      <c r="BG39" s="3"/>
      <c r="BH39" s="4"/>
      <c r="BI39" s="203"/>
      <c r="BJ39" s="204"/>
      <c r="BK39" s="205"/>
      <c r="BL39" s="50"/>
      <c r="BM39" s="3"/>
      <c r="BN39" s="5"/>
      <c r="BO39" s="203"/>
      <c r="BP39" s="204"/>
      <c r="BQ39" s="205"/>
      <c r="BR39" s="48"/>
      <c r="BS39" s="3"/>
      <c r="BT39" s="4"/>
      <c r="BU39" s="203"/>
      <c r="BV39" s="204"/>
      <c r="BW39" s="205"/>
      <c r="BX39" s="50"/>
      <c r="BY39" s="3"/>
      <c r="BZ39" s="5"/>
      <c r="CA39" s="203"/>
      <c r="CB39" s="204"/>
      <c r="CC39" s="205"/>
      <c r="CD39" s="48"/>
      <c r="CE39" s="3"/>
      <c r="CF39" s="4"/>
      <c r="CG39" s="52"/>
      <c r="CH39" s="21"/>
      <c r="CI39" s="26"/>
    </row>
    <row r="40" spans="1:87" customFormat="1" ht="13.5" customHeight="1">
      <c r="A40" s="84"/>
      <c r="B40" s="165"/>
      <c r="C40" s="167"/>
      <c r="D40" s="166"/>
      <c r="E40" s="167"/>
      <c r="F40" s="167"/>
      <c r="G40" s="168"/>
      <c r="H40" s="167"/>
      <c r="I40" s="167"/>
      <c r="J40" s="166"/>
      <c r="K40" s="166"/>
      <c r="L40" s="169"/>
      <c r="M40" s="203"/>
      <c r="N40" s="204"/>
      <c r="O40" s="205"/>
      <c r="P40" s="54"/>
      <c r="Q40" s="3"/>
      <c r="R40" s="5"/>
      <c r="S40" s="203"/>
      <c r="T40" s="204"/>
      <c r="U40" s="205"/>
      <c r="V40" s="48"/>
      <c r="W40" s="3"/>
      <c r="X40" s="4"/>
      <c r="Y40" s="203"/>
      <c r="Z40" s="204"/>
      <c r="AA40" s="205"/>
      <c r="AB40" s="50"/>
      <c r="AC40" s="3"/>
      <c r="AD40" s="5"/>
      <c r="AE40" s="203"/>
      <c r="AF40" s="204"/>
      <c r="AG40" s="205"/>
      <c r="AH40" s="48"/>
      <c r="AI40" s="3"/>
      <c r="AJ40" s="4"/>
      <c r="AK40" s="203"/>
      <c r="AL40" s="204"/>
      <c r="AM40" s="205"/>
      <c r="AN40" s="50"/>
      <c r="AO40" s="3"/>
      <c r="AP40" s="5"/>
      <c r="AQ40" s="203"/>
      <c r="AR40" s="204"/>
      <c r="AS40" s="205"/>
      <c r="AT40" s="48"/>
      <c r="AU40" s="3"/>
      <c r="AV40" s="4"/>
      <c r="AW40" s="203"/>
      <c r="AX40" s="204"/>
      <c r="AY40" s="205"/>
      <c r="AZ40" s="50"/>
      <c r="BA40" s="3"/>
      <c r="BB40" s="5"/>
      <c r="BC40" s="203"/>
      <c r="BD40" s="204"/>
      <c r="BE40" s="205"/>
      <c r="BF40" s="48"/>
      <c r="BG40" s="3"/>
      <c r="BH40" s="4"/>
      <c r="BI40" s="203"/>
      <c r="BJ40" s="204"/>
      <c r="BK40" s="205"/>
      <c r="BL40" s="50"/>
      <c r="BM40" s="3"/>
      <c r="BN40" s="5"/>
      <c r="BO40" s="203"/>
      <c r="BP40" s="204"/>
      <c r="BQ40" s="205"/>
      <c r="BR40" s="48"/>
      <c r="BS40" s="3"/>
      <c r="BT40" s="4"/>
      <c r="BU40" s="203"/>
      <c r="BV40" s="204"/>
      <c r="BW40" s="205"/>
      <c r="BX40" s="50"/>
      <c r="BY40" s="3"/>
      <c r="BZ40" s="5"/>
      <c r="CA40" s="203"/>
      <c r="CB40" s="204"/>
      <c r="CC40" s="205"/>
      <c r="CD40" s="48"/>
      <c r="CE40" s="3"/>
      <c r="CF40" s="4"/>
      <c r="CG40" s="52"/>
      <c r="CH40" s="21"/>
      <c r="CI40" s="26"/>
    </row>
    <row r="41" spans="1:87" customFormat="1" ht="13.5" customHeight="1">
      <c r="A41" s="83"/>
      <c r="B41" s="165"/>
      <c r="C41" s="167"/>
      <c r="D41" s="166"/>
      <c r="E41" s="167"/>
      <c r="F41" s="167"/>
      <c r="G41" s="168"/>
      <c r="H41" s="167"/>
      <c r="I41" s="167"/>
      <c r="J41" s="166"/>
      <c r="K41" s="166"/>
      <c r="L41" s="169"/>
      <c r="M41" s="203"/>
      <c r="N41" s="204"/>
      <c r="O41" s="205"/>
      <c r="P41" s="54"/>
      <c r="Q41" s="3"/>
      <c r="R41" s="5"/>
      <c r="S41" s="203"/>
      <c r="T41" s="204"/>
      <c r="U41" s="205"/>
      <c r="V41" s="48"/>
      <c r="W41" s="3"/>
      <c r="X41" s="4"/>
      <c r="Y41" s="203"/>
      <c r="Z41" s="204"/>
      <c r="AA41" s="205"/>
      <c r="AB41" s="50"/>
      <c r="AC41" s="3"/>
      <c r="AD41" s="5"/>
      <c r="AE41" s="203"/>
      <c r="AF41" s="204"/>
      <c r="AG41" s="205"/>
      <c r="AH41" s="48"/>
      <c r="AI41" s="3"/>
      <c r="AJ41" s="4"/>
      <c r="AK41" s="203"/>
      <c r="AL41" s="204"/>
      <c r="AM41" s="205"/>
      <c r="AN41" s="50"/>
      <c r="AO41" s="3"/>
      <c r="AP41" s="5"/>
      <c r="AQ41" s="203"/>
      <c r="AR41" s="204"/>
      <c r="AS41" s="205"/>
      <c r="AT41" s="48"/>
      <c r="AU41" s="3"/>
      <c r="AV41" s="4"/>
      <c r="AW41" s="203"/>
      <c r="AX41" s="204"/>
      <c r="AY41" s="205"/>
      <c r="AZ41" s="50"/>
      <c r="BA41" s="3"/>
      <c r="BB41" s="5"/>
      <c r="BC41" s="203"/>
      <c r="BD41" s="204"/>
      <c r="BE41" s="205"/>
      <c r="BF41" s="48"/>
      <c r="BG41" s="3"/>
      <c r="BH41" s="4"/>
      <c r="BI41" s="203"/>
      <c r="BJ41" s="204"/>
      <c r="BK41" s="205"/>
      <c r="BL41" s="50"/>
      <c r="BM41" s="3"/>
      <c r="BN41" s="5"/>
      <c r="BO41" s="203"/>
      <c r="BP41" s="204"/>
      <c r="BQ41" s="205"/>
      <c r="BR41" s="48"/>
      <c r="BS41" s="3"/>
      <c r="BT41" s="4"/>
      <c r="BU41" s="203"/>
      <c r="BV41" s="204"/>
      <c r="BW41" s="205"/>
      <c r="BX41" s="50"/>
      <c r="BY41" s="3"/>
      <c r="BZ41" s="5"/>
      <c r="CA41" s="203"/>
      <c r="CB41" s="204"/>
      <c r="CC41" s="205"/>
      <c r="CD41" s="48"/>
      <c r="CE41" s="3"/>
      <c r="CF41" s="4"/>
      <c r="CG41" s="52"/>
      <c r="CH41" s="21"/>
      <c r="CI41" s="26"/>
    </row>
    <row r="42" spans="1:87" customFormat="1" ht="13.5" customHeight="1">
      <c r="A42" s="83"/>
      <c r="B42" s="165"/>
      <c r="C42" s="167"/>
      <c r="D42" s="166"/>
      <c r="E42" s="167"/>
      <c r="F42" s="167"/>
      <c r="G42" s="168"/>
      <c r="H42" s="167"/>
      <c r="I42" s="167"/>
      <c r="J42" s="166"/>
      <c r="K42" s="166"/>
      <c r="L42" s="169"/>
      <c r="M42" s="203"/>
      <c r="N42" s="204"/>
      <c r="O42" s="205"/>
      <c r="P42" s="54"/>
      <c r="Q42" s="3"/>
      <c r="R42" s="5"/>
      <c r="S42" s="203"/>
      <c r="T42" s="204"/>
      <c r="U42" s="205"/>
      <c r="V42" s="48"/>
      <c r="W42" s="3"/>
      <c r="X42" s="4"/>
      <c r="Y42" s="203"/>
      <c r="Z42" s="204"/>
      <c r="AA42" s="205"/>
      <c r="AB42" s="50"/>
      <c r="AC42" s="3"/>
      <c r="AD42" s="5"/>
      <c r="AE42" s="203"/>
      <c r="AF42" s="204"/>
      <c r="AG42" s="205"/>
      <c r="AH42" s="48"/>
      <c r="AI42" s="3"/>
      <c r="AJ42" s="4"/>
      <c r="AK42" s="203"/>
      <c r="AL42" s="204"/>
      <c r="AM42" s="205"/>
      <c r="AN42" s="50"/>
      <c r="AO42" s="3"/>
      <c r="AP42" s="5"/>
      <c r="AQ42" s="203"/>
      <c r="AR42" s="204"/>
      <c r="AS42" s="205"/>
      <c r="AT42" s="48"/>
      <c r="AU42" s="3"/>
      <c r="AV42" s="4"/>
      <c r="AW42" s="203"/>
      <c r="AX42" s="204"/>
      <c r="AY42" s="205"/>
      <c r="AZ42" s="50"/>
      <c r="BA42" s="3"/>
      <c r="BB42" s="5"/>
      <c r="BC42" s="203"/>
      <c r="BD42" s="204"/>
      <c r="BE42" s="205"/>
      <c r="BF42" s="48"/>
      <c r="BG42" s="3"/>
      <c r="BH42" s="4"/>
      <c r="BI42" s="203"/>
      <c r="BJ42" s="204"/>
      <c r="BK42" s="205"/>
      <c r="BL42" s="50"/>
      <c r="BM42" s="3"/>
      <c r="BN42" s="5"/>
      <c r="BO42" s="203"/>
      <c r="BP42" s="204"/>
      <c r="BQ42" s="205"/>
      <c r="BR42" s="48"/>
      <c r="BS42" s="3"/>
      <c r="BT42" s="4"/>
      <c r="BU42" s="203"/>
      <c r="BV42" s="204"/>
      <c r="BW42" s="205"/>
      <c r="BX42" s="50"/>
      <c r="BY42" s="3"/>
      <c r="BZ42" s="5"/>
      <c r="CA42" s="203"/>
      <c r="CB42" s="204"/>
      <c r="CC42" s="205"/>
      <c r="CD42" s="48"/>
      <c r="CE42" s="3"/>
      <c r="CF42" s="4"/>
      <c r="CG42" s="52"/>
      <c r="CH42" s="21"/>
      <c r="CI42" s="26"/>
    </row>
    <row r="43" spans="1:87" customFormat="1" ht="14.25" customHeight="1" thickBot="1">
      <c r="A43" s="83"/>
      <c r="B43" s="170"/>
      <c r="C43" s="171"/>
      <c r="D43" s="171"/>
      <c r="E43" s="171"/>
      <c r="F43" s="171"/>
      <c r="G43" s="172"/>
      <c r="H43" s="171"/>
      <c r="I43" s="171"/>
      <c r="J43" s="173"/>
      <c r="K43" s="173"/>
      <c r="L43" s="174"/>
      <c r="M43" s="209"/>
      <c r="N43" s="210"/>
      <c r="O43" s="211"/>
      <c r="P43" s="55"/>
      <c r="Q43" s="6"/>
      <c r="R43" s="8"/>
      <c r="S43" s="209"/>
      <c r="T43" s="210"/>
      <c r="U43" s="211"/>
      <c r="V43" s="49"/>
      <c r="W43" s="6"/>
      <c r="X43" s="7"/>
      <c r="Y43" s="209"/>
      <c r="Z43" s="210"/>
      <c r="AA43" s="211"/>
      <c r="AB43" s="51"/>
      <c r="AC43" s="6"/>
      <c r="AD43" s="8"/>
      <c r="AE43" s="209"/>
      <c r="AF43" s="210"/>
      <c r="AG43" s="211"/>
      <c r="AH43" s="49"/>
      <c r="AI43" s="6"/>
      <c r="AJ43" s="7"/>
      <c r="AK43" s="209"/>
      <c r="AL43" s="210"/>
      <c r="AM43" s="211"/>
      <c r="AN43" s="51"/>
      <c r="AO43" s="6"/>
      <c r="AP43" s="8"/>
      <c r="AQ43" s="209"/>
      <c r="AR43" s="210"/>
      <c r="AS43" s="211"/>
      <c r="AT43" s="49"/>
      <c r="AU43" s="6"/>
      <c r="AV43" s="7"/>
      <c r="AW43" s="209"/>
      <c r="AX43" s="210"/>
      <c r="AY43" s="211"/>
      <c r="AZ43" s="51"/>
      <c r="BA43" s="6"/>
      <c r="BB43" s="8"/>
      <c r="BC43" s="209"/>
      <c r="BD43" s="210"/>
      <c r="BE43" s="211"/>
      <c r="BF43" s="49"/>
      <c r="BG43" s="6"/>
      <c r="BH43" s="7"/>
      <c r="BI43" s="209"/>
      <c r="BJ43" s="210"/>
      <c r="BK43" s="211"/>
      <c r="BL43" s="51"/>
      <c r="BM43" s="6"/>
      <c r="BN43" s="8"/>
      <c r="BO43" s="209"/>
      <c r="BP43" s="210"/>
      <c r="BQ43" s="211"/>
      <c r="BR43" s="49"/>
      <c r="BS43" s="6"/>
      <c r="BT43" s="7"/>
      <c r="BU43" s="209"/>
      <c r="BV43" s="210"/>
      <c r="BW43" s="211"/>
      <c r="BX43" s="51"/>
      <c r="BY43" s="6"/>
      <c r="BZ43" s="8"/>
      <c r="CA43" s="209"/>
      <c r="CB43" s="210"/>
      <c r="CC43" s="211"/>
      <c r="CD43" s="49"/>
      <c r="CE43" s="6"/>
      <c r="CF43" s="7"/>
      <c r="CG43" s="53"/>
      <c r="CH43" s="28"/>
      <c r="CI43" s="29"/>
    </row>
    <row r="44" spans="1:87" ht="14.25" thickBot="1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9"/>
      <c r="Q44" s="20"/>
      <c r="R44" s="20"/>
      <c r="S44" s="18"/>
      <c r="T44" s="18"/>
      <c r="U44" s="18"/>
      <c r="V44" s="20"/>
      <c r="W44" s="20"/>
      <c r="X44" s="20"/>
      <c r="Y44" s="18"/>
      <c r="Z44" s="18"/>
      <c r="AA44" s="18"/>
      <c r="AB44" s="20"/>
      <c r="AC44" s="20"/>
      <c r="AD44" s="20"/>
      <c r="AE44" s="18"/>
      <c r="AF44" s="18"/>
      <c r="AG44" s="18"/>
      <c r="AH44" s="20"/>
      <c r="AI44" s="20"/>
      <c r="AJ44" s="20"/>
      <c r="AK44" s="18"/>
      <c r="AL44" s="18"/>
      <c r="AM44" s="18"/>
      <c r="AN44" s="20"/>
      <c r="AO44" s="20"/>
      <c r="AP44" s="20"/>
      <c r="AQ44" s="18"/>
      <c r="AR44" s="18"/>
      <c r="AS44" s="18"/>
      <c r="AT44" s="20"/>
      <c r="AU44" s="20"/>
      <c r="AV44" s="20"/>
      <c r="AW44" s="18"/>
      <c r="AX44" s="18"/>
      <c r="AY44" s="18"/>
      <c r="AZ44" s="20"/>
      <c r="BA44" s="20"/>
      <c r="BB44" s="20"/>
      <c r="BC44" s="18"/>
      <c r="BD44" s="18"/>
      <c r="BE44" s="18"/>
      <c r="BF44" s="20"/>
      <c r="BG44" s="20"/>
      <c r="BH44" s="20"/>
      <c r="BI44" s="18"/>
      <c r="BJ44" s="18"/>
      <c r="BK44" s="18"/>
      <c r="BL44" s="20"/>
      <c r="BM44" s="20"/>
      <c r="BN44" s="20"/>
      <c r="BO44" s="18"/>
      <c r="BP44" s="18"/>
      <c r="BQ44" s="18"/>
      <c r="BR44" s="20"/>
      <c r="BS44" s="20"/>
      <c r="BT44" s="20"/>
      <c r="BU44" s="18"/>
      <c r="BV44" s="18"/>
      <c r="BW44" s="18"/>
      <c r="BX44" s="20"/>
      <c r="BY44" s="20"/>
      <c r="BZ44" s="20"/>
      <c r="CA44" s="18"/>
      <c r="CB44" s="18"/>
      <c r="CC44" s="18"/>
      <c r="CD44" s="20"/>
      <c r="CE44" s="20"/>
      <c r="CF44" s="20"/>
    </row>
    <row r="45" spans="1:87" ht="14.25" thickBot="1">
      <c r="B45" s="18"/>
      <c r="L45" s="47" t="s">
        <v>24</v>
      </c>
      <c r="M45" s="206"/>
      <c r="N45" s="207"/>
      <c r="O45" s="208"/>
      <c r="P45" s="76">
        <f>SUM(P9:P43)</f>
        <v>4</v>
      </c>
      <c r="Q45" s="77">
        <f>SUM(Q9:Q43)</f>
        <v>215000</v>
      </c>
      <c r="R45" s="78">
        <f>SUM(R9:R43)</f>
        <v>73000</v>
      </c>
      <c r="S45" s="206"/>
      <c r="T45" s="207"/>
      <c r="U45" s="208"/>
      <c r="V45" s="76">
        <f>SUM(V9:V43)</f>
        <v>5</v>
      </c>
      <c r="W45" s="77">
        <f>SUM(W9:W43)</f>
        <v>168000</v>
      </c>
      <c r="X45" s="79">
        <f>SUM(X9:X43)</f>
        <v>72000</v>
      </c>
      <c r="Y45" s="206"/>
      <c r="Z45" s="207"/>
      <c r="AA45" s="208"/>
      <c r="AB45" s="76">
        <f>SUM(AB9:AB43)</f>
        <v>4</v>
      </c>
      <c r="AC45" s="77">
        <f>SUM(AC9:AC43)</f>
        <v>152000</v>
      </c>
      <c r="AD45" s="79">
        <f>SUM(AD9:AD43)</f>
        <v>84000</v>
      </c>
      <c r="AE45" s="206"/>
      <c r="AF45" s="207"/>
      <c r="AG45" s="208"/>
      <c r="AH45" s="76">
        <f>SUM(AH9:AH43)</f>
        <v>5</v>
      </c>
      <c r="AI45" s="77">
        <f>SUM(AI9:AI43)</f>
        <v>190000</v>
      </c>
      <c r="AJ45" s="79">
        <f>SUM(AJ9:AJ43)</f>
        <v>95000</v>
      </c>
      <c r="AK45" s="206"/>
      <c r="AL45" s="207"/>
      <c r="AM45" s="208"/>
      <c r="AN45" s="80">
        <f>SUM(AN9:AN43)</f>
        <v>4</v>
      </c>
      <c r="AO45" s="77">
        <f>SUM(AO9:AO43)</f>
        <v>152000</v>
      </c>
      <c r="AP45" s="78">
        <f>SUM(AP9:AP43)</f>
        <v>84000</v>
      </c>
      <c r="AQ45" s="206"/>
      <c r="AR45" s="207"/>
      <c r="AS45" s="208"/>
      <c r="AT45" s="76">
        <f>SUM(AT9:AT43)</f>
        <v>4</v>
      </c>
      <c r="AU45" s="77">
        <f>SUM(AU9:AU43)</f>
        <v>152000</v>
      </c>
      <c r="AV45" s="79">
        <f>SUM(AV9:AV43)</f>
        <v>76000</v>
      </c>
      <c r="AW45" s="206"/>
      <c r="AX45" s="207"/>
      <c r="AY45" s="208"/>
      <c r="AZ45" s="80">
        <f>SUM(AZ9:AZ43)</f>
        <v>5</v>
      </c>
      <c r="BA45" s="77">
        <f>SUM(BA9:BA43)</f>
        <v>324000</v>
      </c>
      <c r="BB45" s="78">
        <f>SUM(BB9:BB43)</f>
        <v>106000</v>
      </c>
      <c r="BC45" s="206"/>
      <c r="BD45" s="207"/>
      <c r="BE45" s="208"/>
      <c r="BF45" s="76">
        <f>SUM(BF9:BF43)</f>
        <v>4</v>
      </c>
      <c r="BG45" s="77">
        <f>SUM(BG9:BG43)</f>
        <v>152000</v>
      </c>
      <c r="BH45" s="79">
        <f>SUM(BH9:BH43)</f>
        <v>76000</v>
      </c>
      <c r="BI45" s="206"/>
      <c r="BJ45" s="207"/>
      <c r="BK45" s="208"/>
      <c r="BL45" s="80">
        <f>SUM(BL9:BL43)</f>
        <v>3</v>
      </c>
      <c r="BM45" s="77">
        <f>SUM(BM9:BM43)</f>
        <v>404000</v>
      </c>
      <c r="BN45" s="78">
        <f>SUM(BN9:BN43)</f>
        <v>262000</v>
      </c>
      <c r="BO45" s="206"/>
      <c r="BP45" s="207"/>
      <c r="BQ45" s="208"/>
      <c r="BR45" s="76">
        <f>SUM(BR9:BR43)</f>
        <v>4</v>
      </c>
      <c r="BS45" s="77">
        <f>SUM(BS9:BS43)</f>
        <v>239000</v>
      </c>
      <c r="BT45" s="79">
        <f>SUM(BT9:BT43)</f>
        <v>114000</v>
      </c>
      <c r="BU45" s="206"/>
      <c r="BV45" s="207"/>
      <c r="BW45" s="208"/>
      <c r="BX45" s="80">
        <f>SUM(BX9:BX43)</f>
        <v>4</v>
      </c>
      <c r="BY45" s="77">
        <f>SUM(BY9:BY43)</f>
        <v>152000</v>
      </c>
      <c r="BZ45" s="78">
        <f>SUM(BZ9:BZ43)</f>
        <v>68000</v>
      </c>
      <c r="CA45" s="206"/>
      <c r="CB45" s="207"/>
      <c r="CC45" s="208"/>
      <c r="CD45" s="76">
        <f>SUM(CD9:CD43)</f>
        <v>6</v>
      </c>
      <c r="CE45" s="77">
        <f>SUM(CE9:CE43)</f>
        <v>428000</v>
      </c>
      <c r="CF45" s="78">
        <f>SUM(CF9:CF43)</f>
        <v>127000</v>
      </c>
      <c r="CG45" s="81">
        <f>SUM(CG9:CG43)</f>
        <v>52</v>
      </c>
      <c r="CH45" s="77">
        <f>SUM(CH9:CH43)</f>
        <v>2728000</v>
      </c>
      <c r="CI45" s="79">
        <f>SUM(CI9:CI43)</f>
        <v>1237000</v>
      </c>
    </row>
  </sheetData>
  <dataConsolidate/>
  <mergeCells count="29">
    <mergeCell ref="D2:F2"/>
    <mergeCell ref="D3:F3"/>
    <mergeCell ref="AB6:AD7"/>
    <mergeCell ref="I3:J3"/>
    <mergeCell ref="I2:J2"/>
    <mergeCell ref="M6:O7"/>
    <mergeCell ref="CG6:CI7"/>
    <mergeCell ref="P6:R7"/>
    <mergeCell ref="V6:X7"/>
    <mergeCell ref="AH6:AJ7"/>
    <mergeCell ref="AN6:AP7"/>
    <mergeCell ref="AZ6:BB7"/>
    <mergeCell ref="CD6:CF7"/>
    <mergeCell ref="BX6:BZ7"/>
    <mergeCell ref="BR6:BT7"/>
    <mergeCell ref="AT6:AV7"/>
    <mergeCell ref="BL6:BN7"/>
    <mergeCell ref="S6:U7"/>
    <mergeCell ref="Y6:AA7"/>
    <mergeCell ref="CA6:CC7"/>
    <mergeCell ref="BF6:BH7"/>
    <mergeCell ref="AE6:AG7"/>
    <mergeCell ref="AK6:AM7"/>
    <mergeCell ref="BI6:BK7"/>
    <mergeCell ref="BO6:BQ7"/>
    <mergeCell ref="BU6:BW7"/>
    <mergeCell ref="AQ6:AS7"/>
    <mergeCell ref="AW6:AY7"/>
    <mergeCell ref="BC6:BE7"/>
  </mergeCells>
  <phoneticPr fontId="5"/>
  <pageMargins left="0.7" right="0.7" top="0.75" bottom="0.75" header="0.3" footer="0.3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9:AP29"/>
  <sheetViews>
    <sheetView showGridLines="0" workbookViewId="0">
      <selection activeCell="F42" sqref="F42"/>
    </sheetView>
  </sheetViews>
  <sheetFormatPr defaultRowHeight="13.5"/>
  <cols>
    <col min="1" max="1" width="2" customWidth="1"/>
    <col min="2" max="2" width="14.375" customWidth="1"/>
    <col min="3" max="3" width="13.375" customWidth="1"/>
    <col min="4" max="4" width="13.125" customWidth="1"/>
    <col min="5" max="5" width="15" customWidth="1"/>
    <col min="6" max="7" width="13.125" customWidth="1"/>
    <col min="8" max="8" width="15.5" customWidth="1"/>
    <col min="9" max="10" width="13.125" customWidth="1"/>
    <col min="11" max="11" width="15.25" customWidth="1"/>
    <col min="12" max="13" width="13.125" customWidth="1"/>
    <col min="14" max="14" width="16.125" customWidth="1"/>
    <col min="15" max="16" width="13.125" customWidth="1"/>
    <col min="17" max="17" width="15.25" customWidth="1"/>
    <col min="18" max="19" width="13.125" customWidth="1"/>
    <col min="20" max="20" width="14.75" customWidth="1"/>
    <col min="21" max="22" width="13.125" customWidth="1"/>
    <col min="23" max="23" width="15.625" customWidth="1"/>
    <col min="24" max="25" width="13.125" customWidth="1"/>
    <col min="26" max="26" width="15" customWidth="1"/>
    <col min="27" max="28" width="13.125" customWidth="1"/>
    <col min="29" max="29" width="14.625" customWidth="1"/>
    <col min="30" max="31" width="13.125" customWidth="1"/>
    <col min="32" max="32" width="14.875" customWidth="1"/>
    <col min="33" max="34" width="13.125" customWidth="1"/>
    <col min="35" max="35" width="15.25" customWidth="1"/>
    <col min="36" max="37" width="13.125" customWidth="1"/>
    <col min="38" max="38" width="15.25" customWidth="1"/>
    <col min="39" max="40" width="13.125" customWidth="1"/>
    <col min="41" max="41" width="14.875" customWidth="1"/>
    <col min="42" max="42" width="13.125" customWidth="1"/>
    <col min="257" max="257" width="2" customWidth="1"/>
    <col min="258" max="258" width="6.625" customWidth="1"/>
    <col min="259" max="259" width="13.375" customWidth="1"/>
    <col min="260" max="298" width="13.125" customWidth="1"/>
    <col min="513" max="513" width="2" customWidth="1"/>
    <col min="514" max="514" width="6.625" customWidth="1"/>
    <col min="515" max="515" width="13.375" customWidth="1"/>
    <col min="516" max="554" width="13.125" customWidth="1"/>
    <col min="769" max="769" width="2" customWidth="1"/>
    <col min="770" max="770" width="6.625" customWidth="1"/>
    <col min="771" max="771" width="13.375" customWidth="1"/>
    <col min="772" max="810" width="13.125" customWidth="1"/>
    <col min="1025" max="1025" width="2" customWidth="1"/>
    <col min="1026" max="1026" width="6.625" customWidth="1"/>
    <col min="1027" max="1027" width="13.375" customWidth="1"/>
    <col min="1028" max="1066" width="13.125" customWidth="1"/>
    <col min="1281" max="1281" width="2" customWidth="1"/>
    <col min="1282" max="1282" width="6.625" customWidth="1"/>
    <col min="1283" max="1283" width="13.375" customWidth="1"/>
    <col min="1284" max="1322" width="13.125" customWidth="1"/>
    <col min="1537" max="1537" width="2" customWidth="1"/>
    <col min="1538" max="1538" width="6.625" customWidth="1"/>
    <col min="1539" max="1539" width="13.375" customWidth="1"/>
    <col min="1540" max="1578" width="13.125" customWidth="1"/>
    <col min="1793" max="1793" width="2" customWidth="1"/>
    <col min="1794" max="1794" width="6.625" customWidth="1"/>
    <col min="1795" max="1795" width="13.375" customWidth="1"/>
    <col min="1796" max="1834" width="13.125" customWidth="1"/>
    <col min="2049" max="2049" width="2" customWidth="1"/>
    <col min="2050" max="2050" width="6.625" customWidth="1"/>
    <col min="2051" max="2051" width="13.375" customWidth="1"/>
    <col min="2052" max="2090" width="13.125" customWidth="1"/>
    <col min="2305" max="2305" width="2" customWidth="1"/>
    <col min="2306" max="2306" width="6.625" customWidth="1"/>
    <col min="2307" max="2307" width="13.375" customWidth="1"/>
    <col min="2308" max="2346" width="13.125" customWidth="1"/>
    <col min="2561" max="2561" width="2" customWidth="1"/>
    <col min="2562" max="2562" width="6.625" customWidth="1"/>
    <col min="2563" max="2563" width="13.375" customWidth="1"/>
    <col min="2564" max="2602" width="13.125" customWidth="1"/>
    <col min="2817" max="2817" width="2" customWidth="1"/>
    <col min="2818" max="2818" width="6.625" customWidth="1"/>
    <col min="2819" max="2819" width="13.375" customWidth="1"/>
    <col min="2820" max="2858" width="13.125" customWidth="1"/>
    <col min="3073" max="3073" width="2" customWidth="1"/>
    <col min="3074" max="3074" width="6.625" customWidth="1"/>
    <col min="3075" max="3075" width="13.375" customWidth="1"/>
    <col min="3076" max="3114" width="13.125" customWidth="1"/>
    <col min="3329" max="3329" width="2" customWidth="1"/>
    <col min="3330" max="3330" width="6.625" customWidth="1"/>
    <col min="3331" max="3331" width="13.375" customWidth="1"/>
    <col min="3332" max="3370" width="13.125" customWidth="1"/>
    <col min="3585" max="3585" width="2" customWidth="1"/>
    <col min="3586" max="3586" width="6.625" customWidth="1"/>
    <col min="3587" max="3587" width="13.375" customWidth="1"/>
    <col min="3588" max="3626" width="13.125" customWidth="1"/>
    <col min="3841" max="3841" width="2" customWidth="1"/>
    <col min="3842" max="3842" width="6.625" customWidth="1"/>
    <col min="3843" max="3843" width="13.375" customWidth="1"/>
    <col min="3844" max="3882" width="13.125" customWidth="1"/>
    <col min="4097" max="4097" width="2" customWidth="1"/>
    <col min="4098" max="4098" width="6.625" customWidth="1"/>
    <col min="4099" max="4099" width="13.375" customWidth="1"/>
    <col min="4100" max="4138" width="13.125" customWidth="1"/>
    <col min="4353" max="4353" width="2" customWidth="1"/>
    <col min="4354" max="4354" width="6.625" customWidth="1"/>
    <col min="4355" max="4355" width="13.375" customWidth="1"/>
    <col min="4356" max="4394" width="13.125" customWidth="1"/>
    <col min="4609" max="4609" width="2" customWidth="1"/>
    <col min="4610" max="4610" width="6.625" customWidth="1"/>
    <col min="4611" max="4611" width="13.375" customWidth="1"/>
    <col min="4612" max="4650" width="13.125" customWidth="1"/>
    <col min="4865" max="4865" width="2" customWidth="1"/>
    <col min="4866" max="4866" width="6.625" customWidth="1"/>
    <col min="4867" max="4867" width="13.375" customWidth="1"/>
    <col min="4868" max="4906" width="13.125" customWidth="1"/>
    <col min="5121" max="5121" width="2" customWidth="1"/>
    <col min="5122" max="5122" width="6.625" customWidth="1"/>
    <col min="5123" max="5123" width="13.375" customWidth="1"/>
    <col min="5124" max="5162" width="13.125" customWidth="1"/>
    <col min="5377" max="5377" width="2" customWidth="1"/>
    <col min="5378" max="5378" width="6.625" customWidth="1"/>
    <col min="5379" max="5379" width="13.375" customWidth="1"/>
    <col min="5380" max="5418" width="13.125" customWidth="1"/>
    <col min="5633" max="5633" width="2" customWidth="1"/>
    <col min="5634" max="5634" width="6.625" customWidth="1"/>
    <col min="5635" max="5635" width="13.375" customWidth="1"/>
    <col min="5636" max="5674" width="13.125" customWidth="1"/>
    <col min="5889" max="5889" width="2" customWidth="1"/>
    <col min="5890" max="5890" width="6.625" customWidth="1"/>
    <col min="5891" max="5891" width="13.375" customWidth="1"/>
    <col min="5892" max="5930" width="13.125" customWidth="1"/>
    <col min="6145" max="6145" width="2" customWidth="1"/>
    <col min="6146" max="6146" width="6.625" customWidth="1"/>
    <col min="6147" max="6147" width="13.375" customWidth="1"/>
    <col min="6148" max="6186" width="13.125" customWidth="1"/>
    <col min="6401" max="6401" width="2" customWidth="1"/>
    <col min="6402" max="6402" width="6.625" customWidth="1"/>
    <col min="6403" max="6403" width="13.375" customWidth="1"/>
    <col min="6404" max="6442" width="13.125" customWidth="1"/>
    <col min="6657" max="6657" width="2" customWidth="1"/>
    <col min="6658" max="6658" width="6.625" customWidth="1"/>
    <col min="6659" max="6659" width="13.375" customWidth="1"/>
    <col min="6660" max="6698" width="13.125" customWidth="1"/>
    <col min="6913" max="6913" width="2" customWidth="1"/>
    <col min="6914" max="6914" width="6.625" customWidth="1"/>
    <col min="6915" max="6915" width="13.375" customWidth="1"/>
    <col min="6916" max="6954" width="13.125" customWidth="1"/>
    <col min="7169" max="7169" width="2" customWidth="1"/>
    <col min="7170" max="7170" width="6.625" customWidth="1"/>
    <col min="7171" max="7171" width="13.375" customWidth="1"/>
    <col min="7172" max="7210" width="13.125" customWidth="1"/>
    <col min="7425" max="7425" width="2" customWidth="1"/>
    <col min="7426" max="7426" width="6.625" customWidth="1"/>
    <col min="7427" max="7427" width="13.375" customWidth="1"/>
    <col min="7428" max="7466" width="13.125" customWidth="1"/>
    <col min="7681" max="7681" width="2" customWidth="1"/>
    <col min="7682" max="7682" width="6.625" customWidth="1"/>
    <col min="7683" max="7683" width="13.375" customWidth="1"/>
    <col min="7684" max="7722" width="13.125" customWidth="1"/>
    <col min="7937" max="7937" width="2" customWidth="1"/>
    <col min="7938" max="7938" width="6.625" customWidth="1"/>
    <col min="7939" max="7939" width="13.375" customWidth="1"/>
    <col min="7940" max="7978" width="13.125" customWidth="1"/>
    <col min="8193" max="8193" width="2" customWidth="1"/>
    <col min="8194" max="8194" width="6.625" customWidth="1"/>
    <col min="8195" max="8195" width="13.375" customWidth="1"/>
    <col min="8196" max="8234" width="13.125" customWidth="1"/>
    <col min="8449" max="8449" width="2" customWidth="1"/>
    <col min="8450" max="8450" width="6.625" customWidth="1"/>
    <col min="8451" max="8451" width="13.375" customWidth="1"/>
    <col min="8452" max="8490" width="13.125" customWidth="1"/>
    <col min="8705" max="8705" width="2" customWidth="1"/>
    <col min="8706" max="8706" width="6.625" customWidth="1"/>
    <col min="8707" max="8707" width="13.375" customWidth="1"/>
    <col min="8708" max="8746" width="13.125" customWidth="1"/>
    <col min="8961" max="8961" width="2" customWidth="1"/>
    <col min="8962" max="8962" width="6.625" customWidth="1"/>
    <col min="8963" max="8963" width="13.375" customWidth="1"/>
    <col min="8964" max="9002" width="13.125" customWidth="1"/>
    <col min="9217" max="9217" width="2" customWidth="1"/>
    <col min="9218" max="9218" width="6.625" customWidth="1"/>
    <col min="9219" max="9219" width="13.375" customWidth="1"/>
    <col min="9220" max="9258" width="13.125" customWidth="1"/>
    <col min="9473" max="9473" width="2" customWidth="1"/>
    <col min="9474" max="9474" width="6.625" customWidth="1"/>
    <col min="9475" max="9475" width="13.375" customWidth="1"/>
    <col min="9476" max="9514" width="13.125" customWidth="1"/>
    <col min="9729" max="9729" width="2" customWidth="1"/>
    <col min="9730" max="9730" width="6.625" customWidth="1"/>
    <col min="9731" max="9731" width="13.375" customWidth="1"/>
    <col min="9732" max="9770" width="13.125" customWidth="1"/>
    <col min="9985" max="9985" width="2" customWidth="1"/>
    <col min="9986" max="9986" width="6.625" customWidth="1"/>
    <col min="9987" max="9987" width="13.375" customWidth="1"/>
    <col min="9988" max="10026" width="13.125" customWidth="1"/>
    <col min="10241" max="10241" width="2" customWidth="1"/>
    <col min="10242" max="10242" width="6.625" customWidth="1"/>
    <col min="10243" max="10243" width="13.375" customWidth="1"/>
    <col min="10244" max="10282" width="13.125" customWidth="1"/>
    <col min="10497" max="10497" width="2" customWidth="1"/>
    <col min="10498" max="10498" width="6.625" customWidth="1"/>
    <col min="10499" max="10499" width="13.375" customWidth="1"/>
    <col min="10500" max="10538" width="13.125" customWidth="1"/>
    <col min="10753" max="10753" width="2" customWidth="1"/>
    <col min="10754" max="10754" width="6.625" customWidth="1"/>
    <col min="10755" max="10755" width="13.375" customWidth="1"/>
    <col min="10756" max="10794" width="13.125" customWidth="1"/>
    <col min="11009" max="11009" width="2" customWidth="1"/>
    <col min="11010" max="11010" width="6.625" customWidth="1"/>
    <col min="11011" max="11011" width="13.375" customWidth="1"/>
    <col min="11012" max="11050" width="13.125" customWidth="1"/>
    <col min="11265" max="11265" width="2" customWidth="1"/>
    <col min="11266" max="11266" width="6.625" customWidth="1"/>
    <col min="11267" max="11267" width="13.375" customWidth="1"/>
    <col min="11268" max="11306" width="13.125" customWidth="1"/>
    <col min="11521" max="11521" width="2" customWidth="1"/>
    <col min="11522" max="11522" width="6.625" customWidth="1"/>
    <col min="11523" max="11523" width="13.375" customWidth="1"/>
    <col min="11524" max="11562" width="13.125" customWidth="1"/>
    <col min="11777" max="11777" width="2" customWidth="1"/>
    <col min="11778" max="11778" width="6.625" customWidth="1"/>
    <col min="11779" max="11779" width="13.375" customWidth="1"/>
    <col min="11780" max="11818" width="13.125" customWidth="1"/>
    <col min="12033" max="12033" width="2" customWidth="1"/>
    <col min="12034" max="12034" width="6.625" customWidth="1"/>
    <col min="12035" max="12035" width="13.375" customWidth="1"/>
    <col min="12036" max="12074" width="13.125" customWidth="1"/>
    <col min="12289" max="12289" width="2" customWidth="1"/>
    <col min="12290" max="12290" width="6.625" customWidth="1"/>
    <col min="12291" max="12291" width="13.375" customWidth="1"/>
    <col min="12292" max="12330" width="13.125" customWidth="1"/>
    <col min="12545" max="12545" width="2" customWidth="1"/>
    <col min="12546" max="12546" width="6.625" customWidth="1"/>
    <col min="12547" max="12547" width="13.375" customWidth="1"/>
    <col min="12548" max="12586" width="13.125" customWidth="1"/>
    <col min="12801" max="12801" width="2" customWidth="1"/>
    <col min="12802" max="12802" width="6.625" customWidth="1"/>
    <col min="12803" max="12803" width="13.375" customWidth="1"/>
    <col min="12804" max="12842" width="13.125" customWidth="1"/>
    <col min="13057" max="13057" width="2" customWidth="1"/>
    <col min="13058" max="13058" width="6.625" customWidth="1"/>
    <col min="13059" max="13059" width="13.375" customWidth="1"/>
    <col min="13060" max="13098" width="13.125" customWidth="1"/>
    <col min="13313" max="13313" width="2" customWidth="1"/>
    <col min="13314" max="13314" width="6.625" customWidth="1"/>
    <col min="13315" max="13315" width="13.375" customWidth="1"/>
    <col min="13316" max="13354" width="13.125" customWidth="1"/>
    <col min="13569" max="13569" width="2" customWidth="1"/>
    <col min="13570" max="13570" width="6.625" customWidth="1"/>
    <col min="13571" max="13571" width="13.375" customWidth="1"/>
    <col min="13572" max="13610" width="13.125" customWidth="1"/>
    <col min="13825" max="13825" width="2" customWidth="1"/>
    <col min="13826" max="13826" width="6.625" customWidth="1"/>
    <col min="13827" max="13827" width="13.375" customWidth="1"/>
    <col min="13828" max="13866" width="13.125" customWidth="1"/>
    <col min="14081" max="14081" width="2" customWidth="1"/>
    <col min="14082" max="14082" width="6.625" customWidth="1"/>
    <col min="14083" max="14083" width="13.375" customWidth="1"/>
    <col min="14084" max="14122" width="13.125" customWidth="1"/>
    <col min="14337" max="14337" width="2" customWidth="1"/>
    <col min="14338" max="14338" width="6.625" customWidth="1"/>
    <col min="14339" max="14339" width="13.375" customWidth="1"/>
    <col min="14340" max="14378" width="13.125" customWidth="1"/>
    <col min="14593" max="14593" width="2" customWidth="1"/>
    <col min="14594" max="14594" width="6.625" customWidth="1"/>
    <col min="14595" max="14595" width="13.375" customWidth="1"/>
    <col min="14596" max="14634" width="13.125" customWidth="1"/>
    <col min="14849" max="14849" width="2" customWidth="1"/>
    <col min="14850" max="14850" width="6.625" customWidth="1"/>
    <col min="14851" max="14851" width="13.375" customWidth="1"/>
    <col min="14852" max="14890" width="13.125" customWidth="1"/>
    <col min="15105" max="15105" width="2" customWidth="1"/>
    <col min="15106" max="15106" width="6.625" customWidth="1"/>
    <col min="15107" max="15107" width="13.375" customWidth="1"/>
    <col min="15108" max="15146" width="13.125" customWidth="1"/>
    <col min="15361" max="15361" width="2" customWidth="1"/>
    <col min="15362" max="15362" width="6.625" customWidth="1"/>
    <col min="15363" max="15363" width="13.375" customWidth="1"/>
    <col min="15364" max="15402" width="13.125" customWidth="1"/>
    <col min="15617" max="15617" width="2" customWidth="1"/>
    <col min="15618" max="15618" width="6.625" customWidth="1"/>
    <col min="15619" max="15619" width="13.375" customWidth="1"/>
    <col min="15620" max="15658" width="13.125" customWidth="1"/>
    <col min="15873" max="15873" width="2" customWidth="1"/>
    <col min="15874" max="15874" width="6.625" customWidth="1"/>
    <col min="15875" max="15875" width="13.375" customWidth="1"/>
    <col min="15876" max="15914" width="13.125" customWidth="1"/>
    <col min="16129" max="16129" width="2" customWidth="1"/>
    <col min="16130" max="16130" width="6.625" customWidth="1"/>
    <col min="16131" max="16131" width="13.375" customWidth="1"/>
    <col min="16132" max="16170" width="13.125" customWidth="1"/>
  </cols>
  <sheetData>
    <row r="9" spans="2:42" ht="14.25" thickBot="1"/>
    <row r="10" spans="2:42" ht="15.75" thickTop="1" thickBot="1">
      <c r="D10" s="343" t="s">
        <v>54</v>
      </c>
      <c r="E10" s="344"/>
      <c r="F10" s="344"/>
      <c r="G10" s="343" t="s">
        <v>55</v>
      </c>
      <c r="H10" s="344"/>
      <c r="I10" s="345"/>
      <c r="J10" s="344" t="s">
        <v>53</v>
      </c>
      <c r="K10" s="344"/>
      <c r="L10" s="344"/>
      <c r="M10" s="343" t="s">
        <v>56</v>
      </c>
      <c r="N10" s="344"/>
      <c r="O10" s="345"/>
      <c r="P10" s="344" t="s">
        <v>57</v>
      </c>
      <c r="Q10" s="344"/>
      <c r="R10" s="344"/>
      <c r="S10" s="343" t="s">
        <v>58</v>
      </c>
      <c r="T10" s="344"/>
      <c r="U10" s="345"/>
      <c r="V10" s="344" t="s">
        <v>59</v>
      </c>
      <c r="W10" s="344"/>
      <c r="X10" s="344"/>
      <c r="Y10" s="343" t="s">
        <v>60</v>
      </c>
      <c r="Z10" s="344"/>
      <c r="AA10" s="345"/>
      <c r="AB10" s="344" t="s">
        <v>61</v>
      </c>
      <c r="AC10" s="344"/>
      <c r="AD10" s="344"/>
      <c r="AE10" s="343" t="s">
        <v>62</v>
      </c>
      <c r="AF10" s="344"/>
      <c r="AG10" s="345"/>
      <c r="AH10" s="343" t="s">
        <v>63</v>
      </c>
      <c r="AI10" s="344"/>
      <c r="AJ10" s="345"/>
      <c r="AK10" s="344" t="s">
        <v>64</v>
      </c>
      <c r="AL10" s="344"/>
      <c r="AM10" s="344"/>
      <c r="AN10" s="346" t="s">
        <v>11</v>
      </c>
      <c r="AO10" s="347"/>
      <c r="AP10" s="348"/>
    </row>
    <row r="11" spans="2:42" ht="14.25" thickBot="1">
      <c r="D11" s="238" t="s">
        <v>208</v>
      </c>
      <c r="E11" s="239" t="s">
        <v>209</v>
      </c>
      <c r="F11" s="240" t="s">
        <v>210</v>
      </c>
      <c r="G11" s="238" t="s">
        <v>208</v>
      </c>
      <c r="H11" s="239" t="s">
        <v>209</v>
      </c>
      <c r="I11" s="240" t="s">
        <v>210</v>
      </c>
      <c r="J11" s="238" t="s">
        <v>208</v>
      </c>
      <c r="K11" s="239" t="s">
        <v>209</v>
      </c>
      <c r="L11" s="240" t="s">
        <v>210</v>
      </c>
      <c r="M11" s="238" t="s">
        <v>208</v>
      </c>
      <c r="N11" s="239" t="s">
        <v>209</v>
      </c>
      <c r="O11" s="240" t="s">
        <v>210</v>
      </c>
      <c r="P11" s="238" t="s">
        <v>208</v>
      </c>
      <c r="Q11" s="239" t="s">
        <v>209</v>
      </c>
      <c r="R11" s="240" t="s">
        <v>210</v>
      </c>
      <c r="S11" s="238" t="s">
        <v>208</v>
      </c>
      <c r="T11" s="239" t="s">
        <v>209</v>
      </c>
      <c r="U11" s="240" t="s">
        <v>210</v>
      </c>
      <c r="V11" s="238" t="s">
        <v>208</v>
      </c>
      <c r="W11" s="239" t="s">
        <v>209</v>
      </c>
      <c r="X11" s="240" t="s">
        <v>210</v>
      </c>
      <c r="Y11" s="238" t="s">
        <v>208</v>
      </c>
      <c r="Z11" s="239" t="s">
        <v>209</v>
      </c>
      <c r="AA11" s="240" t="s">
        <v>210</v>
      </c>
      <c r="AB11" s="238" t="s">
        <v>208</v>
      </c>
      <c r="AC11" s="239" t="s">
        <v>209</v>
      </c>
      <c r="AD11" s="240" t="s">
        <v>210</v>
      </c>
      <c r="AE11" s="238" t="s">
        <v>208</v>
      </c>
      <c r="AF11" s="239" t="s">
        <v>209</v>
      </c>
      <c r="AG11" s="240" t="s">
        <v>210</v>
      </c>
      <c r="AH11" s="238" t="s">
        <v>208</v>
      </c>
      <c r="AI11" s="239" t="s">
        <v>209</v>
      </c>
      <c r="AJ11" s="240" t="s">
        <v>210</v>
      </c>
      <c r="AK11" s="238" t="s">
        <v>208</v>
      </c>
      <c r="AL11" s="239" t="s">
        <v>209</v>
      </c>
      <c r="AM11" s="240" t="s">
        <v>210</v>
      </c>
      <c r="AN11" s="238" t="s">
        <v>208</v>
      </c>
      <c r="AO11" s="239" t="s">
        <v>209</v>
      </c>
      <c r="AP11" s="240" t="s">
        <v>210</v>
      </c>
    </row>
    <row r="12" spans="2:42">
      <c r="B12" s="254" t="s">
        <v>205</v>
      </c>
      <c r="C12" s="257" t="s">
        <v>202</v>
      </c>
      <c r="D12" s="266"/>
      <c r="E12" s="267"/>
      <c r="F12" s="268"/>
      <c r="G12" s="266"/>
      <c r="H12" s="267"/>
      <c r="I12" s="268"/>
      <c r="J12" s="266"/>
      <c r="K12" s="267"/>
      <c r="L12" s="268"/>
      <c r="M12" s="266"/>
      <c r="N12" s="267"/>
      <c r="O12" s="268"/>
      <c r="P12" s="266"/>
      <c r="Q12" s="267"/>
      <c r="R12" s="268"/>
      <c r="S12" s="266"/>
      <c r="T12" s="267"/>
      <c r="U12" s="268"/>
      <c r="V12" s="266"/>
      <c r="W12" s="267"/>
      <c r="X12" s="268"/>
      <c r="Y12" s="266"/>
      <c r="Z12" s="267"/>
      <c r="AA12" s="268"/>
      <c r="AB12" s="266"/>
      <c r="AC12" s="267"/>
      <c r="AD12" s="268"/>
      <c r="AE12" s="266"/>
      <c r="AF12" s="267"/>
      <c r="AG12" s="268"/>
      <c r="AH12" s="266"/>
      <c r="AI12" s="267"/>
      <c r="AJ12" s="268"/>
      <c r="AK12" s="266"/>
      <c r="AL12" s="267"/>
      <c r="AM12" s="268"/>
      <c r="AN12" s="266"/>
      <c r="AO12" s="267"/>
      <c r="AP12" s="268"/>
    </row>
    <row r="13" spans="2:42">
      <c r="B13" s="230" t="s">
        <v>211</v>
      </c>
      <c r="C13" s="258" t="s">
        <v>203</v>
      </c>
      <c r="D13" s="269"/>
      <c r="E13" s="270"/>
      <c r="F13" s="271"/>
      <c r="G13" s="269"/>
      <c r="H13" s="270"/>
      <c r="I13" s="271"/>
      <c r="J13" s="269"/>
      <c r="K13" s="270"/>
      <c r="L13" s="271"/>
      <c r="M13" s="269"/>
      <c r="N13" s="270"/>
      <c r="O13" s="271"/>
      <c r="P13" s="269"/>
      <c r="Q13" s="270"/>
      <c r="R13" s="271"/>
      <c r="S13" s="269"/>
      <c r="T13" s="270"/>
      <c r="U13" s="271"/>
      <c r="V13" s="269"/>
      <c r="W13" s="270"/>
      <c r="X13" s="271"/>
      <c r="Y13" s="269"/>
      <c r="Z13" s="270"/>
      <c r="AA13" s="271"/>
      <c r="AB13" s="269"/>
      <c r="AC13" s="270"/>
      <c r="AD13" s="271"/>
      <c r="AE13" s="269"/>
      <c r="AF13" s="270"/>
      <c r="AG13" s="271"/>
      <c r="AH13" s="269"/>
      <c r="AI13" s="270"/>
      <c r="AJ13" s="271"/>
      <c r="AK13" s="269"/>
      <c r="AL13" s="270"/>
      <c r="AM13" s="271"/>
      <c r="AN13" s="269"/>
      <c r="AO13" s="270"/>
      <c r="AP13" s="271"/>
    </row>
    <row r="14" spans="2:42">
      <c r="B14" s="231" t="s">
        <v>212</v>
      </c>
      <c r="C14" s="258" t="s">
        <v>200</v>
      </c>
      <c r="D14" s="269"/>
      <c r="E14" s="270"/>
      <c r="F14" s="271"/>
      <c r="G14" s="269"/>
      <c r="H14" s="270"/>
      <c r="I14" s="271"/>
      <c r="J14" s="269"/>
      <c r="K14" s="270"/>
      <c r="L14" s="271"/>
      <c r="M14" s="269"/>
      <c r="N14" s="270"/>
      <c r="O14" s="271"/>
      <c r="P14" s="269"/>
      <c r="Q14" s="270"/>
      <c r="R14" s="271"/>
      <c r="S14" s="269"/>
      <c r="T14" s="270"/>
      <c r="U14" s="271"/>
      <c r="V14" s="269"/>
      <c r="W14" s="270"/>
      <c r="X14" s="271"/>
      <c r="Y14" s="269"/>
      <c r="Z14" s="270"/>
      <c r="AA14" s="271"/>
      <c r="AB14" s="269"/>
      <c r="AC14" s="270"/>
      <c r="AD14" s="271"/>
      <c r="AE14" s="269"/>
      <c r="AF14" s="270"/>
      <c r="AG14" s="271"/>
      <c r="AH14" s="269"/>
      <c r="AI14" s="270"/>
      <c r="AJ14" s="271"/>
      <c r="AK14" s="269"/>
      <c r="AL14" s="270"/>
      <c r="AM14" s="271"/>
      <c r="AN14" s="269"/>
      <c r="AO14" s="270"/>
      <c r="AP14" s="271"/>
    </row>
    <row r="15" spans="2:42">
      <c r="B15" s="231"/>
      <c r="C15" s="278" t="s">
        <v>214</v>
      </c>
      <c r="D15" s="275"/>
      <c r="E15" s="276"/>
      <c r="F15" s="277"/>
      <c r="G15" s="275"/>
      <c r="H15" s="276"/>
      <c r="I15" s="277"/>
      <c r="J15" s="275"/>
      <c r="K15" s="276"/>
      <c r="L15" s="277"/>
      <c r="M15" s="275"/>
      <c r="N15" s="276"/>
      <c r="O15" s="277"/>
      <c r="P15" s="275"/>
      <c r="Q15" s="276"/>
      <c r="R15" s="277"/>
      <c r="S15" s="275"/>
      <c r="T15" s="276"/>
      <c r="U15" s="277"/>
      <c r="V15" s="275"/>
      <c r="W15" s="276"/>
      <c r="X15" s="277"/>
      <c r="Y15" s="275"/>
      <c r="Z15" s="276"/>
      <c r="AA15" s="277"/>
      <c r="AB15" s="275"/>
      <c r="AC15" s="276"/>
      <c r="AD15" s="277"/>
      <c r="AE15" s="275"/>
      <c r="AF15" s="276"/>
      <c r="AG15" s="277"/>
      <c r="AH15" s="275"/>
      <c r="AI15" s="276"/>
      <c r="AJ15" s="277"/>
      <c r="AK15" s="275"/>
      <c r="AL15" s="276"/>
      <c r="AM15" s="277"/>
      <c r="AN15" s="275"/>
      <c r="AO15" s="276"/>
      <c r="AP15" s="277"/>
    </row>
    <row r="16" spans="2:42">
      <c r="B16" s="231"/>
      <c r="C16" s="278" t="s">
        <v>215</v>
      </c>
      <c r="D16" s="275"/>
      <c r="E16" s="276"/>
      <c r="F16" s="277"/>
      <c r="G16" s="275"/>
      <c r="H16" s="276"/>
      <c r="I16" s="277"/>
      <c r="J16" s="275"/>
      <c r="K16" s="276"/>
      <c r="L16" s="277"/>
      <c r="M16" s="275"/>
      <c r="N16" s="276"/>
      <c r="O16" s="277"/>
      <c r="P16" s="275"/>
      <c r="Q16" s="276"/>
      <c r="R16" s="277"/>
      <c r="S16" s="275"/>
      <c r="T16" s="276"/>
      <c r="U16" s="277"/>
      <c r="V16" s="275"/>
      <c r="W16" s="276"/>
      <c r="X16" s="277"/>
      <c r="Y16" s="275"/>
      <c r="Z16" s="276"/>
      <c r="AA16" s="277"/>
      <c r="AB16" s="275"/>
      <c r="AC16" s="276"/>
      <c r="AD16" s="277"/>
      <c r="AE16" s="275"/>
      <c r="AF16" s="276"/>
      <c r="AG16" s="277"/>
      <c r="AH16" s="275"/>
      <c r="AI16" s="276"/>
      <c r="AJ16" s="277"/>
      <c r="AK16" s="275"/>
      <c r="AL16" s="276"/>
      <c r="AM16" s="277"/>
      <c r="AN16" s="275"/>
      <c r="AO16" s="276"/>
      <c r="AP16" s="277"/>
    </row>
    <row r="17" spans="2:42" ht="14.25" thickBot="1">
      <c r="B17" s="232"/>
      <c r="C17" s="259" t="s">
        <v>204</v>
      </c>
      <c r="D17" s="272"/>
      <c r="E17" s="273"/>
      <c r="F17" s="274"/>
      <c r="G17" s="275"/>
      <c r="H17" s="276"/>
      <c r="I17" s="277"/>
      <c r="J17" s="275"/>
      <c r="K17" s="276"/>
      <c r="L17" s="277"/>
      <c r="M17" s="275"/>
      <c r="N17" s="276"/>
      <c r="O17" s="277"/>
      <c r="P17" s="275"/>
      <c r="Q17" s="276"/>
      <c r="R17" s="277"/>
      <c r="S17" s="275"/>
      <c r="T17" s="276"/>
      <c r="U17" s="277"/>
      <c r="V17" s="275"/>
      <c r="W17" s="276"/>
      <c r="X17" s="277"/>
      <c r="Y17" s="275"/>
      <c r="Z17" s="276"/>
      <c r="AA17" s="277"/>
      <c r="AB17" s="275"/>
      <c r="AC17" s="276"/>
      <c r="AD17" s="277"/>
      <c r="AE17" s="275"/>
      <c r="AF17" s="276"/>
      <c r="AG17" s="277"/>
      <c r="AH17" s="275"/>
      <c r="AI17" s="276"/>
      <c r="AJ17" s="277"/>
      <c r="AK17" s="275"/>
      <c r="AL17" s="276"/>
      <c r="AM17" s="277"/>
      <c r="AN17" s="275"/>
      <c r="AO17" s="276"/>
      <c r="AP17" s="277"/>
    </row>
    <row r="18" spans="2:42">
      <c r="B18" s="255" t="s">
        <v>206</v>
      </c>
      <c r="C18" s="260" t="s">
        <v>202</v>
      </c>
      <c r="D18" s="22" t="e">
        <f>商品別_集計!#REF!</f>
        <v>#REF!</v>
      </c>
      <c r="E18" s="23" t="e">
        <f>商品別_集計!#REF!</f>
        <v>#REF!</v>
      </c>
      <c r="F18" s="30" t="e">
        <f>商品別_集計!#REF!</f>
        <v>#REF!</v>
      </c>
      <c r="G18" s="22" t="e">
        <f>商品別_集計!#REF!</f>
        <v>#REF!</v>
      </c>
      <c r="H18" s="23" t="e">
        <f>商品別_集計!#REF!</f>
        <v>#REF!</v>
      </c>
      <c r="I18" s="30" t="e">
        <f>商品別_集計!#REF!</f>
        <v>#REF!</v>
      </c>
      <c r="J18" s="22" t="e">
        <f>商品別_集計!#REF!</f>
        <v>#REF!</v>
      </c>
      <c r="K18" s="23" t="e">
        <f>商品別_集計!#REF!</f>
        <v>#REF!</v>
      </c>
      <c r="L18" s="30" t="e">
        <f>商品別_集計!#REF!</f>
        <v>#REF!</v>
      </c>
      <c r="M18" s="22" t="e">
        <f>商品別_集計!#REF!</f>
        <v>#REF!</v>
      </c>
      <c r="N18" s="23" t="e">
        <f>商品別_集計!#REF!</f>
        <v>#REF!</v>
      </c>
      <c r="O18" s="30" t="e">
        <f>商品別_集計!#REF!</f>
        <v>#REF!</v>
      </c>
      <c r="P18" s="22" t="e">
        <f>商品別_集計!#REF!</f>
        <v>#REF!</v>
      </c>
      <c r="Q18" s="23" t="e">
        <f>商品別_集計!#REF!</f>
        <v>#REF!</v>
      </c>
      <c r="R18" s="30" t="e">
        <f>商品別_集計!#REF!</f>
        <v>#REF!</v>
      </c>
      <c r="S18" s="22" t="e">
        <f>商品別_集計!#REF!</f>
        <v>#REF!</v>
      </c>
      <c r="T18" s="23" t="e">
        <f>商品別_集計!#REF!</f>
        <v>#REF!</v>
      </c>
      <c r="U18" s="30" t="e">
        <f>商品別_集計!#REF!</f>
        <v>#REF!</v>
      </c>
      <c r="V18" s="22" t="e">
        <f>商品別_集計!#REF!</f>
        <v>#REF!</v>
      </c>
      <c r="W18" s="23" t="e">
        <f>商品別_集計!#REF!</f>
        <v>#REF!</v>
      </c>
      <c r="X18" s="30" t="e">
        <f>商品別_集計!#REF!</f>
        <v>#REF!</v>
      </c>
      <c r="Y18" s="22" t="e">
        <f>商品別_集計!#REF!</f>
        <v>#REF!</v>
      </c>
      <c r="Z18" s="23" t="e">
        <f>商品別_集計!#REF!</f>
        <v>#REF!</v>
      </c>
      <c r="AA18" s="30" t="e">
        <f>商品別_集計!#REF!</f>
        <v>#REF!</v>
      </c>
      <c r="AB18" s="22" t="e">
        <f>商品別_集計!#REF!</f>
        <v>#REF!</v>
      </c>
      <c r="AC18" s="23" t="e">
        <f>商品別_集計!#REF!</f>
        <v>#REF!</v>
      </c>
      <c r="AD18" s="30" t="e">
        <f>商品別_集計!#REF!</f>
        <v>#REF!</v>
      </c>
      <c r="AE18" s="22" t="e">
        <f>商品別_集計!#REF!</f>
        <v>#REF!</v>
      </c>
      <c r="AF18" s="23" t="e">
        <f>商品別_集計!#REF!</f>
        <v>#REF!</v>
      </c>
      <c r="AG18" s="30" t="e">
        <f>商品別_集計!#REF!</f>
        <v>#REF!</v>
      </c>
      <c r="AH18" s="22" t="e">
        <f>商品別_集計!#REF!</f>
        <v>#REF!</v>
      </c>
      <c r="AI18" s="23" t="e">
        <f>商品別_集計!#REF!</f>
        <v>#REF!</v>
      </c>
      <c r="AJ18" s="30" t="e">
        <f>商品別_集計!#REF!</f>
        <v>#REF!</v>
      </c>
      <c r="AK18" s="22" t="e">
        <f>商品別_集計!#REF!</f>
        <v>#REF!</v>
      </c>
      <c r="AL18" s="23" t="e">
        <f>商品別_集計!#REF!</f>
        <v>#REF!</v>
      </c>
      <c r="AM18" s="30" t="e">
        <f>商品別_集計!#REF!</f>
        <v>#REF!</v>
      </c>
      <c r="AN18" s="22" t="e">
        <f>D18+G18+J18+M18+P18+S18+V18+Y18+AB18+AE18+AH18+AK18</f>
        <v>#REF!</v>
      </c>
      <c r="AO18" s="23" t="e">
        <f t="shared" ref="AO18:AO23" si="0">E18+H18+K18+N18+Q18+T18+W18+Z18+AC18+AF18+AI18+AL18</f>
        <v>#REF!</v>
      </c>
      <c r="AP18" s="24" t="e">
        <f t="shared" ref="AP18:AP23" si="1">F18+I18+L18+O18+R18+U18+X18+AA18+AD18+AG18+AJ18+AM18</f>
        <v>#REF!</v>
      </c>
    </row>
    <row r="19" spans="2:42">
      <c r="B19" s="233"/>
      <c r="C19" s="261" t="s">
        <v>203</v>
      </c>
      <c r="D19" s="25" t="e">
        <f>商品別_集計!#REF!</f>
        <v>#REF!</v>
      </c>
      <c r="E19" s="21" t="e">
        <f>商品別_集計!#REF!</f>
        <v>#REF!</v>
      </c>
      <c r="F19" s="31" t="e">
        <f>商品別_集計!#REF!</f>
        <v>#REF!</v>
      </c>
      <c r="G19" s="25" t="e">
        <f>商品別_集計!#REF!</f>
        <v>#REF!</v>
      </c>
      <c r="H19" s="21" t="e">
        <f>商品別_集計!#REF!</f>
        <v>#REF!</v>
      </c>
      <c r="I19" s="31" t="e">
        <f>商品別_集計!#REF!</f>
        <v>#REF!</v>
      </c>
      <c r="J19" s="25" t="e">
        <f>商品別_集計!#REF!</f>
        <v>#REF!</v>
      </c>
      <c r="K19" s="21" t="e">
        <f>商品別_集計!#REF!</f>
        <v>#REF!</v>
      </c>
      <c r="L19" s="31" t="e">
        <f>商品別_集計!#REF!</f>
        <v>#REF!</v>
      </c>
      <c r="M19" s="25" t="e">
        <f>商品別_集計!#REF!</f>
        <v>#REF!</v>
      </c>
      <c r="N19" s="21" t="e">
        <f>商品別_集計!#REF!</f>
        <v>#REF!</v>
      </c>
      <c r="O19" s="31" t="e">
        <f>商品別_集計!#REF!</f>
        <v>#REF!</v>
      </c>
      <c r="P19" s="25" t="e">
        <f>商品別_集計!#REF!</f>
        <v>#REF!</v>
      </c>
      <c r="Q19" s="21" t="e">
        <f>商品別_集計!#REF!</f>
        <v>#REF!</v>
      </c>
      <c r="R19" s="31" t="e">
        <f>商品別_集計!#REF!</f>
        <v>#REF!</v>
      </c>
      <c r="S19" s="25" t="e">
        <f>商品別_集計!#REF!</f>
        <v>#REF!</v>
      </c>
      <c r="T19" s="21" t="e">
        <f>商品別_集計!#REF!</f>
        <v>#REF!</v>
      </c>
      <c r="U19" s="31" t="e">
        <f>商品別_集計!#REF!</f>
        <v>#REF!</v>
      </c>
      <c r="V19" s="25" t="e">
        <f>商品別_集計!#REF!</f>
        <v>#REF!</v>
      </c>
      <c r="W19" s="21" t="e">
        <f>商品別_集計!#REF!</f>
        <v>#REF!</v>
      </c>
      <c r="X19" s="31" t="e">
        <f>商品別_集計!#REF!</f>
        <v>#REF!</v>
      </c>
      <c r="Y19" s="25" t="e">
        <f>商品別_集計!#REF!</f>
        <v>#REF!</v>
      </c>
      <c r="Z19" s="21" t="e">
        <f>商品別_集計!#REF!</f>
        <v>#REF!</v>
      </c>
      <c r="AA19" s="31" t="e">
        <f>商品別_集計!#REF!</f>
        <v>#REF!</v>
      </c>
      <c r="AB19" s="25" t="e">
        <f>商品別_集計!#REF!</f>
        <v>#REF!</v>
      </c>
      <c r="AC19" s="21" t="e">
        <f>商品別_集計!#REF!</f>
        <v>#REF!</v>
      </c>
      <c r="AD19" s="31" t="e">
        <f>商品別_集計!#REF!</f>
        <v>#REF!</v>
      </c>
      <c r="AE19" s="25" t="e">
        <f>商品別_集計!#REF!</f>
        <v>#REF!</v>
      </c>
      <c r="AF19" s="21" t="e">
        <f>商品別_集計!#REF!</f>
        <v>#REF!</v>
      </c>
      <c r="AG19" s="31" t="e">
        <f>商品別_集計!#REF!</f>
        <v>#REF!</v>
      </c>
      <c r="AH19" s="25" t="e">
        <f>商品別_集計!#REF!</f>
        <v>#REF!</v>
      </c>
      <c r="AI19" s="21" t="e">
        <f>商品別_集計!#REF!</f>
        <v>#REF!</v>
      </c>
      <c r="AJ19" s="31" t="e">
        <f>商品別_集計!#REF!</f>
        <v>#REF!</v>
      </c>
      <c r="AK19" s="25" t="e">
        <f>商品別_集計!#REF!</f>
        <v>#REF!</v>
      </c>
      <c r="AL19" s="21" t="e">
        <f>商品別_集計!#REF!</f>
        <v>#REF!</v>
      </c>
      <c r="AM19" s="31" t="e">
        <f>商品別_集計!#REF!</f>
        <v>#REF!</v>
      </c>
      <c r="AN19" s="25" t="e">
        <f t="shared" ref="AN19:AN23" si="2">D19+G19+J19+M19+P19+S19+V19+Y19+AB19+AE19+AH19+AK19</f>
        <v>#REF!</v>
      </c>
      <c r="AO19" s="21" t="e">
        <f t="shared" si="0"/>
        <v>#REF!</v>
      </c>
      <c r="AP19" s="26" t="e">
        <f>F19+I19+L19+O19+R19+U19+X19+AA19+AD19+AG19+AJ19+AM19</f>
        <v>#REF!</v>
      </c>
    </row>
    <row r="20" spans="2:42">
      <c r="B20" s="233"/>
      <c r="C20" s="261" t="s">
        <v>200</v>
      </c>
      <c r="D20" s="25" t="e">
        <f>商品別_集計!#REF!</f>
        <v>#REF!</v>
      </c>
      <c r="E20" s="21" t="e">
        <f>商品別_集計!#REF!</f>
        <v>#REF!</v>
      </c>
      <c r="F20" s="31" t="e">
        <f>商品別_集計!#REF!</f>
        <v>#REF!</v>
      </c>
      <c r="G20" s="25" t="e">
        <f>商品別_集計!#REF!</f>
        <v>#REF!</v>
      </c>
      <c r="H20" s="21" t="e">
        <f>商品別_集計!#REF!</f>
        <v>#REF!</v>
      </c>
      <c r="I20" s="31" t="e">
        <f>商品別_集計!#REF!</f>
        <v>#REF!</v>
      </c>
      <c r="J20" s="25" t="e">
        <f>商品別_集計!#REF!</f>
        <v>#REF!</v>
      </c>
      <c r="K20" s="21" t="e">
        <f>商品別_集計!#REF!</f>
        <v>#REF!</v>
      </c>
      <c r="L20" s="31" t="e">
        <f>商品別_集計!#REF!</f>
        <v>#REF!</v>
      </c>
      <c r="M20" s="25" t="e">
        <f>商品別_集計!#REF!</f>
        <v>#REF!</v>
      </c>
      <c r="N20" s="21" t="e">
        <f>商品別_集計!#REF!</f>
        <v>#REF!</v>
      </c>
      <c r="O20" s="31" t="e">
        <f>商品別_集計!#REF!</f>
        <v>#REF!</v>
      </c>
      <c r="P20" s="25" t="e">
        <f>商品別_集計!#REF!</f>
        <v>#REF!</v>
      </c>
      <c r="Q20" s="21" t="e">
        <f>商品別_集計!#REF!</f>
        <v>#REF!</v>
      </c>
      <c r="R20" s="31" t="e">
        <f>商品別_集計!#REF!</f>
        <v>#REF!</v>
      </c>
      <c r="S20" s="25" t="e">
        <f>商品別_集計!#REF!</f>
        <v>#REF!</v>
      </c>
      <c r="T20" s="21" t="e">
        <f>商品別_集計!#REF!</f>
        <v>#REF!</v>
      </c>
      <c r="U20" s="31" t="e">
        <f>商品別_集計!#REF!</f>
        <v>#REF!</v>
      </c>
      <c r="V20" s="25" t="e">
        <f>商品別_集計!#REF!</f>
        <v>#REF!</v>
      </c>
      <c r="W20" s="21" t="e">
        <f>商品別_集計!#REF!</f>
        <v>#REF!</v>
      </c>
      <c r="X20" s="31" t="e">
        <f>商品別_集計!#REF!</f>
        <v>#REF!</v>
      </c>
      <c r="Y20" s="25" t="e">
        <f>商品別_集計!#REF!</f>
        <v>#REF!</v>
      </c>
      <c r="Z20" s="21" t="e">
        <f>商品別_集計!#REF!</f>
        <v>#REF!</v>
      </c>
      <c r="AA20" s="31" t="e">
        <f>商品別_集計!#REF!</f>
        <v>#REF!</v>
      </c>
      <c r="AB20" s="25" t="e">
        <f>商品別_集計!#REF!</f>
        <v>#REF!</v>
      </c>
      <c r="AC20" s="21" t="e">
        <f>商品別_集計!#REF!</f>
        <v>#REF!</v>
      </c>
      <c r="AD20" s="31" t="e">
        <f>商品別_集計!#REF!</f>
        <v>#REF!</v>
      </c>
      <c r="AE20" s="25" t="e">
        <f>商品別_集計!#REF!</f>
        <v>#REF!</v>
      </c>
      <c r="AF20" s="21" t="e">
        <f>商品別_集計!#REF!</f>
        <v>#REF!</v>
      </c>
      <c r="AG20" s="31" t="e">
        <f>商品別_集計!#REF!</f>
        <v>#REF!</v>
      </c>
      <c r="AH20" s="25" t="e">
        <f>商品別_集計!#REF!</f>
        <v>#REF!</v>
      </c>
      <c r="AI20" s="21" t="e">
        <f>商品別_集計!#REF!</f>
        <v>#REF!</v>
      </c>
      <c r="AJ20" s="31" t="e">
        <f>商品別_集計!#REF!</f>
        <v>#REF!</v>
      </c>
      <c r="AK20" s="25" t="e">
        <f>商品別_集計!#REF!</f>
        <v>#REF!</v>
      </c>
      <c r="AL20" s="21" t="e">
        <f>商品別_集計!#REF!</f>
        <v>#REF!</v>
      </c>
      <c r="AM20" s="31" t="e">
        <f>商品別_集計!#REF!</f>
        <v>#REF!</v>
      </c>
      <c r="AN20" s="25" t="e">
        <f t="shared" si="2"/>
        <v>#REF!</v>
      </c>
      <c r="AO20" s="21" t="e">
        <f t="shared" si="0"/>
        <v>#REF!</v>
      </c>
      <c r="AP20" s="26" t="e">
        <f t="shared" si="1"/>
        <v>#REF!</v>
      </c>
    </row>
    <row r="21" spans="2:42">
      <c r="B21" s="233"/>
      <c r="C21" s="262" t="s">
        <v>214</v>
      </c>
      <c r="D21" s="25" t="e">
        <f>商品別_集計!#REF!</f>
        <v>#REF!</v>
      </c>
      <c r="E21" s="21" t="e">
        <f>商品別_集計!#REF!</f>
        <v>#REF!</v>
      </c>
      <c r="F21" s="31" t="e">
        <f>商品別_集計!#REF!</f>
        <v>#REF!</v>
      </c>
      <c r="G21" s="25" t="e">
        <f>商品別_集計!#REF!</f>
        <v>#REF!</v>
      </c>
      <c r="H21" s="21" t="e">
        <f>商品別_集計!#REF!</f>
        <v>#REF!</v>
      </c>
      <c r="I21" s="31" t="e">
        <f>商品別_集計!#REF!</f>
        <v>#REF!</v>
      </c>
      <c r="J21" s="25" t="e">
        <f>商品別_集計!#REF!</f>
        <v>#REF!</v>
      </c>
      <c r="K21" s="21" t="e">
        <f>商品別_集計!#REF!</f>
        <v>#REF!</v>
      </c>
      <c r="L21" s="31" t="e">
        <f>商品別_集計!#REF!</f>
        <v>#REF!</v>
      </c>
      <c r="M21" s="25" t="e">
        <f>商品別_集計!#REF!</f>
        <v>#REF!</v>
      </c>
      <c r="N21" s="21" t="e">
        <f>商品別_集計!#REF!</f>
        <v>#REF!</v>
      </c>
      <c r="O21" s="31" t="e">
        <f>商品別_集計!#REF!</f>
        <v>#REF!</v>
      </c>
      <c r="P21" s="25" t="e">
        <f>商品別_集計!#REF!</f>
        <v>#REF!</v>
      </c>
      <c r="Q21" s="21" t="e">
        <f>商品別_集計!#REF!</f>
        <v>#REF!</v>
      </c>
      <c r="R21" s="31" t="e">
        <f>商品別_集計!#REF!</f>
        <v>#REF!</v>
      </c>
      <c r="S21" s="25" t="e">
        <f>商品別_集計!#REF!</f>
        <v>#REF!</v>
      </c>
      <c r="T21" s="21" t="e">
        <f>商品別_集計!#REF!</f>
        <v>#REF!</v>
      </c>
      <c r="U21" s="31" t="e">
        <f>商品別_集計!#REF!</f>
        <v>#REF!</v>
      </c>
      <c r="V21" s="25" t="e">
        <f>商品別_集計!#REF!</f>
        <v>#REF!</v>
      </c>
      <c r="W21" s="21" t="e">
        <f>商品別_集計!#REF!</f>
        <v>#REF!</v>
      </c>
      <c r="X21" s="31" t="e">
        <f>商品別_集計!#REF!</f>
        <v>#REF!</v>
      </c>
      <c r="Y21" s="25" t="e">
        <f>商品別_集計!#REF!</f>
        <v>#REF!</v>
      </c>
      <c r="Z21" s="21" t="e">
        <f>商品別_集計!#REF!</f>
        <v>#REF!</v>
      </c>
      <c r="AA21" s="31" t="e">
        <f>商品別_集計!#REF!</f>
        <v>#REF!</v>
      </c>
      <c r="AB21" s="25" t="e">
        <f>商品別_集計!#REF!</f>
        <v>#REF!</v>
      </c>
      <c r="AC21" s="21" t="e">
        <f>商品別_集計!#REF!</f>
        <v>#REF!</v>
      </c>
      <c r="AD21" s="31" t="e">
        <f>商品別_集計!#REF!</f>
        <v>#REF!</v>
      </c>
      <c r="AE21" s="25" t="e">
        <f>商品別_集計!#REF!</f>
        <v>#REF!</v>
      </c>
      <c r="AF21" s="21" t="e">
        <f>商品別_集計!#REF!</f>
        <v>#REF!</v>
      </c>
      <c r="AG21" s="31" t="e">
        <f>商品別_集計!#REF!</f>
        <v>#REF!</v>
      </c>
      <c r="AH21" s="25" t="e">
        <f>商品別_集計!#REF!</f>
        <v>#REF!</v>
      </c>
      <c r="AI21" s="21" t="e">
        <f>商品別_集計!#REF!</f>
        <v>#REF!</v>
      </c>
      <c r="AJ21" s="31" t="e">
        <f>商品別_集計!#REF!</f>
        <v>#REF!</v>
      </c>
      <c r="AK21" s="25" t="e">
        <f>商品別_集計!#REF!</f>
        <v>#REF!</v>
      </c>
      <c r="AL21" s="21" t="e">
        <f>商品別_集計!#REF!</f>
        <v>#REF!</v>
      </c>
      <c r="AM21" s="31" t="e">
        <f>商品別_集計!#REF!</f>
        <v>#REF!</v>
      </c>
      <c r="AN21" s="25" t="e">
        <f t="shared" ref="AN21" si="3">D21+G21+J21+M21+P21+S21+V21+Y21+AB21+AE21+AH21+AK21</f>
        <v>#REF!</v>
      </c>
      <c r="AO21" s="21" t="e">
        <f t="shared" ref="AO21" si="4">E21+H21+K21+N21+Q21+T21+W21+Z21+AC21+AF21+AI21+AL21</f>
        <v>#REF!</v>
      </c>
      <c r="AP21" s="26" t="e">
        <f t="shared" ref="AP21" si="5">F21+I21+L21+O21+R21+U21+X21+AA21+AD21+AG21+AJ21+AM21</f>
        <v>#REF!</v>
      </c>
    </row>
    <row r="22" spans="2:42">
      <c r="B22" s="233"/>
      <c r="C22" s="262" t="s">
        <v>215</v>
      </c>
      <c r="D22" s="25" t="e">
        <f>商品別_集計!#REF!</f>
        <v>#REF!</v>
      </c>
      <c r="E22" s="21" t="e">
        <f>商品別_集計!#REF!</f>
        <v>#REF!</v>
      </c>
      <c r="F22" s="31" t="e">
        <f>商品別_集計!#REF!</f>
        <v>#REF!</v>
      </c>
      <c r="G22" s="25" t="e">
        <f>商品別_集計!#REF!</f>
        <v>#REF!</v>
      </c>
      <c r="H22" s="21" t="e">
        <f>商品別_集計!#REF!</f>
        <v>#REF!</v>
      </c>
      <c r="I22" s="31" t="e">
        <f>商品別_集計!#REF!</f>
        <v>#REF!</v>
      </c>
      <c r="J22" s="25" t="e">
        <f>商品別_集計!#REF!</f>
        <v>#REF!</v>
      </c>
      <c r="K22" s="21" t="e">
        <f>商品別_集計!#REF!</f>
        <v>#REF!</v>
      </c>
      <c r="L22" s="31" t="e">
        <f>商品別_集計!#REF!</f>
        <v>#REF!</v>
      </c>
      <c r="M22" s="25" t="e">
        <f>商品別_集計!#REF!</f>
        <v>#REF!</v>
      </c>
      <c r="N22" s="21" t="e">
        <f>商品別_集計!#REF!</f>
        <v>#REF!</v>
      </c>
      <c r="O22" s="31" t="e">
        <f>商品別_集計!#REF!</f>
        <v>#REF!</v>
      </c>
      <c r="P22" s="25" t="e">
        <f>商品別_集計!#REF!</f>
        <v>#REF!</v>
      </c>
      <c r="Q22" s="21" t="e">
        <f>商品別_集計!#REF!</f>
        <v>#REF!</v>
      </c>
      <c r="R22" s="31" t="e">
        <f>商品別_集計!#REF!</f>
        <v>#REF!</v>
      </c>
      <c r="S22" s="25" t="e">
        <f>商品別_集計!#REF!</f>
        <v>#REF!</v>
      </c>
      <c r="T22" s="21" t="e">
        <f>商品別_集計!#REF!</f>
        <v>#REF!</v>
      </c>
      <c r="U22" s="31" t="e">
        <f>商品別_集計!#REF!</f>
        <v>#REF!</v>
      </c>
      <c r="V22" s="25" t="e">
        <f>商品別_集計!#REF!</f>
        <v>#REF!</v>
      </c>
      <c r="W22" s="21" t="e">
        <f>商品別_集計!#REF!</f>
        <v>#REF!</v>
      </c>
      <c r="X22" s="31" t="e">
        <f>商品別_集計!#REF!</f>
        <v>#REF!</v>
      </c>
      <c r="Y22" s="25" t="e">
        <f>商品別_集計!#REF!</f>
        <v>#REF!</v>
      </c>
      <c r="Z22" s="21" t="e">
        <f>商品別_集計!#REF!</f>
        <v>#REF!</v>
      </c>
      <c r="AA22" s="31" t="e">
        <f>商品別_集計!#REF!</f>
        <v>#REF!</v>
      </c>
      <c r="AB22" s="25" t="e">
        <f>商品別_集計!#REF!</f>
        <v>#REF!</v>
      </c>
      <c r="AC22" s="21" t="e">
        <f>商品別_集計!#REF!</f>
        <v>#REF!</v>
      </c>
      <c r="AD22" s="31" t="e">
        <f>商品別_集計!#REF!</f>
        <v>#REF!</v>
      </c>
      <c r="AE22" s="25" t="e">
        <f>商品別_集計!#REF!</f>
        <v>#REF!</v>
      </c>
      <c r="AF22" s="21" t="e">
        <f>商品別_集計!#REF!</f>
        <v>#REF!</v>
      </c>
      <c r="AG22" s="31" t="e">
        <f>商品別_集計!#REF!</f>
        <v>#REF!</v>
      </c>
      <c r="AH22" s="25" t="e">
        <f>商品別_集計!#REF!</f>
        <v>#REF!</v>
      </c>
      <c r="AI22" s="21" t="e">
        <f>商品別_集計!#REF!</f>
        <v>#REF!</v>
      </c>
      <c r="AJ22" s="31" t="e">
        <f>商品別_集計!#REF!</f>
        <v>#REF!</v>
      </c>
      <c r="AK22" s="25" t="e">
        <f>商品別_集計!#REF!</f>
        <v>#REF!</v>
      </c>
      <c r="AL22" s="21" t="e">
        <f>商品別_集計!#REF!</f>
        <v>#REF!</v>
      </c>
      <c r="AM22" s="31" t="e">
        <f>商品別_集計!#REF!</f>
        <v>#REF!</v>
      </c>
      <c r="AN22" s="25" t="e">
        <f t="shared" ref="AN22" si="6">D22+G22+J22+M22+P22+S22+V22+Y22+AB22+AE22+AH22+AK22</f>
        <v>#REF!</v>
      </c>
      <c r="AO22" s="21" t="e">
        <f t="shared" ref="AO22" si="7">E22+H22+K22+N22+Q22+T22+W22+Z22+AC22+AF22+AI22+AL22</f>
        <v>#REF!</v>
      </c>
      <c r="AP22" s="26" t="e">
        <f t="shared" ref="AP22" si="8">F22+I22+L22+O22+R22+U22+X22+AA22+AD22+AG22+AJ22+AM22</f>
        <v>#REF!</v>
      </c>
    </row>
    <row r="23" spans="2:42" ht="14.25" thickBot="1">
      <c r="B23" s="233"/>
      <c r="C23" s="262" t="s">
        <v>204</v>
      </c>
      <c r="D23" s="236" t="e">
        <f>商品別_集計!#REF!</f>
        <v>#REF!</v>
      </c>
      <c r="E23" s="164" t="e">
        <f>商品別_集計!#REF!</f>
        <v>#REF!</v>
      </c>
      <c r="F23" s="237" t="e">
        <f>商品別_集計!#REF!</f>
        <v>#REF!</v>
      </c>
      <c r="G23" s="236" t="e">
        <f>商品別_集計!#REF!</f>
        <v>#REF!</v>
      </c>
      <c r="H23" s="164" t="e">
        <f>商品別_集計!#REF!</f>
        <v>#REF!</v>
      </c>
      <c r="I23" s="237" t="e">
        <f>商品別_集計!#REF!</f>
        <v>#REF!</v>
      </c>
      <c r="J23" s="236" t="e">
        <f>商品別_集計!#REF!</f>
        <v>#REF!</v>
      </c>
      <c r="K23" s="164" t="e">
        <f>商品別_集計!#REF!</f>
        <v>#REF!</v>
      </c>
      <c r="L23" s="237" t="e">
        <f>商品別_集計!#REF!</f>
        <v>#REF!</v>
      </c>
      <c r="M23" s="236" t="e">
        <f>商品別_集計!#REF!</f>
        <v>#REF!</v>
      </c>
      <c r="N23" s="164" t="e">
        <f>商品別_集計!#REF!</f>
        <v>#REF!</v>
      </c>
      <c r="O23" s="237" t="e">
        <f>商品別_集計!#REF!</f>
        <v>#REF!</v>
      </c>
      <c r="P23" s="236" t="e">
        <f>商品別_集計!#REF!</f>
        <v>#REF!</v>
      </c>
      <c r="Q23" s="164" t="e">
        <f>商品別_集計!#REF!</f>
        <v>#REF!</v>
      </c>
      <c r="R23" s="237" t="e">
        <f>商品別_集計!#REF!</f>
        <v>#REF!</v>
      </c>
      <c r="S23" s="236" t="e">
        <f>商品別_集計!#REF!</f>
        <v>#REF!</v>
      </c>
      <c r="T23" s="164" t="e">
        <f>商品別_集計!#REF!</f>
        <v>#REF!</v>
      </c>
      <c r="U23" s="237" t="e">
        <f>商品別_集計!#REF!</f>
        <v>#REF!</v>
      </c>
      <c r="V23" s="236" t="e">
        <f>商品別_集計!#REF!</f>
        <v>#REF!</v>
      </c>
      <c r="W23" s="164" t="e">
        <f>商品別_集計!#REF!</f>
        <v>#REF!</v>
      </c>
      <c r="X23" s="237" t="e">
        <f>商品別_集計!#REF!</f>
        <v>#REF!</v>
      </c>
      <c r="Y23" s="236" t="e">
        <f>商品別_集計!#REF!</f>
        <v>#REF!</v>
      </c>
      <c r="Z23" s="164" t="e">
        <f>商品別_集計!#REF!</f>
        <v>#REF!</v>
      </c>
      <c r="AA23" s="237" t="e">
        <f>商品別_集計!#REF!</f>
        <v>#REF!</v>
      </c>
      <c r="AB23" s="236" t="e">
        <f>商品別_集計!#REF!</f>
        <v>#REF!</v>
      </c>
      <c r="AC23" s="164" t="e">
        <f>商品別_集計!#REF!</f>
        <v>#REF!</v>
      </c>
      <c r="AD23" s="237" t="e">
        <f>商品別_集計!#REF!</f>
        <v>#REF!</v>
      </c>
      <c r="AE23" s="236" t="e">
        <f>商品別_集計!#REF!</f>
        <v>#REF!</v>
      </c>
      <c r="AF23" s="164" t="e">
        <f>商品別_集計!#REF!</f>
        <v>#REF!</v>
      </c>
      <c r="AG23" s="237" t="e">
        <f>商品別_集計!#REF!</f>
        <v>#REF!</v>
      </c>
      <c r="AH23" s="236" t="e">
        <f>商品別_集計!#REF!</f>
        <v>#REF!</v>
      </c>
      <c r="AI23" s="164" t="e">
        <f>商品別_集計!#REF!</f>
        <v>#REF!</v>
      </c>
      <c r="AJ23" s="237" t="e">
        <f>商品別_集計!#REF!</f>
        <v>#REF!</v>
      </c>
      <c r="AK23" s="236" t="e">
        <f>商品別_集計!#REF!</f>
        <v>#REF!</v>
      </c>
      <c r="AL23" s="164" t="e">
        <f>商品別_集計!#REF!</f>
        <v>#REF!</v>
      </c>
      <c r="AM23" s="237" t="e">
        <f>商品別_集計!#REF!</f>
        <v>#REF!</v>
      </c>
      <c r="AN23" s="27" t="e">
        <f t="shared" si="2"/>
        <v>#REF!</v>
      </c>
      <c r="AO23" s="28" t="e">
        <f t="shared" si="0"/>
        <v>#REF!</v>
      </c>
      <c r="AP23" s="29" t="e">
        <f t="shared" si="1"/>
        <v>#REF!</v>
      </c>
    </row>
    <row r="24" spans="2:42">
      <c r="B24" s="256" t="s">
        <v>207</v>
      </c>
      <c r="C24" s="263" t="s">
        <v>202</v>
      </c>
      <c r="D24" s="241" t="e">
        <f>D12-D18</f>
        <v>#REF!</v>
      </c>
      <c r="E24" s="243" t="e">
        <f t="shared" ref="E24:F24" si="9">E12-E18</f>
        <v>#REF!</v>
      </c>
      <c r="F24" s="244" t="e">
        <f t="shared" si="9"/>
        <v>#REF!</v>
      </c>
      <c r="G24" s="241" t="e">
        <f>G12-G18</f>
        <v>#REF!</v>
      </c>
      <c r="H24" s="243" t="e">
        <f t="shared" ref="H24:I24" si="10">H12-H18</f>
        <v>#REF!</v>
      </c>
      <c r="I24" s="244" t="e">
        <f t="shared" si="10"/>
        <v>#REF!</v>
      </c>
      <c r="J24" s="241" t="e">
        <f>J12-J18</f>
        <v>#REF!</v>
      </c>
      <c r="K24" s="243" t="e">
        <f t="shared" ref="K24:L24" si="11">K12-K18</f>
        <v>#REF!</v>
      </c>
      <c r="L24" s="244" t="e">
        <f t="shared" si="11"/>
        <v>#REF!</v>
      </c>
      <c r="M24" s="241" t="e">
        <f>M12-M18</f>
        <v>#REF!</v>
      </c>
      <c r="N24" s="243" t="e">
        <f t="shared" ref="N24:O24" si="12">N12-N18</f>
        <v>#REF!</v>
      </c>
      <c r="O24" s="244" t="e">
        <f t="shared" si="12"/>
        <v>#REF!</v>
      </c>
      <c r="P24" s="241" t="e">
        <f>P12-P18</f>
        <v>#REF!</v>
      </c>
      <c r="Q24" s="243" t="e">
        <f t="shared" ref="Q24:R24" si="13">Q12-Q18</f>
        <v>#REF!</v>
      </c>
      <c r="R24" s="244" t="e">
        <f t="shared" si="13"/>
        <v>#REF!</v>
      </c>
      <c r="S24" s="241" t="e">
        <f>S12-S18</f>
        <v>#REF!</v>
      </c>
      <c r="T24" s="243" t="e">
        <f t="shared" ref="T24:U24" si="14">T12-T18</f>
        <v>#REF!</v>
      </c>
      <c r="U24" s="244" t="e">
        <f t="shared" si="14"/>
        <v>#REF!</v>
      </c>
      <c r="V24" s="241" t="e">
        <f>V12-V18</f>
        <v>#REF!</v>
      </c>
      <c r="W24" s="243" t="e">
        <f t="shared" ref="W24:X24" si="15">W12-W18</f>
        <v>#REF!</v>
      </c>
      <c r="X24" s="244" t="e">
        <f t="shared" si="15"/>
        <v>#REF!</v>
      </c>
      <c r="Y24" s="241" t="e">
        <f>Y12-Y18</f>
        <v>#REF!</v>
      </c>
      <c r="Z24" s="243" t="e">
        <f t="shared" ref="Z24:AA24" si="16">Z12-Z18</f>
        <v>#REF!</v>
      </c>
      <c r="AA24" s="244" t="e">
        <f t="shared" si="16"/>
        <v>#REF!</v>
      </c>
      <c r="AB24" s="241" t="e">
        <f>AB12-AB18</f>
        <v>#REF!</v>
      </c>
      <c r="AC24" s="243" t="e">
        <f t="shared" ref="AC24:AD24" si="17">AC12-AC18</f>
        <v>#REF!</v>
      </c>
      <c r="AD24" s="244" t="e">
        <f t="shared" si="17"/>
        <v>#REF!</v>
      </c>
      <c r="AE24" s="241" t="e">
        <f>AE12-AE18</f>
        <v>#REF!</v>
      </c>
      <c r="AF24" s="243" t="e">
        <f t="shared" ref="AF24:AG24" si="18">AF12-AF18</f>
        <v>#REF!</v>
      </c>
      <c r="AG24" s="244" t="e">
        <f t="shared" si="18"/>
        <v>#REF!</v>
      </c>
      <c r="AH24" s="241" t="e">
        <f>AH12-AH18</f>
        <v>#REF!</v>
      </c>
      <c r="AI24" s="243" t="e">
        <f t="shared" ref="AI24:AJ24" si="19">AI12-AI18</f>
        <v>#REF!</v>
      </c>
      <c r="AJ24" s="244" t="e">
        <f t="shared" si="19"/>
        <v>#REF!</v>
      </c>
      <c r="AK24" s="241" t="e">
        <f>AK12-AK18</f>
        <v>#REF!</v>
      </c>
      <c r="AL24" s="243" t="e">
        <f t="shared" ref="AL24:AM24" si="20">AL12-AL18</f>
        <v>#REF!</v>
      </c>
      <c r="AM24" s="244" t="e">
        <f t="shared" si="20"/>
        <v>#REF!</v>
      </c>
      <c r="AN24" s="250" t="e">
        <f>AN12-AN18</f>
        <v>#REF!</v>
      </c>
      <c r="AO24" s="251" t="e">
        <f t="shared" ref="AO24:AP24" si="21">AO12-AO18</f>
        <v>#REF!</v>
      </c>
      <c r="AP24" s="252" t="e">
        <f t="shared" si="21"/>
        <v>#REF!</v>
      </c>
    </row>
    <row r="25" spans="2:42">
      <c r="B25" s="253" t="s">
        <v>213</v>
      </c>
      <c r="C25" s="264" t="s">
        <v>203</v>
      </c>
      <c r="D25" s="245" t="e">
        <f>D13-D19</f>
        <v>#REF!</v>
      </c>
      <c r="E25" s="242" t="e">
        <f t="shared" ref="E25:F25" si="22">E13-E19</f>
        <v>#REF!</v>
      </c>
      <c r="F25" s="246" t="e">
        <f t="shared" si="22"/>
        <v>#REF!</v>
      </c>
      <c r="G25" s="245" t="e">
        <f>G13-G19</f>
        <v>#REF!</v>
      </c>
      <c r="H25" s="242" t="e">
        <f t="shared" ref="H25:I25" si="23">H13-H19</f>
        <v>#REF!</v>
      </c>
      <c r="I25" s="246" t="e">
        <f t="shared" si="23"/>
        <v>#REF!</v>
      </c>
      <c r="J25" s="245" t="e">
        <f>J13-J19</f>
        <v>#REF!</v>
      </c>
      <c r="K25" s="242" t="e">
        <f t="shared" ref="K25:L25" si="24">K13-K19</f>
        <v>#REF!</v>
      </c>
      <c r="L25" s="246" t="e">
        <f t="shared" si="24"/>
        <v>#REF!</v>
      </c>
      <c r="M25" s="245" t="e">
        <f>M13-M19</f>
        <v>#REF!</v>
      </c>
      <c r="N25" s="242" t="e">
        <f t="shared" ref="N25:O25" si="25">N13-N19</f>
        <v>#REF!</v>
      </c>
      <c r="O25" s="246" t="e">
        <f t="shared" si="25"/>
        <v>#REF!</v>
      </c>
      <c r="P25" s="245" t="e">
        <f>P13-P19</f>
        <v>#REF!</v>
      </c>
      <c r="Q25" s="242" t="e">
        <f t="shared" ref="Q25:R25" si="26">Q13-Q19</f>
        <v>#REF!</v>
      </c>
      <c r="R25" s="246" t="e">
        <f t="shared" si="26"/>
        <v>#REF!</v>
      </c>
      <c r="S25" s="245" t="e">
        <f>S13-S19</f>
        <v>#REF!</v>
      </c>
      <c r="T25" s="242" t="e">
        <f t="shared" ref="T25:U25" si="27">T13-T19</f>
        <v>#REF!</v>
      </c>
      <c r="U25" s="246" t="e">
        <f t="shared" si="27"/>
        <v>#REF!</v>
      </c>
      <c r="V25" s="245" t="e">
        <f>V13-V19</f>
        <v>#REF!</v>
      </c>
      <c r="W25" s="242" t="e">
        <f t="shared" ref="W25:X25" si="28">W13-W19</f>
        <v>#REF!</v>
      </c>
      <c r="X25" s="246" t="e">
        <f t="shared" si="28"/>
        <v>#REF!</v>
      </c>
      <c r="Y25" s="245" t="e">
        <f>Y13-Y19</f>
        <v>#REF!</v>
      </c>
      <c r="Z25" s="242" t="e">
        <f t="shared" ref="Z25:AA25" si="29">Z13-Z19</f>
        <v>#REF!</v>
      </c>
      <c r="AA25" s="246" t="e">
        <f t="shared" si="29"/>
        <v>#REF!</v>
      </c>
      <c r="AB25" s="245" t="e">
        <f>AB13-AB19</f>
        <v>#REF!</v>
      </c>
      <c r="AC25" s="242" t="e">
        <f t="shared" ref="AC25:AD25" si="30">AC13-AC19</f>
        <v>#REF!</v>
      </c>
      <c r="AD25" s="246" t="e">
        <f t="shared" si="30"/>
        <v>#REF!</v>
      </c>
      <c r="AE25" s="245" t="e">
        <f>AE13-AE19</f>
        <v>#REF!</v>
      </c>
      <c r="AF25" s="242" t="e">
        <f t="shared" ref="AF25:AG25" si="31">AF13-AF19</f>
        <v>#REF!</v>
      </c>
      <c r="AG25" s="246" t="e">
        <f t="shared" si="31"/>
        <v>#REF!</v>
      </c>
      <c r="AH25" s="245" t="e">
        <f>AH13-AH19</f>
        <v>#REF!</v>
      </c>
      <c r="AI25" s="242" t="e">
        <f t="shared" ref="AI25:AJ25" si="32">AI13-AI19</f>
        <v>#REF!</v>
      </c>
      <c r="AJ25" s="246" t="e">
        <f t="shared" si="32"/>
        <v>#REF!</v>
      </c>
      <c r="AK25" s="245" t="e">
        <f>AK13-AK19</f>
        <v>#REF!</v>
      </c>
      <c r="AL25" s="242" t="e">
        <f t="shared" ref="AL25:AM25" si="33">AL13-AL19</f>
        <v>#REF!</v>
      </c>
      <c r="AM25" s="246" t="e">
        <f t="shared" si="33"/>
        <v>#REF!</v>
      </c>
      <c r="AN25" s="245" t="e">
        <f>AN13-AN19</f>
        <v>#REF!</v>
      </c>
      <c r="AO25" s="242" t="e">
        <f t="shared" ref="AO25:AP25" si="34">AO13-AO19</f>
        <v>#REF!</v>
      </c>
      <c r="AP25" s="246" t="e">
        <f t="shared" si="34"/>
        <v>#REF!</v>
      </c>
    </row>
    <row r="26" spans="2:42">
      <c r="B26" s="234"/>
      <c r="C26" s="264" t="s">
        <v>200</v>
      </c>
      <c r="D26" s="245" t="e">
        <f t="shared" ref="D26:F28" si="35">D14-D20</f>
        <v>#REF!</v>
      </c>
      <c r="E26" s="242" t="e">
        <f t="shared" si="35"/>
        <v>#REF!</v>
      </c>
      <c r="F26" s="246" t="e">
        <f t="shared" si="35"/>
        <v>#REF!</v>
      </c>
      <c r="G26" s="245" t="e">
        <f t="shared" ref="G26:AP28" si="36">G14-G20</f>
        <v>#REF!</v>
      </c>
      <c r="H26" s="242" t="e">
        <f t="shared" si="36"/>
        <v>#REF!</v>
      </c>
      <c r="I26" s="246" t="e">
        <f t="shared" si="36"/>
        <v>#REF!</v>
      </c>
      <c r="J26" s="245" t="e">
        <f t="shared" si="36"/>
        <v>#REF!</v>
      </c>
      <c r="K26" s="242" t="e">
        <f t="shared" si="36"/>
        <v>#REF!</v>
      </c>
      <c r="L26" s="246" t="e">
        <f t="shared" si="36"/>
        <v>#REF!</v>
      </c>
      <c r="M26" s="245" t="e">
        <f t="shared" si="36"/>
        <v>#REF!</v>
      </c>
      <c r="N26" s="242" t="e">
        <f t="shared" si="36"/>
        <v>#REF!</v>
      </c>
      <c r="O26" s="246" t="e">
        <f t="shared" si="36"/>
        <v>#REF!</v>
      </c>
      <c r="P26" s="245" t="e">
        <f t="shared" si="36"/>
        <v>#REF!</v>
      </c>
      <c r="Q26" s="242" t="e">
        <f t="shared" si="36"/>
        <v>#REF!</v>
      </c>
      <c r="R26" s="246" t="e">
        <f t="shared" si="36"/>
        <v>#REF!</v>
      </c>
      <c r="S26" s="245" t="e">
        <f t="shared" si="36"/>
        <v>#REF!</v>
      </c>
      <c r="T26" s="242" t="e">
        <f t="shared" si="36"/>
        <v>#REF!</v>
      </c>
      <c r="U26" s="246" t="e">
        <f t="shared" si="36"/>
        <v>#REF!</v>
      </c>
      <c r="V26" s="245" t="e">
        <f t="shared" si="36"/>
        <v>#REF!</v>
      </c>
      <c r="W26" s="242" t="e">
        <f t="shared" si="36"/>
        <v>#REF!</v>
      </c>
      <c r="X26" s="246" t="e">
        <f t="shared" si="36"/>
        <v>#REF!</v>
      </c>
      <c r="Y26" s="245" t="e">
        <f t="shared" si="36"/>
        <v>#REF!</v>
      </c>
      <c r="Z26" s="242" t="e">
        <f t="shared" si="36"/>
        <v>#REF!</v>
      </c>
      <c r="AA26" s="246" t="e">
        <f t="shared" si="36"/>
        <v>#REF!</v>
      </c>
      <c r="AB26" s="245" t="e">
        <f t="shared" si="36"/>
        <v>#REF!</v>
      </c>
      <c r="AC26" s="242" t="e">
        <f t="shared" si="36"/>
        <v>#REF!</v>
      </c>
      <c r="AD26" s="246" t="e">
        <f t="shared" si="36"/>
        <v>#REF!</v>
      </c>
      <c r="AE26" s="245" t="e">
        <f t="shared" si="36"/>
        <v>#REF!</v>
      </c>
      <c r="AF26" s="242" t="e">
        <f t="shared" si="36"/>
        <v>#REF!</v>
      </c>
      <c r="AG26" s="246" t="e">
        <f t="shared" si="36"/>
        <v>#REF!</v>
      </c>
      <c r="AH26" s="245" t="e">
        <f t="shared" si="36"/>
        <v>#REF!</v>
      </c>
      <c r="AI26" s="242" t="e">
        <f t="shared" si="36"/>
        <v>#REF!</v>
      </c>
      <c r="AJ26" s="246" t="e">
        <f t="shared" si="36"/>
        <v>#REF!</v>
      </c>
      <c r="AK26" s="245" t="e">
        <f t="shared" si="36"/>
        <v>#REF!</v>
      </c>
      <c r="AL26" s="242" t="e">
        <f t="shared" si="36"/>
        <v>#REF!</v>
      </c>
      <c r="AM26" s="246" t="e">
        <f t="shared" si="36"/>
        <v>#REF!</v>
      </c>
      <c r="AN26" s="245" t="e">
        <f t="shared" si="36"/>
        <v>#REF!</v>
      </c>
      <c r="AO26" s="242" t="e">
        <f t="shared" si="36"/>
        <v>#REF!</v>
      </c>
      <c r="AP26" s="246" t="e">
        <f t="shared" si="36"/>
        <v>#REF!</v>
      </c>
    </row>
    <row r="27" spans="2:42">
      <c r="B27" s="234"/>
      <c r="C27" s="279" t="s">
        <v>214</v>
      </c>
      <c r="D27" s="245" t="e">
        <f t="shared" si="35"/>
        <v>#REF!</v>
      </c>
      <c r="E27" s="242" t="e">
        <f t="shared" si="35"/>
        <v>#REF!</v>
      </c>
      <c r="F27" s="246" t="e">
        <f t="shared" si="35"/>
        <v>#REF!</v>
      </c>
      <c r="G27" s="245" t="e">
        <f t="shared" si="36"/>
        <v>#REF!</v>
      </c>
      <c r="H27" s="242" t="e">
        <f t="shared" si="36"/>
        <v>#REF!</v>
      </c>
      <c r="I27" s="246" t="e">
        <f t="shared" si="36"/>
        <v>#REF!</v>
      </c>
      <c r="J27" s="245" t="e">
        <f t="shared" si="36"/>
        <v>#REF!</v>
      </c>
      <c r="K27" s="242" t="e">
        <f t="shared" si="36"/>
        <v>#REF!</v>
      </c>
      <c r="L27" s="246" t="e">
        <f t="shared" si="36"/>
        <v>#REF!</v>
      </c>
      <c r="M27" s="245" t="e">
        <f t="shared" si="36"/>
        <v>#REF!</v>
      </c>
      <c r="N27" s="242" t="e">
        <f t="shared" si="36"/>
        <v>#REF!</v>
      </c>
      <c r="O27" s="246" t="e">
        <f t="shared" si="36"/>
        <v>#REF!</v>
      </c>
      <c r="P27" s="245" t="e">
        <f t="shared" si="36"/>
        <v>#REF!</v>
      </c>
      <c r="Q27" s="242" t="e">
        <f t="shared" si="36"/>
        <v>#REF!</v>
      </c>
      <c r="R27" s="246" t="e">
        <f t="shared" si="36"/>
        <v>#REF!</v>
      </c>
      <c r="S27" s="245" t="e">
        <f t="shared" si="36"/>
        <v>#REF!</v>
      </c>
      <c r="T27" s="242" t="e">
        <f t="shared" si="36"/>
        <v>#REF!</v>
      </c>
      <c r="U27" s="246" t="e">
        <f t="shared" si="36"/>
        <v>#REF!</v>
      </c>
      <c r="V27" s="245" t="e">
        <f t="shared" si="36"/>
        <v>#REF!</v>
      </c>
      <c r="W27" s="242" t="e">
        <f t="shared" si="36"/>
        <v>#REF!</v>
      </c>
      <c r="X27" s="246" t="e">
        <f t="shared" si="36"/>
        <v>#REF!</v>
      </c>
      <c r="Y27" s="245" t="e">
        <f t="shared" si="36"/>
        <v>#REF!</v>
      </c>
      <c r="Z27" s="242" t="e">
        <f t="shared" si="36"/>
        <v>#REF!</v>
      </c>
      <c r="AA27" s="246" t="e">
        <f t="shared" si="36"/>
        <v>#REF!</v>
      </c>
      <c r="AB27" s="245" t="e">
        <f t="shared" si="36"/>
        <v>#REF!</v>
      </c>
      <c r="AC27" s="242" t="e">
        <f t="shared" si="36"/>
        <v>#REF!</v>
      </c>
      <c r="AD27" s="246" t="e">
        <f t="shared" si="36"/>
        <v>#REF!</v>
      </c>
      <c r="AE27" s="245" t="e">
        <f t="shared" si="36"/>
        <v>#REF!</v>
      </c>
      <c r="AF27" s="242" t="e">
        <f t="shared" si="36"/>
        <v>#REF!</v>
      </c>
      <c r="AG27" s="246" t="e">
        <f t="shared" si="36"/>
        <v>#REF!</v>
      </c>
      <c r="AH27" s="245" t="e">
        <f t="shared" si="36"/>
        <v>#REF!</v>
      </c>
      <c r="AI27" s="242" t="e">
        <f t="shared" si="36"/>
        <v>#REF!</v>
      </c>
      <c r="AJ27" s="246" t="e">
        <f t="shared" si="36"/>
        <v>#REF!</v>
      </c>
      <c r="AK27" s="245" t="e">
        <f t="shared" si="36"/>
        <v>#REF!</v>
      </c>
      <c r="AL27" s="242" t="e">
        <f t="shared" si="36"/>
        <v>#REF!</v>
      </c>
      <c r="AM27" s="246" t="e">
        <f t="shared" si="36"/>
        <v>#REF!</v>
      </c>
      <c r="AN27" s="245" t="e">
        <f t="shared" si="36"/>
        <v>#REF!</v>
      </c>
      <c r="AO27" s="242" t="e">
        <f t="shared" si="36"/>
        <v>#REF!</v>
      </c>
      <c r="AP27" s="246" t="e">
        <f t="shared" si="36"/>
        <v>#REF!</v>
      </c>
    </row>
    <row r="28" spans="2:42">
      <c r="B28" s="234"/>
      <c r="C28" s="279" t="s">
        <v>215</v>
      </c>
      <c r="D28" s="245" t="e">
        <f t="shared" si="35"/>
        <v>#REF!</v>
      </c>
      <c r="E28" s="242" t="e">
        <f t="shared" si="35"/>
        <v>#REF!</v>
      </c>
      <c r="F28" s="246" t="e">
        <f t="shared" si="35"/>
        <v>#REF!</v>
      </c>
      <c r="G28" s="245" t="e">
        <f t="shared" si="36"/>
        <v>#REF!</v>
      </c>
      <c r="H28" s="242" t="e">
        <f t="shared" si="36"/>
        <v>#REF!</v>
      </c>
      <c r="I28" s="246" t="e">
        <f t="shared" si="36"/>
        <v>#REF!</v>
      </c>
      <c r="J28" s="245" t="e">
        <f t="shared" si="36"/>
        <v>#REF!</v>
      </c>
      <c r="K28" s="242" t="e">
        <f t="shared" si="36"/>
        <v>#REF!</v>
      </c>
      <c r="L28" s="246" t="e">
        <f t="shared" si="36"/>
        <v>#REF!</v>
      </c>
      <c r="M28" s="245" t="e">
        <f t="shared" si="36"/>
        <v>#REF!</v>
      </c>
      <c r="N28" s="242" t="e">
        <f t="shared" si="36"/>
        <v>#REF!</v>
      </c>
      <c r="O28" s="246" t="e">
        <f t="shared" si="36"/>
        <v>#REF!</v>
      </c>
      <c r="P28" s="245" t="e">
        <f t="shared" si="36"/>
        <v>#REF!</v>
      </c>
      <c r="Q28" s="242" t="e">
        <f t="shared" si="36"/>
        <v>#REF!</v>
      </c>
      <c r="R28" s="246" t="e">
        <f t="shared" si="36"/>
        <v>#REF!</v>
      </c>
      <c r="S28" s="245" t="e">
        <f t="shared" si="36"/>
        <v>#REF!</v>
      </c>
      <c r="T28" s="242" t="e">
        <f t="shared" si="36"/>
        <v>#REF!</v>
      </c>
      <c r="U28" s="246" t="e">
        <f t="shared" si="36"/>
        <v>#REF!</v>
      </c>
      <c r="V28" s="245" t="e">
        <f t="shared" si="36"/>
        <v>#REF!</v>
      </c>
      <c r="W28" s="242" t="e">
        <f t="shared" si="36"/>
        <v>#REF!</v>
      </c>
      <c r="X28" s="246" t="e">
        <f t="shared" si="36"/>
        <v>#REF!</v>
      </c>
      <c r="Y28" s="245" t="e">
        <f t="shared" si="36"/>
        <v>#REF!</v>
      </c>
      <c r="Z28" s="242" t="e">
        <f t="shared" si="36"/>
        <v>#REF!</v>
      </c>
      <c r="AA28" s="246" t="e">
        <f t="shared" si="36"/>
        <v>#REF!</v>
      </c>
      <c r="AB28" s="245" t="e">
        <f t="shared" si="36"/>
        <v>#REF!</v>
      </c>
      <c r="AC28" s="242" t="e">
        <f t="shared" si="36"/>
        <v>#REF!</v>
      </c>
      <c r="AD28" s="246" t="e">
        <f t="shared" si="36"/>
        <v>#REF!</v>
      </c>
      <c r="AE28" s="245" t="e">
        <f t="shared" si="36"/>
        <v>#REF!</v>
      </c>
      <c r="AF28" s="242" t="e">
        <f t="shared" si="36"/>
        <v>#REF!</v>
      </c>
      <c r="AG28" s="246" t="e">
        <f t="shared" si="36"/>
        <v>#REF!</v>
      </c>
      <c r="AH28" s="245" t="e">
        <f t="shared" si="36"/>
        <v>#REF!</v>
      </c>
      <c r="AI28" s="242" t="e">
        <f t="shared" si="36"/>
        <v>#REF!</v>
      </c>
      <c r="AJ28" s="246" t="e">
        <f t="shared" si="36"/>
        <v>#REF!</v>
      </c>
      <c r="AK28" s="245" t="e">
        <f t="shared" si="36"/>
        <v>#REF!</v>
      </c>
      <c r="AL28" s="242" t="e">
        <f t="shared" si="36"/>
        <v>#REF!</v>
      </c>
      <c r="AM28" s="246" t="e">
        <f t="shared" si="36"/>
        <v>#REF!</v>
      </c>
      <c r="AN28" s="245" t="e">
        <f t="shared" si="36"/>
        <v>#REF!</v>
      </c>
      <c r="AO28" s="242" t="e">
        <f t="shared" si="36"/>
        <v>#REF!</v>
      </c>
      <c r="AP28" s="246" t="e">
        <f t="shared" si="36"/>
        <v>#REF!</v>
      </c>
    </row>
    <row r="29" spans="2:42" ht="14.25" thickBot="1">
      <c r="B29" s="235"/>
      <c r="C29" s="265" t="s">
        <v>204</v>
      </c>
      <c r="D29" s="247" t="e">
        <f t="shared" ref="D29:F29" si="37">D17-D23</f>
        <v>#REF!</v>
      </c>
      <c r="E29" s="248" t="e">
        <f t="shared" si="37"/>
        <v>#REF!</v>
      </c>
      <c r="F29" s="249" t="e">
        <f t="shared" si="37"/>
        <v>#REF!</v>
      </c>
      <c r="G29" s="247" t="e">
        <f t="shared" ref="G29:AP29" si="38">G17-G23</f>
        <v>#REF!</v>
      </c>
      <c r="H29" s="248" t="e">
        <f t="shared" si="38"/>
        <v>#REF!</v>
      </c>
      <c r="I29" s="249" t="e">
        <f t="shared" si="38"/>
        <v>#REF!</v>
      </c>
      <c r="J29" s="247" t="e">
        <f t="shared" si="38"/>
        <v>#REF!</v>
      </c>
      <c r="K29" s="248" t="e">
        <f t="shared" si="38"/>
        <v>#REF!</v>
      </c>
      <c r="L29" s="249" t="e">
        <f t="shared" si="38"/>
        <v>#REF!</v>
      </c>
      <c r="M29" s="247" t="e">
        <f t="shared" si="38"/>
        <v>#REF!</v>
      </c>
      <c r="N29" s="248" t="e">
        <f t="shared" si="38"/>
        <v>#REF!</v>
      </c>
      <c r="O29" s="249" t="e">
        <f t="shared" si="38"/>
        <v>#REF!</v>
      </c>
      <c r="P29" s="247" t="e">
        <f t="shared" si="38"/>
        <v>#REF!</v>
      </c>
      <c r="Q29" s="248" t="e">
        <f t="shared" si="38"/>
        <v>#REF!</v>
      </c>
      <c r="R29" s="249" t="e">
        <f t="shared" si="38"/>
        <v>#REF!</v>
      </c>
      <c r="S29" s="247" t="e">
        <f t="shared" si="38"/>
        <v>#REF!</v>
      </c>
      <c r="T29" s="248" t="e">
        <f t="shared" si="38"/>
        <v>#REF!</v>
      </c>
      <c r="U29" s="249" t="e">
        <f t="shared" si="38"/>
        <v>#REF!</v>
      </c>
      <c r="V29" s="247" t="e">
        <f t="shared" si="38"/>
        <v>#REF!</v>
      </c>
      <c r="W29" s="248" t="e">
        <f t="shared" si="38"/>
        <v>#REF!</v>
      </c>
      <c r="X29" s="249" t="e">
        <f t="shared" si="38"/>
        <v>#REF!</v>
      </c>
      <c r="Y29" s="247" t="e">
        <f t="shared" si="38"/>
        <v>#REF!</v>
      </c>
      <c r="Z29" s="248" t="e">
        <f t="shared" si="38"/>
        <v>#REF!</v>
      </c>
      <c r="AA29" s="249" t="e">
        <f t="shared" si="38"/>
        <v>#REF!</v>
      </c>
      <c r="AB29" s="247" t="e">
        <f t="shared" si="38"/>
        <v>#REF!</v>
      </c>
      <c r="AC29" s="248" t="e">
        <f t="shared" si="38"/>
        <v>#REF!</v>
      </c>
      <c r="AD29" s="249" t="e">
        <f t="shared" si="38"/>
        <v>#REF!</v>
      </c>
      <c r="AE29" s="247" t="e">
        <f t="shared" si="38"/>
        <v>#REF!</v>
      </c>
      <c r="AF29" s="248" t="e">
        <f t="shared" si="38"/>
        <v>#REF!</v>
      </c>
      <c r="AG29" s="249" t="e">
        <f t="shared" si="38"/>
        <v>#REF!</v>
      </c>
      <c r="AH29" s="247" t="e">
        <f t="shared" si="38"/>
        <v>#REF!</v>
      </c>
      <c r="AI29" s="248" t="e">
        <f t="shared" si="38"/>
        <v>#REF!</v>
      </c>
      <c r="AJ29" s="249" t="e">
        <f t="shared" si="38"/>
        <v>#REF!</v>
      </c>
      <c r="AK29" s="247" t="e">
        <f t="shared" si="38"/>
        <v>#REF!</v>
      </c>
      <c r="AL29" s="248" t="e">
        <f t="shared" si="38"/>
        <v>#REF!</v>
      </c>
      <c r="AM29" s="249" t="e">
        <f t="shared" si="38"/>
        <v>#REF!</v>
      </c>
      <c r="AN29" s="247" t="e">
        <f t="shared" si="38"/>
        <v>#REF!</v>
      </c>
      <c r="AO29" s="248" t="e">
        <f t="shared" si="38"/>
        <v>#REF!</v>
      </c>
      <c r="AP29" s="249" t="e">
        <f t="shared" si="38"/>
        <v>#REF!</v>
      </c>
    </row>
  </sheetData>
  <mergeCells count="13">
    <mergeCell ref="AH10:AJ10"/>
    <mergeCell ref="AK10:AM10"/>
    <mergeCell ref="AN10:AP10"/>
    <mergeCell ref="S10:U10"/>
    <mergeCell ref="V10:X10"/>
    <mergeCell ref="Y10:AA10"/>
    <mergeCell ref="AB10:AD10"/>
    <mergeCell ref="AE10:AG10"/>
    <mergeCell ref="D10:F10"/>
    <mergeCell ref="G10:I10"/>
    <mergeCell ref="J10:L10"/>
    <mergeCell ref="M10:O10"/>
    <mergeCell ref="P10:R10"/>
  </mergeCells>
  <phoneticPr fontId="9"/>
  <conditionalFormatting sqref="D24:F26 D29:F29">
    <cfRule type="cellIs" dxfId="38" priority="39" operator="notEqual">
      <formula>0</formula>
    </cfRule>
  </conditionalFormatting>
  <conditionalFormatting sqref="G24:I26 G29:I29">
    <cfRule type="cellIs" dxfId="37" priority="38" operator="notEqual">
      <formula>0</formula>
    </cfRule>
  </conditionalFormatting>
  <conditionalFormatting sqref="J24:L26 J29:L29">
    <cfRule type="cellIs" dxfId="36" priority="37" operator="notEqual">
      <formula>0</formula>
    </cfRule>
  </conditionalFormatting>
  <conditionalFormatting sqref="M24:O26 M29:O29">
    <cfRule type="cellIs" dxfId="35" priority="36" operator="notEqual">
      <formula>0</formula>
    </cfRule>
  </conditionalFormatting>
  <conditionalFormatting sqref="P24:R26 P29:R29">
    <cfRule type="cellIs" dxfId="34" priority="35" operator="notEqual">
      <formula>0</formula>
    </cfRule>
  </conditionalFormatting>
  <conditionalFormatting sqref="S24:U26 S29:U29">
    <cfRule type="cellIs" dxfId="33" priority="34" operator="notEqual">
      <formula>0</formula>
    </cfRule>
  </conditionalFormatting>
  <conditionalFormatting sqref="V24:X26 V29:X29">
    <cfRule type="cellIs" dxfId="32" priority="33" operator="notEqual">
      <formula>0</formula>
    </cfRule>
  </conditionalFormatting>
  <conditionalFormatting sqref="Y24:AA26 Y29:AA29">
    <cfRule type="cellIs" dxfId="31" priority="32" operator="notEqual">
      <formula>0</formula>
    </cfRule>
  </conditionalFormatting>
  <conditionalFormatting sqref="AB24:AD26 AB29:AD29">
    <cfRule type="cellIs" dxfId="30" priority="31" operator="notEqual">
      <formula>0</formula>
    </cfRule>
  </conditionalFormatting>
  <conditionalFormatting sqref="AE24:AG26 AE29:AG29">
    <cfRule type="cellIs" dxfId="29" priority="30" operator="notEqual">
      <formula>0</formula>
    </cfRule>
  </conditionalFormatting>
  <conditionalFormatting sqref="AH24:AJ26 AH29:AJ29">
    <cfRule type="cellIs" dxfId="28" priority="29" operator="notEqual">
      <formula>0</formula>
    </cfRule>
  </conditionalFormatting>
  <conditionalFormatting sqref="AK24:AM26 AK29:AM29">
    <cfRule type="cellIs" dxfId="27" priority="28" operator="notEqual">
      <formula>0</formula>
    </cfRule>
  </conditionalFormatting>
  <conditionalFormatting sqref="AN24:AP26 AN29:AP29">
    <cfRule type="cellIs" dxfId="26" priority="27" operator="notEqual">
      <formula>0</formula>
    </cfRule>
  </conditionalFormatting>
  <conditionalFormatting sqref="D27:F27">
    <cfRule type="cellIs" dxfId="25" priority="26" operator="notEqual">
      <formula>0</formula>
    </cfRule>
  </conditionalFormatting>
  <conditionalFormatting sqref="G27:I27">
    <cfRule type="cellIs" dxfId="24" priority="25" operator="notEqual">
      <formula>0</formula>
    </cfRule>
  </conditionalFormatting>
  <conditionalFormatting sqref="J27:L27">
    <cfRule type="cellIs" dxfId="23" priority="24" operator="notEqual">
      <formula>0</formula>
    </cfRule>
  </conditionalFormatting>
  <conditionalFormatting sqref="M27:O27">
    <cfRule type="cellIs" dxfId="22" priority="23" operator="notEqual">
      <formula>0</formula>
    </cfRule>
  </conditionalFormatting>
  <conditionalFormatting sqref="P27:R27">
    <cfRule type="cellIs" dxfId="21" priority="22" operator="notEqual">
      <formula>0</formula>
    </cfRule>
  </conditionalFormatting>
  <conditionalFormatting sqref="S27:U27">
    <cfRule type="cellIs" dxfId="20" priority="21" operator="notEqual">
      <formula>0</formula>
    </cfRule>
  </conditionalFormatting>
  <conditionalFormatting sqref="V27:X27">
    <cfRule type="cellIs" dxfId="19" priority="20" operator="notEqual">
      <formula>0</formula>
    </cfRule>
  </conditionalFormatting>
  <conditionalFormatting sqref="Y27:AA27">
    <cfRule type="cellIs" dxfId="18" priority="19" operator="notEqual">
      <formula>0</formula>
    </cfRule>
  </conditionalFormatting>
  <conditionalFormatting sqref="AB27:AD27">
    <cfRule type="cellIs" dxfId="17" priority="18" operator="notEqual">
      <formula>0</formula>
    </cfRule>
  </conditionalFormatting>
  <conditionalFormatting sqref="AE27:AG27">
    <cfRule type="cellIs" dxfId="16" priority="17" operator="notEqual">
      <formula>0</formula>
    </cfRule>
  </conditionalFormatting>
  <conditionalFormatting sqref="AH27:AJ27">
    <cfRule type="cellIs" dxfId="15" priority="16" operator="notEqual">
      <formula>0</formula>
    </cfRule>
  </conditionalFormatting>
  <conditionalFormatting sqref="AK27:AM27">
    <cfRule type="cellIs" dxfId="14" priority="15" operator="notEqual">
      <formula>0</formula>
    </cfRule>
  </conditionalFormatting>
  <conditionalFormatting sqref="AN27:AP27">
    <cfRule type="cellIs" dxfId="13" priority="14" operator="notEqual">
      <formula>0</formula>
    </cfRule>
  </conditionalFormatting>
  <conditionalFormatting sqref="D28:F28">
    <cfRule type="cellIs" dxfId="12" priority="13" operator="notEqual">
      <formula>0</formula>
    </cfRule>
  </conditionalFormatting>
  <conditionalFormatting sqref="G28:I28">
    <cfRule type="cellIs" dxfId="11" priority="12" operator="notEqual">
      <formula>0</formula>
    </cfRule>
  </conditionalFormatting>
  <conditionalFormatting sqref="J28:L28">
    <cfRule type="cellIs" dxfId="10" priority="11" operator="notEqual">
      <formula>0</formula>
    </cfRule>
  </conditionalFormatting>
  <conditionalFormatting sqref="M28:O28">
    <cfRule type="cellIs" dxfId="9" priority="10" operator="notEqual">
      <formula>0</formula>
    </cfRule>
  </conditionalFormatting>
  <conditionalFormatting sqref="P28:R28">
    <cfRule type="cellIs" dxfId="8" priority="9" operator="notEqual">
      <formula>0</formula>
    </cfRule>
  </conditionalFormatting>
  <conditionalFormatting sqref="S28:U28">
    <cfRule type="cellIs" dxfId="7" priority="8" operator="notEqual">
      <formula>0</formula>
    </cfRule>
  </conditionalFormatting>
  <conditionalFormatting sqref="V28:X28">
    <cfRule type="cellIs" dxfId="6" priority="7" operator="notEqual">
      <formula>0</formula>
    </cfRule>
  </conditionalFormatting>
  <conditionalFormatting sqref="Y28:AA28">
    <cfRule type="cellIs" dxfId="5" priority="6" operator="notEqual">
      <formula>0</formula>
    </cfRule>
  </conditionalFormatting>
  <conditionalFormatting sqref="AB28:AD28">
    <cfRule type="cellIs" dxfId="4" priority="5" operator="notEqual">
      <formula>0</formula>
    </cfRule>
  </conditionalFormatting>
  <conditionalFormatting sqref="AE28:AG28">
    <cfRule type="cellIs" dxfId="3" priority="4" operator="notEqual">
      <formula>0</formula>
    </cfRule>
  </conditionalFormatting>
  <conditionalFormatting sqref="AH28:AJ28">
    <cfRule type="cellIs" dxfId="2" priority="3" operator="notEqual">
      <formula>0</formula>
    </cfRule>
  </conditionalFormatting>
  <conditionalFormatting sqref="AK28:AM28">
    <cfRule type="cellIs" dxfId="1" priority="2" operator="notEqual">
      <formula>0</formula>
    </cfRule>
  </conditionalFormatting>
  <conditionalFormatting sqref="AN28:AP28">
    <cfRule type="cellIs" dxfId="0" priority="1" operator="not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O30"/>
  <sheetViews>
    <sheetView showGridLines="0" tabSelected="1" zoomScale="70" zoomScaleNormal="70" workbookViewId="0">
      <selection activeCell="F6" sqref="F6"/>
    </sheetView>
  </sheetViews>
  <sheetFormatPr defaultRowHeight="13.5"/>
  <cols>
    <col min="1" max="1" width="3.75" customWidth="1"/>
    <col min="2" max="2" width="13.375" customWidth="1"/>
    <col min="3" max="3" width="9.375" customWidth="1"/>
    <col min="4" max="4" width="10.5" customWidth="1"/>
    <col min="5" max="5" width="25.625" customWidth="1"/>
  </cols>
  <sheetData>
    <row r="2" spans="1:41" ht="17.25">
      <c r="B2" s="41" t="s">
        <v>85</v>
      </c>
      <c r="C2" s="41"/>
    </row>
    <row r="3" spans="1:41" ht="13.5" customHeight="1">
      <c r="B3" s="41"/>
      <c r="C3" s="41"/>
    </row>
    <row r="4" spans="1:41" ht="17.25">
      <c r="D4" s="41"/>
      <c r="G4" s="14" t="s">
        <v>221</v>
      </c>
    </row>
    <row r="6" spans="1:41" ht="14.25" thickBot="1"/>
    <row r="7" spans="1:41" ht="14.25" thickBot="1">
      <c r="F7" s="352" t="s">
        <v>54</v>
      </c>
      <c r="G7" s="353"/>
      <c r="H7" s="351"/>
      <c r="I7" s="349" t="s">
        <v>55</v>
      </c>
      <c r="J7" s="350"/>
      <c r="K7" s="354"/>
      <c r="L7" s="352" t="s">
        <v>53</v>
      </c>
      <c r="M7" s="353"/>
      <c r="N7" s="351"/>
      <c r="O7" s="349" t="s">
        <v>56</v>
      </c>
      <c r="P7" s="350"/>
      <c r="Q7" s="354"/>
      <c r="R7" s="352" t="s">
        <v>57</v>
      </c>
      <c r="S7" s="353"/>
      <c r="T7" s="351"/>
      <c r="U7" s="349" t="s">
        <v>58</v>
      </c>
      <c r="V7" s="350"/>
      <c r="W7" s="354"/>
      <c r="X7" s="352" t="s">
        <v>59</v>
      </c>
      <c r="Y7" s="353"/>
      <c r="Z7" s="351"/>
      <c r="AA7" s="349" t="s">
        <v>60</v>
      </c>
      <c r="AB7" s="350"/>
      <c r="AC7" s="354"/>
      <c r="AD7" s="352" t="s">
        <v>61</v>
      </c>
      <c r="AE7" s="353"/>
      <c r="AF7" s="351"/>
      <c r="AG7" s="349" t="s">
        <v>62</v>
      </c>
      <c r="AH7" s="350"/>
      <c r="AI7" s="354"/>
      <c r="AJ7" s="352" t="s">
        <v>63</v>
      </c>
      <c r="AK7" s="353"/>
      <c r="AL7" s="351"/>
      <c r="AM7" s="349" t="s">
        <v>64</v>
      </c>
      <c r="AN7" s="350"/>
      <c r="AO7" s="351"/>
    </row>
    <row r="8" spans="1:41" ht="24" customHeight="1" thickBot="1">
      <c r="B8" s="60" t="s">
        <v>18</v>
      </c>
      <c r="C8" s="363" t="s">
        <v>158</v>
      </c>
      <c r="D8" s="61" t="s">
        <v>84</v>
      </c>
      <c r="E8" s="366" t="s">
        <v>23</v>
      </c>
      <c r="F8" s="63" t="s">
        <v>6</v>
      </c>
      <c r="G8" s="64" t="s">
        <v>7</v>
      </c>
      <c r="H8" s="65" t="s">
        <v>8</v>
      </c>
      <c r="I8" s="66" t="s">
        <v>6</v>
      </c>
      <c r="J8" s="64" t="s">
        <v>7</v>
      </c>
      <c r="K8" s="67" t="s">
        <v>8</v>
      </c>
      <c r="L8" s="63" t="s">
        <v>6</v>
      </c>
      <c r="M8" s="64" t="s">
        <v>7</v>
      </c>
      <c r="N8" s="65" t="s">
        <v>8</v>
      </c>
      <c r="O8" s="66" t="s">
        <v>6</v>
      </c>
      <c r="P8" s="64" t="s">
        <v>7</v>
      </c>
      <c r="Q8" s="67" t="s">
        <v>8</v>
      </c>
      <c r="R8" s="63" t="s">
        <v>6</v>
      </c>
      <c r="S8" s="64" t="s">
        <v>7</v>
      </c>
      <c r="T8" s="65" t="s">
        <v>8</v>
      </c>
      <c r="U8" s="66" t="s">
        <v>6</v>
      </c>
      <c r="V8" s="64" t="s">
        <v>7</v>
      </c>
      <c r="W8" s="67" t="s">
        <v>8</v>
      </c>
      <c r="X8" s="63" t="s">
        <v>6</v>
      </c>
      <c r="Y8" s="64" t="s">
        <v>7</v>
      </c>
      <c r="Z8" s="65" t="s">
        <v>8</v>
      </c>
      <c r="AA8" s="66" t="s">
        <v>6</v>
      </c>
      <c r="AB8" s="64" t="s">
        <v>7</v>
      </c>
      <c r="AC8" s="67" t="s">
        <v>8</v>
      </c>
      <c r="AD8" s="63" t="s">
        <v>6</v>
      </c>
      <c r="AE8" s="64" t="s">
        <v>7</v>
      </c>
      <c r="AF8" s="65" t="s">
        <v>8</v>
      </c>
      <c r="AG8" s="66" t="s">
        <v>6</v>
      </c>
      <c r="AH8" s="64" t="s">
        <v>7</v>
      </c>
      <c r="AI8" s="67" t="s">
        <v>8</v>
      </c>
      <c r="AJ8" s="63" t="s">
        <v>6</v>
      </c>
      <c r="AK8" s="64" t="s">
        <v>7</v>
      </c>
      <c r="AL8" s="65" t="s">
        <v>8</v>
      </c>
      <c r="AM8" s="66" t="s">
        <v>6</v>
      </c>
      <c r="AN8" s="64" t="s">
        <v>7</v>
      </c>
      <c r="AO8" s="65" t="s">
        <v>8</v>
      </c>
    </row>
    <row r="9" spans="1:41">
      <c r="A9" s="361"/>
      <c r="B9" s="502" t="s">
        <v>0</v>
      </c>
      <c r="C9" s="367" t="s">
        <v>242</v>
      </c>
      <c r="D9" s="365" t="s">
        <v>241</v>
      </c>
      <c r="E9" s="504" t="s">
        <v>12</v>
      </c>
      <c r="F9" s="526">
        <v>3</v>
      </c>
      <c r="G9" s="503">
        <v>114000</v>
      </c>
      <c r="H9" s="504">
        <v>54000</v>
      </c>
      <c r="I9" s="526">
        <v>4</v>
      </c>
      <c r="J9" s="503">
        <v>152000</v>
      </c>
      <c r="K9" s="510">
        <v>68000</v>
      </c>
      <c r="L9" s="526">
        <v>4</v>
      </c>
      <c r="M9" s="503">
        <v>152000</v>
      </c>
      <c r="N9" s="504">
        <v>84000</v>
      </c>
      <c r="O9" s="526">
        <v>5</v>
      </c>
      <c r="P9" s="503">
        <v>190000</v>
      </c>
      <c r="Q9" s="510">
        <v>95000</v>
      </c>
      <c r="R9" s="526">
        <v>4</v>
      </c>
      <c r="S9" s="503">
        <v>152000</v>
      </c>
      <c r="T9" s="504">
        <v>84000</v>
      </c>
      <c r="U9" s="526">
        <v>4</v>
      </c>
      <c r="V9" s="503">
        <v>152000</v>
      </c>
      <c r="W9" s="510">
        <v>76000</v>
      </c>
      <c r="X9" s="526">
        <v>4</v>
      </c>
      <c r="Y9" s="503">
        <v>152000</v>
      </c>
      <c r="Z9" s="504">
        <v>84000</v>
      </c>
      <c r="AA9" s="526">
        <v>4</v>
      </c>
      <c r="AB9" s="503">
        <v>152000</v>
      </c>
      <c r="AC9" s="510">
        <v>76000</v>
      </c>
      <c r="AD9" s="526">
        <v>2</v>
      </c>
      <c r="AE9" s="503">
        <v>76000</v>
      </c>
      <c r="AF9" s="504">
        <v>42000</v>
      </c>
      <c r="AG9" s="526">
        <v>3</v>
      </c>
      <c r="AH9" s="503">
        <v>114000</v>
      </c>
      <c r="AI9" s="510">
        <v>36000</v>
      </c>
      <c r="AJ9" s="526">
        <v>3</v>
      </c>
      <c r="AK9" s="503">
        <v>114000</v>
      </c>
      <c r="AL9" s="504">
        <v>51000</v>
      </c>
      <c r="AM9" s="526">
        <v>5</v>
      </c>
      <c r="AN9" s="503">
        <v>190000</v>
      </c>
      <c r="AO9" s="504">
        <v>95000</v>
      </c>
    </row>
    <row r="10" spans="1:41" s="497" customFormat="1">
      <c r="B10" s="505" t="s">
        <v>1</v>
      </c>
      <c r="C10" s="529" t="s">
        <v>242</v>
      </c>
      <c r="D10" s="364" t="s">
        <v>241</v>
      </c>
      <c r="E10" s="506" t="s">
        <v>13</v>
      </c>
      <c r="F10" s="527">
        <v>0</v>
      </c>
      <c r="G10" s="501">
        <v>0</v>
      </c>
      <c r="H10" s="506">
        <v>0</v>
      </c>
      <c r="I10" s="527">
        <v>0</v>
      </c>
      <c r="J10" s="501">
        <v>0</v>
      </c>
      <c r="K10" s="511">
        <v>0</v>
      </c>
      <c r="L10" s="527">
        <v>0</v>
      </c>
      <c r="M10" s="501">
        <v>0</v>
      </c>
      <c r="N10" s="506">
        <v>0</v>
      </c>
      <c r="O10" s="527">
        <v>0</v>
      </c>
      <c r="P10" s="501">
        <v>0</v>
      </c>
      <c r="Q10" s="511">
        <v>0</v>
      </c>
      <c r="R10" s="527">
        <v>0</v>
      </c>
      <c r="S10" s="501">
        <v>0</v>
      </c>
      <c r="T10" s="506">
        <v>0</v>
      </c>
      <c r="U10" s="527">
        <v>0</v>
      </c>
      <c r="V10" s="501">
        <v>0</v>
      </c>
      <c r="W10" s="511">
        <v>0</v>
      </c>
      <c r="X10" s="527">
        <v>0</v>
      </c>
      <c r="Y10" s="501">
        <v>0</v>
      </c>
      <c r="Z10" s="506">
        <v>0</v>
      </c>
      <c r="AA10" s="527">
        <v>0</v>
      </c>
      <c r="AB10" s="501">
        <v>0</v>
      </c>
      <c r="AC10" s="511">
        <v>0</v>
      </c>
      <c r="AD10" s="527">
        <v>0</v>
      </c>
      <c r="AE10" s="501">
        <v>0</v>
      </c>
      <c r="AF10" s="506">
        <v>0</v>
      </c>
      <c r="AG10" s="527">
        <v>0</v>
      </c>
      <c r="AH10" s="501">
        <v>0</v>
      </c>
      <c r="AI10" s="511">
        <v>0</v>
      </c>
      <c r="AJ10" s="527">
        <v>0</v>
      </c>
      <c r="AK10" s="501">
        <v>0</v>
      </c>
      <c r="AL10" s="506">
        <v>0</v>
      </c>
      <c r="AM10" s="527">
        <v>0</v>
      </c>
      <c r="AN10" s="501">
        <v>0</v>
      </c>
      <c r="AO10" s="506">
        <v>0</v>
      </c>
    </row>
    <row r="11" spans="1:41" s="497" customFormat="1">
      <c r="B11" s="505" t="s">
        <v>31</v>
      </c>
      <c r="C11" s="529" t="s">
        <v>242</v>
      </c>
      <c r="D11" s="364"/>
      <c r="E11" s="506" t="s">
        <v>32</v>
      </c>
      <c r="F11" s="527">
        <v>0</v>
      </c>
      <c r="G11" s="501">
        <v>0</v>
      </c>
      <c r="H11" s="506">
        <v>0</v>
      </c>
      <c r="I11" s="527">
        <v>0</v>
      </c>
      <c r="J11" s="501">
        <v>0</v>
      </c>
      <c r="K11" s="511">
        <v>0</v>
      </c>
      <c r="L11" s="527">
        <v>0</v>
      </c>
      <c r="M11" s="501">
        <v>0</v>
      </c>
      <c r="N11" s="506">
        <v>0</v>
      </c>
      <c r="O11" s="527">
        <v>0</v>
      </c>
      <c r="P11" s="501">
        <v>0</v>
      </c>
      <c r="Q11" s="511">
        <v>0</v>
      </c>
      <c r="R11" s="527">
        <v>0</v>
      </c>
      <c r="S11" s="501">
        <v>0</v>
      </c>
      <c r="T11" s="506">
        <v>0</v>
      </c>
      <c r="U11" s="527">
        <v>0</v>
      </c>
      <c r="V11" s="501">
        <v>0</v>
      </c>
      <c r="W11" s="511">
        <v>0</v>
      </c>
      <c r="X11" s="527">
        <v>0</v>
      </c>
      <c r="Y11" s="501">
        <v>0</v>
      </c>
      <c r="Z11" s="506">
        <v>0</v>
      </c>
      <c r="AA11" s="527">
        <v>0</v>
      </c>
      <c r="AB11" s="501">
        <v>0</v>
      </c>
      <c r="AC11" s="511">
        <v>0</v>
      </c>
      <c r="AD11" s="527">
        <v>0</v>
      </c>
      <c r="AE11" s="501">
        <v>0</v>
      </c>
      <c r="AF11" s="506">
        <v>0</v>
      </c>
      <c r="AG11" s="527">
        <v>0</v>
      </c>
      <c r="AH11" s="501">
        <v>0</v>
      </c>
      <c r="AI11" s="511">
        <v>0</v>
      </c>
      <c r="AJ11" s="527">
        <v>0</v>
      </c>
      <c r="AK11" s="501">
        <v>0</v>
      </c>
      <c r="AL11" s="506">
        <v>0</v>
      </c>
      <c r="AM11" s="527">
        <v>0</v>
      </c>
      <c r="AN11" s="501">
        <v>0</v>
      </c>
      <c r="AO11" s="506">
        <v>0</v>
      </c>
    </row>
    <row r="12" spans="1:41" s="497" customFormat="1">
      <c r="B12" s="505" t="s">
        <v>2</v>
      </c>
      <c r="C12" s="529" t="s">
        <v>242</v>
      </c>
      <c r="D12" s="364" t="s">
        <v>241</v>
      </c>
      <c r="E12" s="506" t="s">
        <v>16</v>
      </c>
      <c r="F12" s="527">
        <v>0</v>
      </c>
      <c r="G12" s="501">
        <v>0</v>
      </c>
      <c r="H12" s="506">
        <v>0</v>
      </c>
      <c r="I12" s="527">
        <v>0</v>
      </c>
      <c r="J12" s="501">
        <v>0</v>
      </c>
      <c r="K12" s="511">
        <v>0</v>
      </c>
      <c r="L12" s="527">
        <v>0</v>
      </c>
      <c r="M12" s="501">
        <v>0</v>
      </c>
      <c r="N12" s="506">
        <v>0</v>
      </c>
      <c r="O12" s="527">
        <v>0</v>
      </c>
      <c r="P12" s="501">
        <v>0</v>
      </c>
      <c r="Q12" s="511">
        <v>0</v>
      </c>
      <c r="R12" s="527">
        <v>0</v>
      </c>
      <c r="S12" s="501">
        <v>0</v>
      </c>
      <c r="T12" s="506">
        <v>0</v>
      </c>
      <c r="U12" s="527">
        <v>0</v>
      </c>
      <c r="V12" s="501">
        <v>0</v>
      </c>
      <c r="W12" s="511">
        <v>0</v>
      </c>
      <c r="X12" s="527">
        <v>0</v>
      </c>
      <c r="Y12" s="501">
        <v>0</v>
      </c>
      <c r="Z12" s="506">
        <v>0</v>
      </c>
      <c r="AA12" s="527">
        <v>0</v>
      </c>
      <c r="AB12" s="501">
        <v>0</v>
      </c>
      <c r="AC12" s="511">
        <v>0</v>
      </c>
      <c r="AD12" s="527">
        <v>0</v>
      </c>
      <c r="AE12" s="501">
        <v>0</v>
      </c>
      <c r="AF12" s="506">
        <v>0</v>
      </c>
      <c r="AG12" s="527">
        <v>0</v>
      </c>
      <c r="AH12" s="501">
        <v>0</v>
      </c>
      <c r="AI12" s="511">
        <v>0</v>
      </c>
      <c r="AJ12" s="527">
        <v>0</v>
      </c>
      <c r="AK12" s="501">
        <v>0</v>
      </c>
      <c r="AL12" s="506">
        <v>0</v>
      </c>
      <c r="AM12" s="527">
        <v>0</v>
      </c>
      <c r="AN12" s="501">
        <v>0</v>
      </c>
      <c r="AO12" s="506">
        <v>0</v>
      </c>
    </row>
    <row r="13" spans="1:41" s="497" customFormat="1">
      <c r="B13" s="505" t="s">
        <v>3</v>
      </c>
      <c r="C13" s="529" t="s">
        <v>242</v>
      </c>
      <c r="D13" s="364" t="s">
        <v>241</v>
      </c>
      <c r="E13" s="506" t="s">
        <v>14</v>
      </c>
      <c r="F13" s="527">
        <v>1</v>
      </c>
      <c r="G13" s="501">
        <v>101000</v>
      </c>
      <c r="H13" s="506">
        <v>19000</v>
      </c>
      <c r="I13" s="527">
        <v>1</v>
      </c>
      <c r="J13" s="501">
        <v>16000</v>
      </c>
      <c r="K13" s="511">
        <v>4000</v>
      </c>
      <c r="L13" s="527">
        <v>0</v>
      </c>
      <c r="M13" s="501">
        <v>0</v>
      </c>
      <c r="N13" s="506">
        <v>0</v>
      </c>
      <c r="O13" s="527">
        <v>0</v>
      </c>
      <c r="P13" s="501">
        <v>0</v>
      </c>
      <c r="Q13" s="511">
        <v>0</v>
      </c>
      <c r="R13" s="527">
        <v>0</v>
      </c>
      <c r="S13" s="501">
        <v>0</v>
      </c>
      <c r="T13" s="506">
        <v>0</v>
      </c>
      <c r="U13" s="527">
        <v>0</v>
      </c>
      <c r="V13" s="501">
        <v>0</v>
      </c>
      <c r="W13" s="511">
        <v>0</v>
      </c>
      <c r="X13" s="527">
        <v>1</v>
      </c>
      <c r="Y13" s="501">
        <v>172000</v>
      </c>
      <c r="Z13" s="506">
        <v>22000</v>
      </c>
      <c r="AA13" s="527">
        <v>0</v>
      </c>
      <c r="AB13" s="501">
        <v>0</v>
      </c>
      <c r="AC13" s="511">
        <v>0</v>
      </c>
      <c r="AD13" s="527">
        <v>1</v>
      </c>
      <c r="AE13" s="501">
        <v>328000</v>
      </c>
      <c r="AF13" s="506">
        <v>220000</v>
      </c>
      <c r="AG13" s="527">
        <v>1</v>
      </c>
      <c r="AH13" s="501">
        <v>125000</v>
      </c>
      <c r="AI13" s="511">
        <v>78000</v>
      </c>
      <c r="AJ13" s="527">
        <v>1</v>
      </c>
      <c r="AK13" s="501">
        <v>38000</v>
      </c>
      <c r="AL13" s="506">
        <v>17000</v>
      </c>
      <c r="AM13" s="527">
        <v>1</v>
      </c>
      <c r="AN13" s="501">
        <v>238000</v>
      </c>
      <c r="AO13" s="506">
        <v>32000</v>
      </c>
    </row>
    <row r="14" spans="1:41" s="497" customFormat="1">
      <c r="B14" s="505" t="s">
        <v>33</v>
      </c>
      <c r="C14" s="529" t="s">
        <v>242</v>
      </c>
      <c r="D14" s="364" t="s">
        <v>241</v>
      </c>
      <c r="E14" s="506" t="s">
        <v>34</v>
      </c>
      <c r="F14" s="527">
        <v>0</v>
      </c>
      <c r="G14" s="501">
        <v>0</v>
      </c>
      <c r="H14" s="506">
        <v>0</v>
      </c>
      <c r="I14" s="527">
        <v>0</v>
      </c>
      <c r="J14" s="501">
        <v>0</v>
      </c>
      <c r="K14" s="511">
        <v>0</v>
      </c>
      <c r="L14" s="527">
        <v>0</v>
      </c>
      <c r="M14" s="501">
        <v>0</v>
      </c>
      <c r="N14" s="506">
        <v>0</v>
      </c>
      <c r="O14" s="527">
        <v>0</v>
      </c>
      <c r="P14" s="501">
        <v>0</v>
      </c>
      <c r="Q14" s="511">
        <v>0</v>
      </c>
      <c r="R14" s="527">
        <v>0</v>
      </c>
      <c r="S14" s="501">
        <v>0</v>
      </c>
      <c r="T14" s="506">
        <v>0</v>
      </c>
      <c r="U14" s="527">
        <v>0</v>
      </c>
      <c r="V14" s="501">
        <v>0</v>
      </c>
      <c r="W14" s="511">
        <v>0</v>
      </c>
      <c r="X14" s="527">
        <v>0</v>
      </c>
      <c r="Y14" s="501">
        <v>0</v>
      </c>
      <c r="Z14" s="506">
        <v>0</v>
      </c>
      <c r="AA14" s="527">
        <v>0</v>
      </c>
      <c r="AB14" s="501">
        <v>0</v>
      </c>
      <c r="AC14" s="511">
        <v>0</v>
      </c>
      <c r="AD14" s="527">
        <v>0</v>
      </c>
      <c r="AE14" s="501">
        <v>0</v>
      </c>
      <c r="AF14" s="506">
        <v>0</v>
      </c>
      <c r="AG14" s="527">
        <v>0</v>
      </c>
      <c r="AH14" s="501">
        <v>0</v>
      </c>
      <c r="AI14" s="511">
        <v>0</v>
      </c>
      <c r="AJ14" s="527">
        <v>0</v>
      </c>
      <c r="AK14" s="501">
        <v>0</v>
      </c>
      <c r="AL14" s="506">
        <v>0</v>
      </c>
      <c r="AM14" s="527">
        <v>0</v>
      </c>
      <c r="AN14" s="501">
        <v>0</v>
      </c>
      <c r="AO14" s="506">
        <v>0</v>
      </c>
    </row>
    <row r="15" spans="1:41" s="497" customFormat="1">
      <c r="B15" s="505" t="s">
        <v>35</v>
      </c>
      <c r="C15" s="529" t="s">
        <v>242</v>
      </c>
      <c r="D15" s="364"/>
      <c r="E15" s="506" t="s">
        <v>240</v>
      </c>
      <c r="F15" s="527">
        <v>0</v>
      </c>
      <c r="G15" s="501">
        <v>0</v>
      </c>
      <c r="H15" s="506">
        <v>0</v>
      </c>
      <c r="I15" s="527">
        <v>0</v>
      </c>
      <c r="J15" s="501">
        <v>0</v>
      </c>
      <c r="K15" s="511">
        <v>0</v>
      </c>
      <c r="L15" s="527">
        <v>0</v>
      </c>
      <c r="M15" s="501">
        <v>0</v>
      </c>
      <c r="N15" s="506">
        <v>0</v>
      </c>
      <c r="O15" s="527">
        <v>0</v>
      </c>
      <c r="P15" s="501">
        <v>0</v>
      </c>
      <c r="Q15" s="511">
        <v>0</v>
      </c>
      <c r="R15" s="527">
        <v>0</v>
      </c>
      <c r="S15" s="501">
        <v>0</v>
      </c>
      <c r="T15" s="506">
        <v>0</v>
      </c>
      <c r="U15" s="527">
        <v>0</v>
      </c>
      <c r="V15" s="501">
        <v>0</v>
      </c>
      <c r="W15" s="511">
        <v>0</v>
      </c>
      <c r="X15" s="527">
        <v>0</v>
      </c>
      <c r="Y15" s="501">
        <v>0</v>
      </c>
      <c r="Z15" s="506">
        <v>0</v>
      </c>
      <c r="AA15" s="527">
        <v>0</v>
      </c>
      <c r="AB15" s="501">
        <v>0</v>
      </c>
      <c r="AC15" s="511">
        <v>0</v>
      </c>
      <c r="AD15" s="527">
        <v>0</v>
      </c>
      <c r="AE15" s="501">
        <v>0</v>
      </c>
      <c r="AF15" s="506">
        <v>0</v>
      </c>
      <c r="AG15" s="527">
        <v>0</v>
      </c>
      <c r="AH15" s="501">
        <v>0</v>
      </c>
      <c r="AI15" s="511">
        <v>0</v>
      </c>
      <c r="AJ15" s="527">
        <v>0</v>
      </c>
      <c r="AK15" s="501">
        <v>0</v>
      </c>
      <c r="AL15" s="506">
        <v>0</v>
      </c>
      <c r="AM15" s="527">
        <v>0</v>
      </c>
      <c r="AN15" s="501">
        <v>0</v>
      </c>
      <c r="AO15" s="506">
        <v>0</v>
      </c>
    </row>
    <row r="16" spans="1:41" s="497" customFormat="1">
      <c r="B16" s="505" t="s">
        <v>36</v>
      </c>
      <c r="C16" s="529" t="s">
        <v>242</v>
      </c>
      <c r="D16" s="364"/>
      <c r="E16" s="506" t="s">
        <v>37</v>
      </c>
      <c r="F16" s="527">
        <v>0</v>
      </c>
      <c r="G16" s="501">
        <v>0</v>
      </c>
      <c r="H16" s="506">
        <v>0</v>
      </c>
      <c r="I16" s="527">
        <v>0</v>
      </c>
      <c r="J16" s="501">
        <v>0</v>
      </c>
      <c r="K16" s="511">
        <v>0</v>
      </c>
      <c r="L16" s="527">
        <v>0</v>
      </c>
      <c r="M16" s="501">
        <v>0</v>
      </c>
      <c r="N16" s="506">
        <v>0</v>
      </c>
      <c r="O16" s="527">
        <v>0</v>
      </c>
      <c r="P16" s="501">
        <v>0</v>
      </c>
      <c r="Q16" s="511">
        <v>0</v>
      </c>
      <c r="R16" s="527">
        <v>0</v>
      </c>
      <c r="S16" s="501">
        <v>0</v>
      </c>
      <c r="T16" s="506">
        <v>0</v>
      </c>
      <c r="U16" s="527">
        <v>0</v>
      </c>
      <c r="V16" s="501">
        <v>0</v>
      </c>
      <c r="W16" s="511">
        <v>0</v>
      </c>
      <c r="X16" s="527">
        <v>0</v>
      </c>
      <c r="Y16" s="501">
        <v>0</v>
      </c>
      <c r="Z16" s="506">
        <v>0</v>
      </c>
      <c r="AA16" s="527">
        <v>0</v>
      </c>
      <c r="AB16" s="501">
        <v>0</v>
      </c>
      <c r="AC16" s="511">
        <v>0</v>
      </c>
      <c r="AD16" s="527">
        <v>0</v>
      </c>
      <c r="AE16" s="501">
        <v>0</v>
      </c>
      <c r="AF16" s="506">
        <v>0</v>
      </c>
      <c r="AG16" s="527">
        <v>0</v>
      </c>
      <c r="AH16" s="501">
        <v>0</v>
      </c>
      <c r="AI16" s="511">
        <v>0</v>
      </c>
      <c r="AJ16" s="527">
        <v>0</v>
      </c>
      <c r="AK16" s="501">
        <v>0</v>
      </c>
      <c r="AL16" s="506">
        <v>0</v>
      </c>
      <c r="AM16" s="527">
        <v>0</v>
      </c>
      <c r="AN16" s="501">
        <v>0</v>
      </c>
      <c r="AO16" s="506">
        <v>0</v>
      </c>
    </row>
    <row r="17" spans="1:41" s="497" customFormat="1">
      <c r="B17" s="505" t="s">
        <v>38</v>
      </c>
      <c r="C17" s="529" t="s">
        <v>242</v>
      </c>
      <c r="D17" s="364"/>
      <c r="E17" s="506" t="s">
        <v>39</v>
      </c>
      <c r="F17" s="527">
        <v>0</v>
      </c>
      <c r="G17" s="501">
        <v>0</v>
      </c>
      <c r="H17" s="506">
        <v>0</v>
      </c>
      <c r="I17" s="527">
        <v>0</v>
      </c>
      <c r="J17" s="501">
        <v>0</v>
      </c>
      <c r="K17" s="511">
        <v>0</v>
      </c>
      <c r="L17" s="527">
        <v>0</v>
      </c>
      <c r="M17" s="501">
        <v>0</v>
      </c>
      <c r="N17" s="506">
        <v>0</v>
      </c>
      <c r="O17" s="527">
        <v>0</v>
      </c>
      <c r="P17" s="501">
        <v>0</v>
      </c>
      <c r="Q17" s="511">
        <v>0</v>
      </c>
      <c r="R17" s="527">
        <v>0</v>
      </c>
      <c r="S17" s="501">
        <v>0</v>
      </c>
      <c r="T17" s="506">
        <v>0</v>
      </c>
      <c r="U17" s="527">
        <v>0</v>
      </c>
      <c r="V17" s="501">
        <v>0</v>
      </c>
      <c r="W17" s="511">
        <v>0</v>
      </c>
      <c r="X17" s="527">
        <v>0</v>
      </c>
      <c r="Y17" s="501">
        <v>0</v>
      </c>
      <c r="Z17" s="506">
        <v>0</v>
      </c>
      <c r="AA17" s="527">
        <v>0</v>
      </c>
      <c r="AB17" s="501">
        <v>0</v>
      </c>
      <c r="AC17" s="511">
        <v>0</v>
      </c>
      <c r="AD17" s="527">
        <v>0</v>
      </c>
      <c r="AE17" s="501">
        <v>0</v>
      </c>
      <c r="AF17" s="506">
        <v>0</v>
      </c>
      <c r="AG17" s="527">
        <v>0</v>
      </c>
      <c r="AH17" s="501">
        <v>0</v>
      </c>
      <c r="AI17" s="511">
        <v>0</v>
      </c>
      <c r="AJ17" s="527">
        <v>0</v>
      </c>
      <c r="AK17" s="501">
        <v>0</v>
      </c>
      <c r="AL17" s="506">
        <v>0</v>
      </c>
      <c r="AM17" s="527">
        <v>0</v>
      </c>
      <c r="AN17" s="501">
        <v>0</v>
      </c>
      <c r="AO17" s="506">
        <v>0</v>
      </c>
    </row>
    <row r="18" spans="1:41" s="497" customFormat="1">
      <c r="B18" s="505"/>
      <c r="C18" s="529"/>
      <c r="D18" s="364"/>
      <c r="E18" s="506"/>
      <c r="F18" s="527"/>
      <c r="G18" s="501"/>
      <c r="H18" s="506"/>
      <c r="I18" s="527"/>
      <c r="J18" s="501"/>
      <c r="K18" s="511"/>
      <c r="L18" s="527"/>
      <c r="M18" s="501"/>
      <c r="N18" s="506"/>
      <c r="O18" s="527"/>
      <c r="P18" s="501"/>
      <c r="Q18" s="511"/>
      <c r="R18" s="527"/>
      <c r="S18" s="501"/>
      <c r="T18" s="506"/>
      <c r="U18" s="527"/>
      <c r="V18" s="501"/>
      <c r="W18" s="511"/>
      <c r="X18" s="527"/>
      <c r="Y18" s="501"/>
      <c r="Z18" s="506"/>
      <c r="AA18" s="527"/>
      <c r="AB18" s="501"/>
      <c r="AC18" s="511"/>
      <c r="AD18" s="527"/>
      <c r="AE18" s="501"/>
      <c r="AF18" s="506"/>
      <c r="AG18" s="527"/>
      <c r="AH18" s="501"/>
      <c r="AI18" s="511"/>
      <c r="AJ18" s="527"/>
      <c r="AK18" s="501"/>
      <c r="AL18" s="506"/>
      <c r="AM18" s="527"/>
      <c r="AN18" s="501"/>
      <c r="AO18" s="506"/>
    </row>
    <row r="19" spans="1:41" ht="14.25" thickBot="1">
      <c r="A19" s="361"/>
      <c r="B19" s="507"/>
      <c r="C19" s="530"/>
      <c r="D19" s="522"/>
      <c r="E19" s="509"/>
      <c r="F19" s="528"/>
      <c r="G19" s="508"/>
      <c r="H19" s="509"/>
      <c r="I19" s="528"/>
      <c r="J19" s="508"/>
      <c r="K19" s="512"/>
      <c r="L19" s="528"/>
      <c r="M19" s="508"/>
      <c r="N19" s="509"/>
      <c r="O19" s="528"/>
      <c r="P19" s="508"/>
      <c r="Q19" s="512"/>
      <c r="R19" s="528"/>
      <c r="S19" s="508"/>
      <c r="T19" s="509"/>
      <c r="U19" s="528"/>
      <c r="V19" s="508"/>
      <c r="W19" s="512"/>
      <c r="X19" s="528"/>
      <c r="Y19" s="508"/>
      <c r="Z19" s="509"/>
      <c r="AA19" s="528"/>
      <c r="AB19" s="508"/>
      <c r="AC19" s="512"/>
      <c r="AD19" s="528"/>
      <c r="AE19" s="508"/>
      <c r="AF19" s="509"/>
      <c r="AG19" s="528"/>
      <c r="AH19" s="508"/>
      <c r="AI19" s="512"/>
      <c r="AJ19" s="528"/>
      <c r="AK19" s="508"/>
      <c r="AL19" s="509"/>
      <c r="AM19" s="528"/>
      <c r="AN19" s="508"/>
      <c r="AO19" s="509"/>
    </row>
    <row r="20" spans="1:41" s="362" customFormat="1"/>
    <row r="21" spans="1:41" s="362" customFormat="1" ht="17.25">
      <c r="B21" s="479" t="s">
        <v>179</v>
      </c>
    </row>
    <row r="22" spans="1:41" s="362" customFormat="1" ht="14.25" thickBot="1"/>
    <row r="23" spans="1:41">
      <c r="A23" s="361"/>
      <c r="B23" s="483" t="s">
        <v>169</v>
      </c>
      <c r="C23" s="484"/>
      <c r="D23" s="484"/>
      <c r="E23" s="484"/>
      <c r="F23" s="486" t="s">
        <v>54</v>
      </c>
      <c r="G23" s="487"/>
      <c r="H23" s="485"/>
      <c r="I23" s="490" t="s">
        <v>55</v>
      </c>
      <c r="J23" s="489"/>
      <c r="K23" s="484"/>
      <c r="L23" s="486" t="s">
        <v>53</v>
      </c>
      <c r="M23" s="487"/>
      <c r="N23" s="485"/>
      <c r="O23" s="490" t="s">
        <v>56</v>
      </c>
      <c r="P23" s="489"/>
      <c r="Q23" s="485"/>
      <c r="R23" s="486" t="s">
        <v>57</v>
      </c>
      <c r="S23" s="487"/>
      <c r="T23" s="484"/>
      <c r="U23" s="488" t="s">
        <v>58</v>
      </c>
      <c r="V23" s="489"/>
      <c r="W23" s="484"/>
      <c r="X23" s="486" t="s">
        <v>59</v>
      </c>
      <c r="Y23" s="487"/>
      <c r="Z23" s="484"/>
      <c r="AA23" s="488" t="s">
        <v>60</v>
      </c>
      <c r="AB23" s="489"/>
      <c r="AC23" s="485"/>
      <c r="AD23" s="491" t="s">
        <v>61</v>
      </c>
      <c r="AE23" s="487"/>
      <c r="AF23" s="485"/>
      <c r="AG23" s="490" t="s">
        <v>62</v>
      </c>
      <c r="AH23" s="489"/>
      <c r="AI23" s="485"/>
      <c r="AJ23" s="486" t="s">
        <v>63</v>
      </c>
      <c r="AK23" s="487"/>
      <c r="AL23" s="485"/>
      <c r="AM23" s="488" t="s">
        <v>64</v>
      </c>
      <c r="AN23" s="489"/>
      <c r="AO23" s="485"/>
    </row>
    <row r="24" spans="1:41" ht="14.25" thickBot="1">
      <c r="A24" s="361"/>
      <c r="B24" s="480" t="s">
        <v>178</v>
      </c>
      <c r="C24" s="481" t="s">
        <v>156</v>
      </c>
      <c r="D24" s="482" t="s">
        <v>167</v>
      </c>
      <c r="E24" s="496" t="s">
        <v>168</v>
      </c>
      <c r="F24" s="494" t="s">
        <v>6</v>
      </c>
      <c r="G24" s="493" t="s">
        <v>7</v>
      </c>
      <c r="H24" s="495" t="s">
        <v>8</v>
      </c>
      <c r="I24" s="492" t="s">
        <v>6</v>
      </c>
      <c r="J24" s="493" t="s">
        <v>7</v>
      </c>
      <c r="K24" s="534" t="s">
        <v>8</v>
      </c>
      <c r="L24" s="494" t="s">
        <v>6</v>
      </c>
      <c r="M24" s="493" t="s">
        <v>7</v>
      </c>
      <c r="N24" s="495" t="s">
        <v>8</v>
      </c>
      <c r="O24" s="492" t="s">
        <v>6</v>
      </c>
      <c r="P24" s="493" t="s">
        <v>7</v>
      </c>
      <c r="Q24" s="495" t="s">
        <v>8</v>
      </c>
      <c r="R24" s="494" t="s">
        <v>6</v>
      </c>
      <c r="S24" s="493" t="s">
        <v>7</v>
      </c>
      <c r="T24" s="534" t="s">
        <v>8</v>
      </c>
      <c r="U24" s="494" t="s">
        <v>6</v>
      </c>
      <c r="V24" s="493" t="s">
        <v>7</v>
      </c>
      <c r="W24" s="534" t="s">
        <v>8</v>
      </c>
      <c r="X24" s="494" t="s">
        <v>6</v>
      </c>
      <c r="Y24" s="493" t="s">
        <v>7</v>
      </c>
      <c r="Z24" s="534" t="s">
        <v>8</v>
      </c>
      <c r="AA24" s="494" t="s">
        <v>6</v>
      </c>
      <c r="AB24" s="493" t="s">
        <v>7</v>
      </c>
      <c r="AC24" s="495" t="s">
        <v>8</v>
      </c>
      <c r="AD24" s="492" t="s">
        <v>6</v>
      </c>
      <c r="AE24" s="493" t="s">
        <v>7</v>
      </c>
      <c r="AF24" s="495" t="s">
        <v>8</v>
      </c>
      <c r="AG24" s="492" t="s">
        <v>6</v>
      </c>
      <c r="AH24" s="493" t="s">
        <v>7</v>
      </c>
      <c r="AI24" s="495" t="s">
        <v>8</v>
      </c>
      <c r="AJ24" s="494" t="s">
        <v>6</v>
      </c>
      <c r="AK24" s="493" t="s">
        <v>7</v>
      </c>
      <c r="AL24" s="495" t="s">
        <v>8</v>
      </c>
      <c r="AM24" s="494" t="s">
        <v>6</v>
      </c>
      <c r="AN24" s="493" t="s">
        <v>7</v>
      </c>
      <c r="AO24" s="495" t="s">
        <v>8</v>
      </c>
    </row>
    <row r="25" spans="1:41">
      <c r="A25" s="361"/>
      <c r="B25" s="424" t="s">
        <v>157</v>
      </c>
      <c r="C25" s="384">
        <v>1</v>
      </c>
      <c r="D25" s="383">
        <v>0</v>
      </c>
      <c r="E25" s="511">
        <v>0</v>
      </c>
      <c r="F25" s="541">
        <f>SUMIF($D9:$D19,"=調査件数",F9:F19)</f>
        <v>4</v>
      </c>
      <c r="G25" s="535">
        <f t="shared" ref="G25:AO25" si="0">SUMIF($D9:$D19,"=調査件数",G9:G19)</f>
        <v>215000</v>
      </c>
      <c r="H25" s="538">
        <f t="shared" si="0"/>
        <v>73000</v>
      </c>
      <c r="I25" s="541">
        <f t="shared" si="0"/>
        <v>5</v>
      </c>
      <c r="J25" s="535">
        <f t="shared" si="0"/>
        <v>168000</v>
      </c>
      <c r="K25" s="538">
        <f t="shared" si="0"/>
        <v>72000</v>
      </c>
      <c r="L25" s="541">
        <f t="shared" si="0"/>
        <v>4</v>
      </c>
      <c r="M25" s="535">
        <f t="shared" si="0"/>
        <v>152000</v>
      </c>
      <c r="N25" s="538">
        <f t="shared" si="0"/>
        <v>84000</v>
      </c>
      <c r="O25" s="541">
        <f t="shared" si="0"/>
        <v>5</v>
      </c>
      <c r="P25" s="535">
        <f t="shared" si="0"/>
        <v>190000</v>
      </c>
      <c r="Q25" s="538">
        <f t="shared" si="0"/>
        <v>95000</v>
      </c>
      <c r="R25" s="541">
        <f t="shared" si="0"/>
        <v>4</v>
      </c>
      <c r="S25" s="535">
        <f t="shared" si="0"/>
        <v>152000</v>
      </c>
      <c r="T25" s="538">
        <f t="shared" si="0"/>
        <v>84000</v>
      </c>
      <c r="U25" s="541">
        <f t="shared" si="0"/>
        <v>4</v>
      </c>
      <c r="V25" s="535">
        <f t="shared" si="0"/>
        <v>152000</v>
      </c>
      <c r="W25" s="538">
        <f t="shared" si="0"/>
        <v>76000</v>
      </c>
      <c r="X25" s="541">
        <f t="shared" si="0"/>
        <v>5</v>
      </c>
      <c r="Y25" s="535">
        <f t="shared" si="0"/>
        <v>324000</v>
      </c>
      <c r="Z25" s="538">
        <f t="shared" si="0"/>
        <v>106000</v>
      </c>
      <c r="AA25" s="541">
        <f t="shared" si="0"/>
        <v>4</v>
      </c>
      <c r="AB25" s="535">
        <f t="shared" si="0"/>
        <v>152000</v>
      </c>
      <c r="AC25" s="538">
        <f t="shared" si="0"/>
        <v>76000</v>
      </c>
      <c r="AD25" s="541">
        <f t="shared" si="0"/>
        <v>3</v>
      </c>
      <c r="AE25" s="535">
        <f t="shared" si="0"/>
        <v>404000</v>
      </c>
      <c r="AF25" s="538">
        <f t="shared" si="0"/>
        <v>262000</v>
      </c>
      <c r="AG25" s="541">
        <f t="shared" si="0"/>
        <v>4</v>
      </c>
      <c r="AH25" s="535">
        <f t="shared" si="0"/>
        <v>239000</v>
      </c>
      <c r="AI25" s="538">
        <f t="shared" si="0"/>
        <v>114000</v>
      </c>
      <c r="AJ25" s="541">
        <f t="shared" si="0"/>
        <v>4</v>
      </c>
      <c r="AK25" s="535">
        <f t="shared" si="0"/>
        <v>152000</v>
      </c>
      <c r="AL25" s="538">
        <f t="shared" si="0"/>
        <v>68000</v>
      </c>
      <c r="AM25" s="541">
        <f t="shared" si="0"/>
        <v>6</v>
      </c>
      <c r="AN25" s="535">
        <f t="shared" si="0"/>
        <v>428000</v>
      </c>
      <c r="AO25" s="538">
        <f t="shared" si="0"/>
        <v>127000</v>
      </c>
    </row>
    <row r="26" spans="1:41">
      <c r="A26" s="361"/>
      <c r="B26" s="424" t="s">
        <v>198</v>
      </c>
      <c r="C26" s="384">
        <v>0</v>
      </c>
      <c r="D26" s="383">
        <v>0</v>
      </c>
      <c r="E26" s="511">
        <v>0</v>
      </c>
      <c r="F26" s="542">
        <f>SUMIF($B9:$B19,"=ke2001",F9:F19)</f>
        <v>0</v>
      </c>
      <c r="G26" s="536">
        <f t="shared" ref="G26:AO26" si="1">SUMIF($B9:$B19,"=ke2001",G9:G19)</f>
        <v>0</v>
      </c>
      <c r="H26" s="539">
        <f t="shared" si="1"/>
        <v>0</v>
      </c>
      <c r="I26" s="542">
        <f t="shared" si="1"/>
        <v>0</v>
      </c>
      <c r="J26" s="536">
        <f t="shared" si="1"/>
        <v>0</v>
      </c>
      <c r="K26" s="539">
        <f t="shared" si="1"/>
        <v>0</v>
      </c>
      <c r="L26" s="542">
        <f t="shared" si="1"/>
        <v>0</v>
      </c>
      <c r="M26" s="536">
        <f t="shared" si="1"/>
        <v>0</v>
      </c>
      <c r="N26" s="539">
        <f t="shared" si="1"/>
        <v>0</v>
      </c>
      <c r="O26" s="542">
        <f t="shared" si="1"/>
        <v>0</v>
      </c>
      <c r="P26" s="536">
        <f t="shared" si="1"/>
        <v>0</v>
      </c>
      <c r="Q26" s="539">
        <f t="shared" si="1"/>
        <v>0</v>
      </c>
      <c r="R26" s="542">
        <f t="shared" si="1"/>
        <v>0</v>
      </c>
      <c r="S26" s="536">
        <f t="shared" si="1"/>
        <v>0</v>
      </c>
      <c r="T26" s="539">
        <f t="shared" si="1"/>
        <v>0</v>
      </c>
      <c r="U26" s="542">
        <f t="shared" si="1"/>
        <v>0</v>
      </c>
      <c r="V26" s="536">
        <f t="shared" si="1"/>
        <v>0</v>
      </c>
      <c r="W26" s="539">
        <f t="shared" si="1"/>
        <v>0</v>
      </c>
      <c r="X26" s="542">
        <f t="shared" si="1"/>
        <v>0</v>
      </c>
      <c r="Y26" s="536">
        <f t="shared" si="1"/>
        <v>0</v>
      </c>
      <c r="Z26" s="539">
        <f t="shared" si="1"/>
        <v>0</v>
      </c>
      <c r="AA26" s="542">
        <f t="shared" si="1"/>
        <v>0</v>
      </c>
      <c r="AB26" s="536">
        <f t="shared" si="1"/>
        <v>0</v>
      </c>
      <c r="AC26" s="539">
        <f t="shared" si="1"/>
        <v>0</v>
      </c>
      <c r="AD26" s="542">
        <f t="shared" si="1"/>
        <v>0</v>
      </c>
      <c r="AE26" s="536">
        <f t="shared" si="1"/>
        <v>0</v>
      </c>
      <c r="AF26" s="539">
        <f t="shared" si="1"/>
        <v>0</v>
      </c>
      <c r="AG26" s="542">
        <f t="shared" si="1"/>
        <v>0</v>
      </c>
      <c r="AH26" s="536">
        <f t="shared" si="1"/>
        <v>0</v>
      </c>
      <c r="AI26" s="539">
        <f t="shared" si="1"/>
        <v>0</v>
      </c>
      <c r="AJ26" s="542">
        <f t="shared" si="1"/>
        <v>0</v>
      </c>
      <c r="AK26" s="536">
        <f t="shared" si="1"/>
        <v>0</v>
      </c>
      <c r="AL26" s="539">
        <f t="shared" si="1"/>
        <v>0</v>
      </c>
      <c r="AM26" s="542">
        <f t="shared" si="1"/>
        <v>0</v>
      </c>
      <c r="AN26" s="536">
        <f t="shared" si="1"/>
        <v>0</v>
      </c>
      <c r="AO26" s="539">
        <f t="shared" si="1"/>
        <v>0</v>
      </c>
    </row>
    <row r="27" spans="1:41">
      <c r="A27" s="361"/>
      <c r="B27" s="424" t="s">
        <v>199</v>
      </c>
      <c r="C27" s="384">
        <v>0</v>
      </c>
      <c r="D27" s="383">
        <v>0</v>
      </c>
      <c r="E27" s="511">
        <v>0</v>
      </c>
      <c r="F27" s="542">
        <f>SUMIF($B9:$B19,"=ke2002",F9:F19)</f>
        <v>0</v>
      </c>
      <c r="G27" s="536">
        <f t="shared" ref="G27:AO27" si="2">SUMIF($B9:$B19,"=ke2002",G9:G19)</f>
        <v>0</v>
      </c>
      <c r="H27" s="539">
        <f t="shared" si="2"/>
        <v>0</v>
      </c>
      <c r="I27" s="542">
        <f t="shared" si="2"/>
        <v>0</v>
      </c>
      <c r="J27" s="536">
        <f t="shared" si="2"/>
        <v>0</v>
      </c>
      <c r="K27" s="539">
        <f t="shared" si="2"/>
        <v>0</v>
      </c>
      <c r="L27" s="542">
        <f t="shared" si="2"/>
        <v>0</v>
      </c>
      <c r="M27" s="536">
        <f t="shared" si="2"/>
        <v>0</v>
      </c>
      <c r="N27" s="539">
        <f t="shared" si="2"/>
        <v>0</v>
      </c>
      <c r="O27" s="542">
        <f t="shared" si="2"/>
        <v>0</v>
      </c>
      <c r="P27" s="536">
        <f t="shared" si="2"/>
        <v>0</v>
      </c>
      <c r="Q27" s="539">
        <f t="shared" si="2"/>
        <v>0</v>
      </c>
      <c r="R27" s="542">
        <f t="shared" si="2"/>
        <v>0</v>
      </c>
      <c r="S27" s="536">
        <f t="shared" si="2"/>
        <v>0</v>
      </c>
      <c r="T27" s="539">
        <f t="shared" si="2"/>
        <v>0</v>
      </c>
      <c r="U27" s="542">
        <f t="shared" si="2"/>
        <v>0</v>
      </c>
      <c r="V27" s="536">
        <f t="shared" si="2"/>
        <v>0</v>
      </c>
      <c r="W27" s="539">
        <f t="shared" si="2"/>
        <v>0</v>
      </c>
      <c r="X27" s="542">
        <f t="shared" si="2"/>
        <v>0</v>
      </c>
      <c r="Y27" s="536">
        <f t="shared" si="2"/>
        <v>0</v>
      </c>
      <c r="Z27" s="539">
        <f t="shared" si="2"/>
        <v>0</v>
      </c>
      <c r="AA27" s="542">
        <f t="shared" si="2"/>
        <v>0</v>
      </c>
      <c r="AB27" s="536">
        <f t="shared" si="2"/>
        <v>0</v>
      </c>
      <c r="AC27" s="539">
        <f t="shared" si="2"/>
        <v>0</v>
      </c>
      <c r="AD27" s="542">
        <f t="shared" si="2"/>
        <v>0</v>
      </c>
      <c r="AE27" s="536">
        <f t="shared" si="2"/>
        <v>0</v>
      </c>
      <c r="AF27" s="539">
        <f t="shared" si="2"/>
        <v>0</v>
      </c>
      <c r="AG27" s="542">
        <f t="shared" si="2"/>
        <v>0</v>
      </c>
      <c r="AH27" s="536">
        <f t="shared" si="2"/>
        <v>0</v>
      </c>
      <c r="AI27" s="539">
        <f t="shared" si="2"/>
        <v>0</v>
      </c>
      <c r="AJ27" s="542">
        <f t="shared" si="2"/>
        <v>0</v>
      </c>
      <c r="AK27" s="536">
        <f t="shared" si="2"/>
        <v>0</v>
      </c>
      <c r="AL27" s="539">
        <f t="shared" si="2"/>
        <v>0</v>
      </c>
      <c r="AM27" s="542">
        <f t="shared" si="2"/>
        <v>0</v>
      </c>
      <c r="AN27" s="536">
        <f t="shared" si="2"/>
        <v>0</v>
      </c>
      <c r="AO27" s="539">
        <f t="shared" si="2"/>
        <v>0</v>
      </c>
    </row>
    <row r="28" spans="1:41">
      <c r="A28" s="361"/>
      <c r="B28" s="424" t="s">
        <v>164</v>
      </c>
      <c r="C28" s="384">
        <v>0</v>
      </c>
      <c r="D28" s="383">
        <v>0</v>
      </c>
      <c r="E28" s="511">
        <v>0</v>
      </c>
      <c r="F28" s="542">
        <f>SUMIF($D9:$D19,"=設計",F9:F19)</f>
        <v>0</v>
      </c>
      <c r="G28" s="536">
        <f t="shared" ref="G28:AO28" si="3">SUMIF($D9:$D19,"=設計",G9:G19)</f>
        <v>0</v>
      </c>
      <c r="H28" s="539">
        <f t="shared" si="3"/>
        <v>0</v>
      </c>
      <c r="I28" s="542">
        <f t="shared" si="3"/>
        <v>0</v>
      </c>
      <c r="J28" s="536">
        <f t="shared" si="3"/>
        <v>0</v>
      </c>
      <c r="K28" s="539">
        <f t="shared" si="3"/>
        <v>0</v>
      </c>
      <c r="L28" s="542">
        <f t="shared" si="3"/>
        <v>0</v>
      </c>
      <c r="M28" s="536">
        <f t="shared" si="3"/>
        <v>0</v>
      </c>
      <c r="N28" s="539">
        <f t="shared" si="3"/>
        <v>0</v>
      </c>
      <c r="O28" s="542">
        <f t="shared" si="3"/>
        <v>0</v>
      </c>
      <c r="P28" s="536">
        <f t="shared" si="3"/>
        <v>0</v>
      </c>
      <c r="Q28" s="539">
        <f t="shared" si="3"/>
        <v>0</v>
      </c>
      <c r="R28" s="542">
        <f t="shared" si="3"/>
        <v>0</v>
      </c>
      <c r="S28" s="536">
        <f t="shared" si="3"/>
        <v>0</v>
      </c>
      <c r="T28" s="539">
        <f t="shared" si="3"/>
        <v>0</v>
      </c>
      <c r="U28" s="542">
        <f t="shared" si="3"/>
        <v>0</v>
      </c>
      <c r="V28" s="536">
        <f t="shared" si="3"/>
        <v>0</v>
      </c>
      <c r="W28" s="539">
        <f t="shared" si="3"/>
        <v>0</v>
      </c>
      <c r="X28" s="542">
        <f t="shared" si="3"/>
        <v>0</v>
      </c>
      <c r="Y28" s="536">
        <f t="shared" si="3"/>
        <v>0</v>
      </c>
      <c r="Z28" s="539">
        <f t="shared" si="3"/>
        <v>0</v>
      </c>
      <c r="AA28" s="542">
        <f t="shared" si="3"/>
        <v>0</v>
      </c>
      <c r="AB28" s="536">
        <f t="shared" si="3"/>
        <v>0</v>
      </c>
      <c r="AC28" s="539">
        <f t="shared" si="3"/>
        <v>0</v>
      </c>
      <c r="AD28" s="542">
        <f t="shared" si="3"/>
        <v>0</v>
      </c>
      <c r="AE28" s="536">
        <f t="shared" si="3"/>
        <v>0</v>
      </c>
      <c r="AF28" s="539">
        <f t="shared" si="3"/>
        <v>0</v>
      </c>
      <c r="AG28" s="542">
        <f t="shared" si="3"/>
        <v>0</v>
      </c>
      <c r="AH28" s="536">
        <f t="shared" si="3"/>
        <v>0</v>
      </c>
      <c r="AI28" s="539">
        <f t="shared" si="3"/>
        <v>0</v>
      </c>
      <c r="AJ28" s="542">
        <f t="shared" si="3"/>
        <v>0</v>
      </c>
      <c r="AK28" s="536">
        <f t="shared" si="3"/>
        <v>0</v>
      </c>
      <c r="AL28" s="539">
        <f t="shared" si="3"/>
        <v>0</v>
      </c>
      <c r="AM28" s="542">
        <f t="shared" si="3"/>
        <v>0</v>
      </c>
      <c r="AN28" s="536">
        <f t="shared" si="3"/>
        <v>0</v>
      </c>
      <c r="AO28" s="539">
        <f t="shared" si="3"/>
        <v>0</v>
      </c>
    </row>
    <row r="29" spans="1:41">
      <c r="A29" s="361"/>
      <c r="B29" s="424" t="s">
        <v>165</v>
      </c>
      <c r="C29" s="384">
        <v>0</v>
      </c>
      <c r="D29" s="383">
        <v>0</v>
      </c>
      <c r="E29" s="511">
        <v>0</v>
      </c>
      <c r="F29" s="542">
        <f>SUMIF($B9:$B19,"=ke9009",F9:F19)</f>
        <v>0</v>
      </c>
      <c r="G29" s="536">
        <f t="shared" ref="G29:AO29" si="4">SUMIF($B9:$B19,"=ke9009",G9:G19)</f>
        <v>0</v>
      </c>
      <c r="H29" s="539">
        <f t="shared" si="4"/>
        <v>0</v>
      </c>
      <c r="I29" s="542">
        <f t="shared" si="4"/>
        <v>0</v>
      </c>
      <c r="J29" s="536">
        <f t="shared" si="4"/>
        <v>0</v>
      </c>
      <c r="K29" s="539">
        <f t="shared" si="4"/>
        <v>0</v>
      </c>
      <c r="L29" s="542">
        <f t="shared" si="4"/>
        <v>0</v>
      </c>
      <c r="M29" s="536">
        <f t="shared" si="4"/>
        <v>0</v>
      </c>
      <c r="N29" s="539">
        <f t="shared" si="4"/>
        <v>0</v>
      </c>
      <c r="O29" s="542">
        <f t="shared" si="4"/>
        <v>0</v>
      </c>
      <c r="P29" s="536">
        <f t="shared" si="4"/>
        <v>0</v>
      </c>
      <c r="Q29" s="539">
        <f t="shared" si="4"/>
        <v>0</v>
      </c>
      <c r="R29" s="542">
        <f t="shared" si="4"/>
        <v>0</v>
      </c>
      <c r="S29" s="536">
        <f t="shared" si="4"/>
        <v>0</v>
      </c>
      <c r="T29" s="539">
        <f t="shared" si="4"/>
        <v>0</v>
      </c>
      <c r="U29" s="542">
        <f t="shared" si="4"/>
        <v>0</v>
      </c>
      <c r="V29" s="536">
        <f t="shared" si="4"/>
        <v>0</v>
      </c>
      <c r="W29" s="539">
        <f t="shared" si="4"/>
        <v>0</v>
      </c>
      <c r="X29" s="542">
        <f t="shared" si="4"/>
        <v>0</v>
      </c>
      <c r="Y29" s="536">
        <f t="shared" si="4"/>
        <v>0</v>
      </c>
      <c r="Z29" s="539">
        <f t="shared" si="4"/>
        <v>0</v>
      </c>
      <c r="AA29" s="542">
        <f t="shared" si="4"/>
        <v>0</v>
      </c>
      <c r="AB29" s="536">
        <f t="shared" si="4"/>
        <v>0</v>
      </c>
      <c r="AC29" s="539">
        <f t="shared" si="4"/>
        <v>0</v>
      </c>
      <c r="AD29" s="542">
        <f t="shared" si="4"/>
        <v>0</v>
      </c>
      <c r="AE29" s="536">
        <f t="shared" si="4"/>
        <v>0</v>
      </c>
      <c r="AF29" s="539">
        <f t="shared" si="4"/>
        <v>0</v>
      </c>
      <c r="AG29" s="542">
        <f t="shared" si="4"/>
        <v>0</v>
      </c>
      <c r="AH29" s="536">
        <f t="shared" si="4"/>
        <v>0</v>
      </c>
      <c r="AI29" s="539">
        <f t="shared" si="4"/>
        <v>0</v>
      </c>
      <c r="AJ29" s="542">
        <f t="shared" si="4"/>
        <v>0</v>
      </c>
      <c r="AK29" s="536">
        <f t="shared" si="4"/>
        <v>0</v>
      </c>
      <c r="AL29" s="539">
        <f t="shared" si="4"/>
        <v>0</v>
      </c>
      <c r="AM29" s="542">
        <f t="shared" si="4"/>
        <v>0</v>
      </c>
      <c r="AN29" s="536">
        <f t="shared" si="4"/>
        <v>0</v>
      </c>
      <c r="AO29" s="539">
        <f t="shared" si="4"/>
        <v>0</v>
      </c>
    </row>
    <row r="30" spans="1:41" ht="14.25" thickBot="1">
      <c r="A30" s="361"/>
      <c r="B30" s="425" t="s">
        <v>166</v>
      </c>
      <c r="C30" s="386">
        <v>0</v>
      </c>
      <c r="D30" s="387">
        <v>0</v>
      </c>
      <c r="E30" s="512">
        <v>0</v>
      </c>
      <c r="F30" s="543">
        <f>SUMIF($B9:$B19,"=ke9020",F9:F19)</f>
        <v>0</v>
      </c>
      <c r="G30" s="537">
        <f t="shared" ref="G30:AO30" si="5">SUMIF($B9:$B19,"=ke9020",G9:G19)</f>
        <v>0</v>
      </c>
      <c r="H30" s="540">
        <f t="shared" si="5"/>
        <v>0</v>
      </c>
      <c r="I30" s="543">
        <f t="shared" si="5"/>
        <v>0</v>
      </c>
      <c r="J30" s="537">
        <f t="shared" si="5"/>
        <v>0</v>
      </c>
      <c r="K30" s="540">
        <f t="shared" si="5"/>
        <v>0</v>
      </c>
      <c r="L30" s="543">
        <f t="shared" si="5"/>
        <v>0</v>
      </c>
      <c r="M30" s="537">
        <f t="shared" si="5"/>
        <v>0</v>
      </c>
      <c r="N30" s="540">
        <f t="shared" si="5"/>
        <v>0</v>
      </c>
      <c r="O30" s="543">
        <f t="shared" si="5"/>
        <v>0</v>
      </c>
      <c r="P30" s="537">
        <f t="shared" si="5"/>
        <v>0</v>
      </c>
      <c r="Q30" s="540">
        <f t="shared" si="5"/>
        <v>0</v>
      </c>
      <c r="R30" s="543">
        <f t="shared" si="5"/>
        <v>0</v>
      </c>
      <c r="S30" s="537">
        <f t="shared" si="5"/>
        <v>0</v>
      </c>
      <c r="T30" s="540">
        <f t="shared" si="5"/>
        <v>0</v>
      </c>
      <c r="U30" s="543">
        <f t="shared" si="5"/>
        <v>0</v>
      </c>
      <c r="V30" s="537">
        <f t="shared" si="5"/>
        <v>0</v>
      </c>
      <c r="W30" s="540">
        <f t="shared" si="5"/>
        <v>0</v>
      </c>
      <c r="X30" s="543">
        <f t="shared" si="5"/>
        <v>0</v>
      </c>
      <c r="Y30" s="537">
        <f t="shared" si="5"/>
        <v>0</v>
      </c>
      <c r="Z30" s="540">
        <f t="shared" si="5"/>
        <v>0</v>
      </c>
      <c r="AA30" s="543">
        <f t="shared" si="5"/>
        <v>0</v>
      </c>
      <c r="AB30" s="537">
        <f t="shared" si="5"/>
        <v>0</v>
      </c>
      <c r="AC30" s="540">
        <f t="shared" si="5"/>
        <v>0</v>
      </c>
      <c r="AD30" s="543">
        <f t="shared" si="5"/>
        <v>0</v>
      </c>
      <c r="AE30" s="537">
        <f t="shared" si="5"/>
        <v>0</v>
      </c>
      <c r="AF30" s="540">
        <f t="shared" si="5"/>
        <v>0</v>
      </c>
      <c r="AG30" s="543">
        <f t="shared" si="5"/>
        <v>0</v>
      </c>
      <c r="AH30" s="537">
        <f t="shared" si="5"/>
        <v>0</v>
      </c>
      <c r="AI30" s="540">
        <f t="shared" si="5"/>
        <v>0</v>
      </c>
      <c r="AJ30" s="543">
        <f t="shared" si="5"/>
        <v>0</v>
      </c>
      <c r="AK30" s="537">
        <f t="shared" si="5"/>
        <v>0</v>
      </c>
      <c r="AL30" s="540">
        <f t="shared" si="5"/>
        <v>0</v>
      </c>
      <c r="AM30" s="543">
        <f t="shared" si="5"/>
        <v>0</v>
      </c>
      <c r="AN30" s="537">
        <f t="shared" si="5"/>
        <v>0</v>
      </c>
      <c r="AO30" s="540">
        <f t="shared" si="5"/>
        <v>0</v>
      </c>
    </row>
  </sheetData>
  <mergeCells count="25">
    <mergeCell ref="B23:E23"/>
    <mergeCell ref="AJ23:AL23"/>
    <mergeCell ref="AM23:AO23"/>
    <mergeCell ref="F23:H23"/>
    <mergeCell ref="I23:K23"/>
    <mergeCell ref="L23:N23"/>
    <mergeCell ref="O23:Q23"/>
    <mergeCell ref="R23:T23"/>
    <mergeCell ref="U23:W23"/>
    <mergeCell ref="X23:Z23"/>
    <mergeCell ref="AA23:AC23"/>
    <mergeCell ref="AD23:AF23"/>
    <mergeCell ref="AG23:AI23"/>
    <mergeCell ref="AM7:AO7"/>
    <mergeCell ref="F7:H7"/>
    <mergeCell ref="I7:K7"/>
    <mergeCell ref="L7:N7"/>
    <mergeCell ref="O7:Q7"/>
    <mergeCell ref="R7:T7"/>
    <mergeCell ref="U7:W7"/>
    <mergeCell ref="X7:Z7"/>
    <mergeCell ref="AA7:AC7"/>
    <mergeCell ref="AD7:AF7"/>
    <mergeCell ref="AG7:AI7"/>
    <mergeCell ref="AJ7:AL7"/>
  </mergeCells>
  <phoneticPr fontId="9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P43"/>
  <sheetViews>
    <sheetView showGridLines="0" zoomScale="85" zoomScaleNormal="85" workbookViewId="0">
      <selection activeCell="O1" sqref="O1"/>
    </sheetView>
  </sheetViews>
  <sheetFormatPr defaultRowHeight="13.5"/>
  <cols>
    <col min="1" max="1" width="2.625" customWidth="1"/>
    <col min="2" max="2" width="12.625" customWidth="1"/>
    <col min="5" max="5" width="10.5" customWidth="1"/>
    <col min="6" max="6" width="12.25" customWidth="1"/>
    <col min="13" max="13" width="9.125" customWidth="1"/>
  </cols>
  <sheetData>
    <row r="2" spans="3:42" ht="17.25">
      <c r="C2" s="41" t="s">
        <v>171</v>
      </c>
      <c r="D2" s="41"/>
    </row>
    <row r="3" spans="3:42" ht="13.5" customHeight="1">
      <c r="C3" s="41"/>
      <c r="D3" s="41"/>
    </row>
    <row r="4" spans="3:42" ht="17.25">
      <c r="D4" s="41"/>
      <c r="G4" s="14" t="s">
        <v>222</v>
      </c>
    </row>
    <row r="5" spans="3:42" ht="14.25" thickBot="1"/>
    <row r="6" spans="3:42" ht="14.25" thickBot="1">
      <c r="G6" s="352" t="s">
        <v>54</v>
      </c>
      <c r="H6" s="353"/>
      <c r="I6" s="351"/>
      <c r="J6" s="349" t="s">
        <v>55</v>
      </c>
      <c r="K6" s="350"/>
      <c r="L6" s="354"/>
      <c r="M6" s="352" t="s">
        <v>53</v>
      </c>
      <c r="N6" s="353"/>
      <c r="O6" s="351"/>
      <c r="P6" s="349" t="s">
        <v>56</v>
      </c>
      <c r="Q6" s="350"/>
      <c r="R6" s="354"/>
      <c r="S6" s="352" t="s">
        <v>57</v>
      </c>
      <c r="T6" s="353"/>
      <c r="U6" s="351"/>
      <c r="V6" s="349" t="s">
        <v>58</v>
      </c>
      <c r="W6" s="350"/>
      <c r="X6" s="354"/>
      <c r="Y6" s="352" t="s">
        <v>59</v>
      </c>
      <c r="Z6" s="353"/>
      <c r="AA6" s="351"/>
      <c r="AB6" s="349" t="s">
        <v>60</v>
      </c>
      <c r="AC6" s="350"/>
      <c r="AD6" s="354"/>
      <c r="AE6" s="352" t="s">
        <v>61</v>
      </c>
      <c r="AF6" s="353"/>
      <c r="AG6" s="351"/>
      <c r="AH6" s="349" t="s">
        <v>62</v>
      </c>
      <c r="AI6" s="350"/>
      <c r="AJ6" s="354"/>
      <c r="AK6" s="352" t="s">
        <v>63</v>
      </c>
      <c r="AL6" s="353"/>
      <c r="AM6" s="351"/>
      <c r="AN6" s="349" t="s">
        <v>64</v>
      </c>
      <c r="AO6" s="350"/>
      <c r="AP6" s="351"/>
    </row>
    <row r="7" spans="3:42" ht="33" customHeight="1" thickBot="1">
      <c r="C7" s="60" t="s">
        <v>46</v>
      </c>
      <c r="D7" s="61" t="s">
        <v>18</v>
      </c>
      <c r="E7" s="61" t="s">
        <v>84</v>
      </c>
      <c r="F7" s="62" t="s">
        <v>23</v>
      </c>
      <c r="G7" s="63" t="s">
        <v>6</v>
      </c>
      <c r="H7" s="64" t="s">
        <v>7</v>
      </c>
      <c r="I7" s="65" t="s">
        <v>8</v>
      </c>
      <c r="J7" s="66" t="s">
        <v>6</v>
      </c>
      <c r="K7" s="64" t="s">
        <v>7</v>
      </c>
      <c r="L7" s="67" t="s">
        <v>8</v>
      </c>
      <c r="M7" s="63" t="s">
        <v>6</v>
      </c>
      <c r="N7" s="64" t="s">
        <v>7</v>
      </c>
      <c r="O7" s="65" t="s">
        <v>8</v>
      </c>
      <c r="P7" s="66" t="s">
        <v>6</v>
      </c>
      <c r="Q7" s="64" t="s">
        <v>7</v>
      </c>
      <c r="R7" s="67" t="s">
        <v>8</v>
      </c>
      <c r="S7" s="63" t="s">
        <v>6</v>
      </c>
      <c r="T7" s="64" t="s">
        <v>7</v>
      </c>
      <c r="U7" s="65" t="s">
        <v>8</v>
      </c>
      <c r="V7" s="66" t="s">
        <v>6</v>
      </c>
      <c r="W7" s="64" t="s">
        <v>7</v>
      </c>
      <c r="X7" s="67" t="s">
        <v>8</v>
      </c>
      <c r="Y7" s="63" t="s">
        <v>6</v>
      </c>
      <c r="Z7" s="64" t="s">
        <v>7</v>
      </c>
      <c r="AA7" s="65" t="s">
        <v>8</v>
      </c>
      <c r="AB7" s="66" t="s">
        <v>6</v>
      </c>
      <c r="AC7" s="64" t="s">
        <v>7</v>
      </c>
      <c r="AD7" s="67" t="s">
        <v>8</v>
      </c>
      <c r="AE7" s="63" t="s">
        <v>6</v>
      </c>
      <c r="AF7" s="64" t="s">
        <v>7</v>
      </c>
      <c r="AG7" s="65" t="s">
        <v>8</v>
      </c>
      <c r="AH7" s="66" t="s">
        <v>6</v>
      </c>
      <c r="AI7" s="64" t="s">
        <v>7</v>
      </c>
      <c r="AJ7" s="67" t="s">
        <v>8</v>
      </c>
      <c r="AK7" s="63" t="s">
        <v>6</v>
      </c>
      <c r="AL7" s="64" t="s">
        <v>7</v>
      </c>
      <c r="AM7" s="65" t="s">
        <v>8</v>
      </c>
      <c r="AN7" s="66" t="s">
        <v>6</v>
      </c>
      <c r="AO7" s="64" t="s">
        <v>7</v>
      </c>
      <c r="AP7" s="65" t="s">
        <v>8</v>
      </c>
    </row>
    <row r="8" spans="3:42">
      <c r="C8" s="22" t="s">
        <v>170</v>
      </c>
      <c r="D8" s="33" t="s">
        <v>0</v>
      </c>
      <c r="E8" s="23" t="s">
        <v>83</v>
      </c>
      <c r="F8" s="191" t="s">
        <v>12</v>
      </c>
      <c r="G8" s="224"/>
      <c r="H8" s="23"/>
      <c r="I8" s="24"/>
      <c r="J8" s="224"/>
      <c r="K8" s="23"/>
      <c r="L8" s="30"/>
      <c r="M8" s="224"/>
      <c r="N8" s="23"/>
      <c r="O8" s="24"/>
      <c r="P8" s="224"/>
      <c r="Q8" s="23"/>
      <c r="R8" s="30"/>
      <c r="S8" s="224"/>
      <c r="T8" s="23"/>
      <c r="U8" s="24"/>
      <c r="V8" s="224"/>
      <c r="W8" s="23"/>
      <c r="X8" s="30"/>
      <c r="Y8" s="224"/>
      <c r="Z8" s="23"/>
      <c r="AA8" s="24"/>
      <c r="AB8" s="224"/>
      <c r="AC8" s="23"/>
      <c r="AD8" s="30"/>
      <c r="AE8" s="224"/>
      <c r="AF8" s="23"/>
      <c r="AG8" s="24"/>
      <c r="AH8" s="224"/>
      <c r="AI8" s="23"/>
      <c r="AJ8" s="30"/>
      <c r="AK8" s="224"/>
      <c r="AL8" s="23"/>
      <c r="AM8" s="24"/>
      <c r="AN8" s="224"/>
      <c r="AO8" s="23"/>
      <c r="AP8" s="24"/>
    </row>
    <row r="9" spans="3:42">
      <c r="C9" s="36" t="s">
        <v>47</v>
      </c>
      <c r="D9" s="40" t="s">
        <v>1</v>
      </c>
      <c r="E9" s="37" t="s">
        <v>83</v>
      </c>
      <c r="F9" s="192" t="s">
        <v>13</v>
      </c>
      <c r="G9" s="225"/>
      <c r="H9" s="37"/>
      <c r="I9" s="39"/>
      <c r="J9" s="225"/>
      <c r="K9" s="37"/>
      <c r="L9" s="38"/>
      <c r="M9" s="225"/>
      <c r="N9" s="37"/>
      <c r="O9" s="39"/>
      <c r="P9" s="225"/>
      <c r="Q9" s="37"/>
      <c r="R9" s="38"/>
      <c r="S9" s="225"/>
      <c r="T9" s="37"/>
      <c r="U9" s="39"/>
      <c r="V9" s="225"/>
      <c r="W9" s="37"/>
      <c r="X9" s="38"/>
      <c r="Y9" s="225"/>
      <c r="Z9" s="37"/>
      <c r="AA9" s="39"/>
      <c r="AB9" s="225"/>
      <c r="AC9" s="37"/>
      <c r="AD9" s="38"/>
      <c r="AE9" s="225"/>
      <c r="AF9" s="37"/>
      <c r="AG9" s="39"/>
      <c r="AH9" s="225"/>
      <c r="AI9" s="37"/>
      <c r="AJ9" s="38"/>
      <c r="AK9" s="225"/>
      <c r="AL9" s="37"/>
      <c r="AM9" s="39"/>
      <c r="AN9" s="225"/>
      <c r="AO9" s="37"/>
      <c r="AP9" s="39"/>
    </row>
    <row r="10" spans="3:42">
      <c r="C10" s="36" t="s">
        <v>47</v>
      </c>
      <c r="D10" s="40" t="s">
        <v>31</v>
      </c>
      <c r="E10" s="37"/>
      <c r="F10" s="192" t="s">
        <v>32</v>
      </c>
      <c r="G10" s="225"/>
      <c r="H10" s="37"/>
      <c r="I10" s="39"/>
      <c r="J10" s="225"/>
      <c r="K10" s="37"/>
      <c r="L10" s="38"/>
      <c r="M10" s="225"/>
      <c r="N10" s="37"/>
      <c r="O10" s="39"/>
      <c r="P10" s="225"/>
      <c r="Q10" s="37"/>
      <c r="R10" s="38"/>
      <c r="S10" s="225"/>
      <c r="T10" s="37"/>
      <c r="U10" s="39"/>
      <c r="V10" s="225"/>
      <c r="W10" s="37"/>
      <c r="X10" s="38"/>
      <c r="Y10" s="225"/>
      <c r="Z10" s="37"/>
      <c r="AA10" s="39"/>
      <c r="AB10" s="225"/>
      <c r="AC10" s="37"/>
      <c r="AD10" s="38"/>
      <c r="AE10" s="225"/>
      <c r="AF10" s="37"/>
      <c r="AG10" s="39"/>
      <c r="AH10" s="225"/>
      <c r="AI10" s="37"/>
      <c r="AJ10" s="38"/>
      <c r="AK10" s="225"/>
      <c r="AL10" s="37"/>
      <c r="AM10" s="39"/>
      <c r="AN10" s="225"/>
      <c r="AO10" s="37"/>
      <c r="AP10" s="39"/>
    </row>
    <row r="11" spans="3:42">
      <c r="C11" s="36" t="s">
        <v>47</v>
      </c>
      <c r="D11" s="40" t="s">
        <v>2</v>
      </c>
      <c r="E11" s="37" t="s">
        <v>83</v>
      </c>
      <c r="F11" s="192" t="s">
        <v>16</v>
      </c>
      <c r="G11" s="225"/>
      <c r="H11" s="37"/>
      <c r="I11" s="39"/>
      <c r="J11" s="225"/>
      <c r="K11" s="37"/>
      <c r="L11" s="38"/>
      <c r="M11" s="225"/>
      <c r="N11" s="37"/>
      <c r="O11" s="39"/>
      <c r="P11" s="225"/>
      <c r="Q11" s="37"/>
      <c r="R11" s="38"/>
      <c r="S11" s="225"/>
      <c r="T11" s="37"/>
      <c r="U11" s="39"/>
      <c r="V11" s="225"/>
      <c r="W11" s="37"/>
      <c r="X11" s="38"/>
      <c r="Y11" s="225"/>
      <c r="Z11" s="37"/>
      <c r="AA11" s="39"/>
      <c r="AB11" s="225"/>
      <c r="AC11" s="37"/>
      <c r="AD11" s="38"/>
      <c r="AE11" s="225"/>
      <c r="AF11" s="37"/>
      <c r="AG11" s="39"/>
      <c r="AH11" s="225"/>
      <c r="AI11" s="37"/>
      <c r="AJ11" s="38"/>
      <c r="AK11" s="225"/>
      <c r="AL11" s="37"/>
      <c r="AM11" s="39"/>
      <c r="AN11" s="225"/>
      <c r="AO11" s="37"/>
      <c r="AP11" s="39"/>
    </row>
    <row r="12" spans="3:42">
      <c r="C12" s="36" t="s">
        <v>47</v>
      </c>
      <c r="D12" s="40" t="s">
        <v>3</v>
      </c>
      <c r="E12" s="37" t="s">
        <v>83</v>
      </c>
      <c r="F12" s="192" t="s">
        <v>14</v>
      </c>
      <c r="G12" s="225"/>
      <c r="H12" s="37"/>
      <c r="I12" s="39"/>
      <c r="J12" s="225"/>
      <c r="K12" s="37"/>
      <c r="L12" s="38"/>
      <c r="M12" s="225"/>
      <c r="N12" s="37"/>
      <c r="O12" s="39"/>
      <c r="P12" s="225"/>
      <c r="Q12" s="37"/>
      <c r="R12" s="38"/>
      <c r="S12" s="225"/>
      <c r="T12" s="37"/>
      <c r="U12" s="39"/>
      <c r="V12" s="225"/>
      <c r="W12" s="37"/>
      <c r="X12" s="38"/>
      <c r="Y12" s="225"/>
      <c r="Z12" s="37"/>
      <c r="AA12" s="39"/>
      <c r="AB12" s="225"/>
      <c r="AC12" s="37"/>
      <c r="AD12" s="38"/>
      <c r="AE12" s="225"/>
      <c r="AF12" s="37"/>
      <c r="AG12" s="39"/>
      <c r="AH12" s="225"/>
      <c r="AI12" s="37"/>
      <c r="AJ12" s="38"/>
      <c r="AK12" s="225"/>
      <c r="AL12" s="37"/>
      <c r="AM12" s="39"/>
      <c r="AN12" s="225"/>
      <c r="AO12" s="37"/>
      <c r="AP12" s="39"/>
    </row>
    <row r="13" spans="3:42">
      <c r="C13" s="36" t="s">
        <v>47</v>
      </c>
      <c r="D13" s="40" t="s">
        <v>33</v>
      </c>
      <c r="E13" s="37" t="s">
        <v>83</v>
      </c>
      <c r="F13" s="192" t="s">
        <v>34</v>
      </c>
      <c r="G13" s="225"/>
      <c r="H13" s="37"/>
      <c r="I13" s="39"/>
      <c r="J13" s="225"/>
      <c r="K13" s="37"/>
      <c r="L13" s="38"/>
      <c r="M13" s="225"/>
      <c r="N13" s="37"/>
      <c r="O13" s="39"/>
      <c r="P13" s="225"/>
      <c r="Q13" s="37"/>
      <c r="R13" s="38"/>
      <c r="S13" s="225"/>
      <c r="T13" s="37"/>
      <c r="U13" s="39"/>
      <c r="V13" s="225"/>
      <c r="W13" s="37"/>
      <c r="X13" s="38"/>
      <c r="Y13" s="225"/>
      <c r="Z13" s="37"/>
      <c r="AA13" s="39"/>
      <c r="AB13" s="225"/>
      <c r="AC13" s="37"/>
      <c r="AD13" s="38"/>
      <c r="AE13" s="225"/>
      <c r="AF13" s="37"/>
      <c r="AG13" s="39"/>
      <c r="AH13" s="225"/>
      <c r="AI13" s="37"/>
      <c r="AJ13" s="38"/>
      <c r="AK13" s="225"/>
      <c r="AL13" s="37"/>
      <c r="AM13" s="39"/>
      <c r="AN13" s="225"/>
      <c r="AO13" s="37"/>
      <c r="AP13" s="39"/>
    </row>
    <row r="14" spans="3:42">
      <c r="C14" s="36" t="s">
        <v>47</v>
      </c>
      <c r="D14" s="40" t="s">
        <v>125</v>
      </c>
      <c r="E14" s="37"/>
      <c r="F14" s="192" t="s">
        <v>126</v>
      </c>
      <c r="G14" s="225"/>
      <c r="H14" s="37"/>
      <c r="I14" s="39"/>
      <c r="J14" s="225"/>
      <c r="K14" s="37"/>
      <c r="L14" s="38"/>
      <c r="M14" s="225"/>
      <c r="N14" s="37"/>
      <c r="O14" s="39"/>
      <c r="P14" s="225"/>
      <c r="Q14" s="37"/>
      <c r="R14" s="38"/>
      <c r="S14" s="225"/>
      <c r="T14" s="37"/>
      <c r="U14" s="39"/>
      <c r="V14" s="225"/>
      <c r="W14" s="37"/>
      <c r="X14" s="38"/>
      <c r="Y14" s="225"/>
      <c r="Z14" s="37"/>
      <c r="AA14" s="39"/>
      <c r="AB14" s="225"/>
      <c r="AC14" s="37"/>
      <c r="AD14" s="38"/>
      <c r="AE14" s="225"/>
      <c r="AF14" s="37"/>
      <c r="AG14" s="39"/>
      <c r="AH14" s="225"/>
      <c r="AI14" s="37"/>
      <c r="AJ14" s="38"/>
      <c r="AK14" s="225"/>
      <c r="AL14" s="37"/>
      <c r="AM14" s="39"/>
      <c r="AN14" s="225"/>
      <c r="AO14" s="37"/>
      <c r="AP14" s="39"/>
    </row>
    <row r="15" spans="3:42">
      <c r="C15" s="25" t="s">
        <v>47</v>
      </c>
      <c r="D15" s="34" t="s">
        <v>36</v>
      </c>
      <c r="E15" s="21"/>
      <c r="F15" s="193" t="s">
        <v>37</v>
      </c>
      <c r="G15" s="226"/>
      <c r="H15" s="21"/>
      <c r="I15" s="26"/>
      <c r="J15" s="226"/>
      <c r="K15" s="21"/>
      <c r="L15" s="31"/>
      <c r="M15" s="226"/>
      <c r="N15" s="21"/>
      <c r="O15" s="26"/>
      <c r="P15" s="226"/>
      <c r="Q15" s="21"/>
      <c r="R15" s="31"/>
      <c r="S15" s="226"/>
      <c r="T15" s="21"/>
      <c r="U15" s="26"/>
      <c r="V15" s="226"/>
      <c r="W15" s="21"/>
      <c r="X15" s="31"/>
      <c r="Y15" s="226"/>
      <c r="Z15" s="21"/>
      <c r="AA15" s="26"/>
      <c r="AB15" s="226"/>
      <c r="AC15" s="21"/>
      <c r="AD15" s="31"/>
      <c r="AE15" s="226"/>
      <c r="AF15" s="21"/>
      <c r="AG15" s="26"/>
      <c r="AH15" s="226"/>
      <c r="AI15" s="21"/>
      <c r="AJ15" s="31"/>
      <c r="AK15" s="226"/>
      <c r="AL15" s="21"/>
      <c r="AM15" s="26"/>
      <c r="AN15" s="226"/>
      <c r="AO15" s="21"/>
      <c r="AP15" s="26"/>
    </row>
    <row r="16" spans="3:42">
      <c r="C16" s="25" t="s">
        <v>47</v>
      </c>
      <c r="D16" s="34" t="s">
        <v>38</v>
      </c>
      <c r="E16" s="21"/>
      <c r="F16" s="193" t="s">
        <v>39</v>
      </c>
      <c r="G16" s="226"/>
      <c r="H16" s="21"/>
      <c r="I16" s="26"/>
      <c r="J16" s="226"/>
      <c r="K16" s="21"/>
      <c r="L16" s="31"/>
      <c r="M16" s="226"/>
      <c r="N16" s="21"/>
      <c r="O16" s="26"/>
      <c r="P16" s="226"/>
      <c r="Q16" s="21"/>
      <c r="R16" s="31"/>
      <c r="S16" s="226"/>
      <c r="T16" s="21"/>
      <c r="U16" s="26"/>
      <c r="V16" s="226"/>
      <c r="W16" s="21"/>
      <c r="X16" s="31"/>
      <c r="Y16" s="226"/>
      <c r="Z16" s="21"/>
      <c r="AA16" s="26"/>
      <c r="AB16" s="226"/>
      <c r="AC16" s="21"/>
      <c r="AD16" s="31"/>
      <c r="AE16" s="226"/>
      <c r="AF16" s="21"/>
      <c r="AG16" s="26"/>
      <c r="AH16" s="226"/>
      <c r="AI16" s="21"/>
      <c r="AJ16" s="31"/>
      <c r="AK16" s="226"/>
      <c r="AL16" s="21"/>
      <c r="AM16" s="26"/>
      <c r="AN16" s="226"/>
      <c r="AO16" s="21"/>
      <c r="AP16" s="26"/>
    </row>
    <row r="17" spans="3:42">
      <c r="C17" s="25" t="s">
        <v>172</v>
      </c>
      <c r="D17" s="34" t="s">
        <v>0</v>
      </c>
      <c r="E17" s="21" t="s">
        <v>83</v>
      </c>
      <c r="F17" s="193" t="s">
        <v>12</v>
      </c>
      <c r="G17" s="226"/>
      <c r="H17" s="21"/>
      <c r="I17" s="26"/>
      <c r="J17" s="226"/>
      <c r="K17" s="21"/>
      <c r="L17" s="31"/>
      <c r="M17" s="226"/>
      <c r="N17" s="21"/>
      <c r="O17" s="26"/>
      <c r="P17" s="226"/>
      <c r="Q17" s="21"/>
      <c r="R17" s="31"/>
      <c r="S17" s="226"/>
      <c r="T17" s="21"/>
      <c r="U17" s="26"/>
      <c r="V17" s="226"/>
      <c r="W17" s="21"/>
      <c r="X17" s="31"/>
      <c r="Y17" s="226"/>
      <c r="Z17" s="21"/>
      <c r="AA17" s="26"/>
      <c r="AB17" s="226"/>
      <c r="AC17" s="21"/>
      <c r="AD17" s="31"/>
      <c r="AE17" s="226"/>
      <c r="AF17" s="21"/>
      <c r="AG17" s="26"/>
      <c r="AH17" s="226"/>
      <c r="AI17" s="21"/>
      <c r="AJ17" s="31"/>
      <c r="AK17" s="226"/>
      <c r="AL17" s="21"/>
      <c r="AM17" s="26"/>
      <c r="AN17" s="226"/>
      <c r="AO17" s="21"/>
      <c r="AP17" s="26"/>
    </row>
    <row r="18" spans="3:42">
      <c r="C18" s="25" t="s">
        <v>172</v>
      </c>
      <c r="D18" s="34" t="s">
        <v>1</v>
      </c>
      <c r="E18" s="21" t="s">
        <v>83</v>
      </c>
      <c r="F18" s="193" t="s">
        <v>13</v>
      </c>
      <c r="G18" s="226"/>
      <c r="H18" s="21"/>
      <c r="I18" s="26"/>
      <c r="J18" s="226"/>
      <c r="K18" s="21"/>
      <c r="L18" s="31"/>
      <c r="M18" s="226"/>
      <c r="N18" s="21"/>
      <c r="O18" s="26"/>
      <c r="P18" s="226"/>
      <c r="Q18" s="21"/>
      <c r="R18" s="31"/>
      <c r="S18" s="226"/>
      <c r="T18" s="21"/>
      <c r="U18" s="26"/>
      <c r="V18" s="226"/>
      <c r="W18" s="21"/>
      <c r="X18" s="31"/>
      <c r="Y18" s="226"/>
      <c r="Z18" s="21"/>
      <c r="AA18" s="26"/>
      <c r="AB18" s="226"/>
      <c r="AC18" s="21"/>
      <c r="AD18" s="31"/>
      <c r="AE18" s="226"/>
      <c r="AF18" s="21"/>
      <c r="AG18" s="26"/>
      <c r="AH18" s="226"/>
      <c r="AI18" s="21"/>
      <c r="AJ18" s="31"/>
      <c r="AK18" s="226"/>
      <c r="AL18" s="21"/>
      <c r="AM18" s="26"/>
      <c r="AN18" s="226"/>
      <c r="AO18" s="21"/>
      <c r="AP18" s="26"/>
    </row>
    <row r="19" spans="3:42">
      <c r="C19" s="25" t="s">
        <v>172</v>
      </c>
      <c r="D19" s="34" t="s">
        <v>31</v>
      </c>
      <c r="E19" s="21"/>
      <c r="F19" s="193" t="s">
        <v>32</v>
      </c>
      <c r="G19" s="226"/>
      <c r="H19" s="21"/>
      <c r="I19" s="26"/>
      <c r="J19" s="226"/>
      <c r="K19" s="21"/>
      <c r="L19" s="31"/>
      <c r="M19" s="226"/>
      <c r="N19" s="21"/>
      <c r="O19" s="26"/>
      <c r="P19" s="226"/>
      <c r="Q19" s="21"/>
      <c r="R19" s="31"/>
      <c r="S19" s="226"/>
      <c r="T19" s="21"/>
      <c r="U19" s="26"/>
      <c r="V19" s="226"/>
      <c r="W19" s="21"/>
      <c r="X19" s="31"/>
      <c r="Y19" s="226"/>
      <c r="Z19" s="21"/>
      <c r="AA19" s="26"/>
      <c r="AB19" s="226"/>
      <c r="AC19" s="21"/>
      <c r="AD19" s="31"/>
      <c r="AE19" s="226"/>
      <c r="AF19" s="21"/>
      <c r="AG19" s="26"/>
      <c r="AH19" s="226"/>
      <c r="AI19" s="21"/>
      <c r="AJ19" s="31"/>
      <c r="AK19" s="226"/>
      <c r="AL19" s="21"/>
      <c r="AM19" s="26"/>
      <c r="AN19" s="226"/>
      <c r="AO19" s="21"/>
      <c r="AP19" s="26"/>
    </row>
    <row r="20" spans="3:42">
      <c r="C20" s="25" t="s">
        <v>172</v>
      </c>
      <c r="D20" s="34" t="s">
        <v>2</v>
      </c>
      <c r="E20" s="21" t="s">
        <v>83</v>
      </c>
      <c r="F20" s="193" t="s">
        <v>16</v>
      </c>
      <c r="G20" s="226"/>
      <c r="H20" s="21"/>
      <c r="I20" s="26"/>
      <c r="J20" s="226"/>
      <c r="K20" s="21"/>
      <c r="L20" s="31"/>
      <c r="M20" s="226"/>
      <c r="N20" s="21"/>
      <c r="O20" s="26"/>
      <c r="P20" s="226"/>
      <c r="Q20" s="21"/>
      <c r="R20" s="31"/>
      <c r="S20" s="226"/>
      <c r="T20" s="21"/>
      <c r="U20" s="26"/>
      <c r="V20" s="226"/>
      <c r="W20" s="21"/>
      <c r="X20" s="31"/>
      <c r="Y20" s="226"/>
      <c r="Z20" s="21"/>
      <c r="AA20" s="26"/>
      <c r="AB20" s="226"/>
      <c r="AC20" s="21"/>
      <c r="AD20" s="31"/>
      <c r="AE20" s="226"/>
      <c r="AF20" s="21"/>
      <c r="AG20" s="26"/>
      <c r="AH20" s="226"/>
      <c r="AI20" s="21"/>
      <c r="AJ20" s="31"/>
      <c r="AK20" s="226"/>
      <c r="AL20" s="21"/>
      <c r="AM20" s="26"/>
      <c r="AN20" s="226"/>
      <c r="AO20" s="21"/>
      <c r="AP20" s="26"/>
    </row>
    <row r="21" spans="3:42">
      <c r="C21" s="25" t="s">
        <v>172</v>
      </c>
      <c r="D21" s="34" t="s">
        <v>3</v>
      </c>
      <c r="E21" s="21" t="s">
        <v>83</v>
      </c>
      <c r="F21" s="193" t="s">
        <v>14</v>
      </c>
      <c r="G21" s="226"/>
      <c r="H21" s="21"/>
      <c r="I21" s="26"/>
      <c r="J21" s="226"/>
      <c r="K21" s="21"/>
      <c r="L21" s="31"/>
      <c r="M21" s="226"/>
      <c r="N21" s="21"/>
      <c r="O21" s="26"/>
      <c r="P21" s="226"/>
      <c r="Q21" s="21"/>
      <c r="R21" s="31"/>
      <c r="S21" s="226"/>
      <c r="T21" s="21"/>
      <c r="U21" s="26"/>
      <c r="V21" s="226"/>
      <c r="W21" s="21"/>
      <c r="X21" s="31"/>
      <c r="Y21" s="226"/>
      <c r="Z21" s="21"/>
      <c r="AA21" s="26"/>
      <c r="AB21" s="226"/>
      <c r="AC21" s="21"/>
      <c r="AD21" s="31"/>
      <c r="AE21" s="226"/>
      <c r="AF21" s="21"/>
      <c r="AG21" s="26"/>
      <c r="AH21" s="226"/>
      <c r="AI21" s="21"/>
      <c r="AJ21" s="31"/>
      <c r="AK21" s="226"/>
      <c r="AL21" s="21"/>
      <c r="AM21" s="26"/>
      <c r="AN21" s="226"/>
      <c r="AO21" s="21"/>
      <c r="AP21" s="26"/>
    </row>
    <row r="22" spans="3:42">
      <c r="C22" s="25" t="s">
        <v>172</v>
      </c>
      <c r="D22" s="34" t="s">
        <v>33</v>
      </c>
      <c r="E22" s="21" t="s">
        <v>83</v>
      </c>
      <c r="F22" s="193" t="s">
        <v>34</v>
      </c>
      <c r="G22" s="226"/>
      <c r="H22" s="21"/>
      <c r="I22" s="26"/>
      <c r="J22" s="226"/>
      <c r="K22" s="21"/>
      <c r="L22" s="31"/>
      <c r="M22" s="226"/>
      <c r="N22" s="21"/>
      <c r="O22" s="26"/>
      <c r="P22" s="226"/>
      <c r="Q22" s="21"/>
      <c r="R22" s="31"/>
      <c r="S22" s="226"/>
      <c r="T22" s="21"/>
      <c r="U22" s="26"/>
      <c r="V22" s="226"/>
      <c r="W22" s="21"/>
      <c r="X22" s="31"/>
      <c r="Y22" s="226"/>
      <c r="Z22" s="21"/>
      <c r="AA22" s="26"/>
      <c r="AB22" s="226"/>
      <c r="AC22" s="21"/>
      <c r="AD22" s="31"/>
      <c r="AE22" s="226"/>
      <c r="AF22" s="21"/>
      <c r="AG22" s="26"/>
      <c r="AH22" s="226"/>
      <c r="AI22" s="21"/>
      <c r="AJ22" s="31"/>
      <c r="AK22" s="226"/>
      <c r="AL22" s="21"/>
      <c r="AM22" s="26"/>
      <c r="AN22" s="226"/>
      <c r="AO22" s="21"/>
      <c r="AP22" s="26"/>
    </row>
    <row r="23" spans="3:42">
      <c r="C23" s="25" t="s">
        <v>172</v>
      </c>
      <c r="D23" s="34" t="s">
        <v>125</v>
      </c>
      <c r="E23" s="21"/>
      <c r="F23" s="193" t="s">
        <v>126</v>
      </c>
      <c r="G23" s="226"/>
      <c r="H23" s="21"/>
      <c r="I23" s="26"/>
      <c r="J23" s="226"/>
      <c r="K23" s="21"/>
      <c r="L23" s="31"/>
      <c r="M23" s="226"/>
      <c r="N23" s="21"/>
      <c r="O23" s="26"/>
      <c r="P23" s="226"/>
      <c r="Q23" s="21"/>
      <c r="R23" s="31"/>
      <c r="S23" s="226"/>
      <c r="T23" s="21"/>
      <c r="U23" s="26"/>
      <c r="V23" s="226"/>
      <c r="W23" s="21"/>
      <c r="X23" s="31"/>
      <c r="Y23" s="226"/>
      <c r="Z23" s="21"/>
      <c r="AA23" s="26"/>
      <c r="AB23" s="226"/>
      <c r="AC23" s="21"/>
      <c r="AD23" s="31"/>
      <c r="AE23" s="226"/>
      <c r="AF23" s="21"/>
      <c r="AG23" s="26"/>
      <c r="AH23" s="226"/>
      <c r="AI23" s="21"/>
      <c r="AJ23" s="31"/>
      <c r="AK23" s="226"/>
      <c r="AL23" s="21"/>
      <c r="AM23" s="26"/>
      <c r="AN23" s="226"/>
      <c r="AO23" s="21"/>
      <c r="AP23" s="26"/>
    </row>
    <row r="24" spans="3:42">
      <c r="C24" s="25" t="s">
        <v>172</v>
      </c>
      <c r="D24" s="34" t="s">
        <v>36</v>
      </c>
      <c r="E24" s="21"/>
      <c r="F24" s="193" t="s">
        <v>37</v>
      </c>
      <c r="G24" s="226"/>
      <c r="H24" s="21"/>
      <c r="I24" s="26"/>
      <c r="J24" s="226"/>
      <c r="K24" s="21"/>
      <c r="L24" s="31"/>
      <c r="M24" s="226"/>
      <c r="N24" s="21"/>
      <c r="O24" s="26"/>
      <c r="P24" s="226"/>
      <c r="Q24" s="21"/>
      <c r="R24" s="31"/>
      <c r="S24" s="226"/>
      <c r="T24" s="21"/>
      <c r="U24" s="26"/>
      <c r="V24" s="226"/>
      <c r="W24" s="21"/>
      <c r="X24" s="31"/>
      <c r="Y24" s="226"/>
      <c r="Z24" s="21"/>
      <c r="AA24" s="26"/>
      <c r="AB24" s="226"/>
      <c r="AC24" s="21"/>
      <c r="AD24" s="31"/>
      <c r="AE24" s="226"/>
      <c r="AF24" s="21"/>
      <c r="AG24" s="26"/>
      <c r="AH24" s="226"/>
      <c r="AI24" s="21"/>
      <c r="AJ24" s="31"/>
      <c r="AK24" s="226"/>
      <c r="AL24" s="21"/>
      <c r="AM24" s="26"/>
      <c r="AN24" s="226"/>
      <c r="AO24" s="21"/>
      <c r="AP24" s="26"/>
    </row>
    <row r="25" spans="3:42">
      <c r="C25" s="25" t="s">
        <v>172</v>
      </c>
      <c r="D25" s="34" t="s">
        <v>38</v>
      </c>
      <c r="E25" s="21"/>
      <c r="F25" s="193" t="s">
        <v>39</v>
      </c>
      <c r="G25" s="226"/>
      <c r="H25" s="21"/>
      <c r="I25" s="26"/>
      <c r="J25" s="226"/>
      <c r="K25" s="21"/>
      <c r="L25" s="31"/>
      <c r="M25" s="226"/>
      <c r="N25" s="21"/>
      <c r="O25" s="26"/>
      <c r="P25" s="226"/>
      <c r="Q25" s="21"/>
      <c r="R25" s="31"/>
      <c r="S25" s="226"/>
      <c r="T25" s="21"/>
      <c r="U25" s="26"/>
      <c r="V25" s="226"/>
      <c r="W25" s="21"/>
      <c r="X25" s="31"/>
      <c r="Y25" s="226"/>
      <c r="Z25" s="21"/>
      <c r="AA25" s="26"/>
      <c r="AB25" s="226"/>
      <c r="AC25" s="21"/>
      <c r="AD25" s="31"/>
      <c r="AE25" s="226"/>
      <c r="AF25" s="21"/>
      <c r="AG25" s="26"/>
      <c r="AH25" s="226"/>
      <c r="AI25" s="21"/>
      <c r="AJ25" s="31"/>
      <c r="AK25" s="226"/>
      <c r="AL25" s="21"/>
      <c r="AM25" s="26"/>
      <c r="AN25" s="226"/>
      <c r="AO25" s="21"/>
      <c r="AP25" s="26"/>
    </row>
    <row r="26" spans="3:42">
      <c r="C26" s="25" t="s">
        <v>173</v>
      </c>
      <c r="D26" s="34" t="s">
        <v>0</v>
      </c>
      <c r="E26" s="21" t="s">
        <v>83</v>
      </c>
      <c r="F26" s="193" t="s">
        <v>12</v>
      </c>
      <c r="G26" s="226"/>
      <c r="H26" s="21"/>
      <c r="I26" s="26"/>
      <c r="J26" s="226"/>
      <c r="K26" s="21"/>
      <c r="L26" s="31"/>
      <c r="M26" s="226"/>
      <c r="N26" s="21"/>
      <c r="O26" s="26"/>
      <c r="P26" s="226"/>
      <c r="Q26" s="21"/>
      <c r="R26" s="31"/>
      <c r="S26" s="226"/>
      <c r="T26" s="21"/>
      <c r="U26" s="26"/>
      <c r="V26" s="226"/>
      <c r="W26" s="21"/>
      <c r="X26" s="31"/>
      <c r="Y26" s="226"/>
      <c r="Z26" s="21"/>
      <c r="AA26" s="26"/>
      <c r="AB26" s="226"/>
      <c r="AC26" s="21"/>
      <c r="AD26" s="31"/>
      <c r="AE26" s="226"/>
      <c r="AF26" s="21"/>
      <c r="AG26" s="26"/>
      <c r="AH26" s="226"/>
      <c r="AI26" s="21"/>
      <c r="AJ26" s="31"/>
      <c r="AK26" s="226"/>
      <c r="AL26" s="21"/>
      <c r="AM26" s="26"/>
      <c r="AN26" s="226"/>
      <c r="AO26" s="21"/>
      <c r="AP26" s="26"/>
    </row>
    <row r="27" spans="3:42">
      <c r="C27" s="25" t="s">
        <v>48</v>
      </c>
      <c r="D27" s="34" t="s">
        <v>1</v>
      </c>
      <c r="E27" s="21" t="s">
        <v>83</v>
      </c>
      <c r="F27" s="193" t="s">
        <v>13</v>
      </c>
      <c r="G27" s="226"/>
      <c r="H27" s="21"/>
      <c r="I27" s="26"/>
      <c r="J27" s="226"/>
      <c r="K27" s="21"/>
      <c r="L27" s="31"/>
      <c r="M27" s="226"/>
      <c r="N27" s="21"/>
      <c r="O27" s="26"/>
      <c r="P27" s="226"/>
      <c r="Q27" s="21"/>
      <c r="R27" s="31"/>
      <c r="S27" s="226"/>
      <c r="T27" s="21"/>
      <c r="U27" s="26"/>
      <c r="V27" s="226"/>
      <c r="W27" s="21"/>
      <c r="X27" s="31"/>
      <c r="Y27" s="226"/>
      <c r="Z27" s="21"/>
      <c r="AA27" s="26"/>
      <c r="AB27" s="226"/>
      <c r="AC27" s="21"/>
      <c r="AD27" s="31"/>
      <c r="AE27" s="226"/>
      <c r="AF27" s="21"/>
      <c r="AG27" s="26"/>
      <c r="AH27" s="226"/>
      <c r="AI27" s="21"/>
      <c r="AJ27" s="31"/>
      <c r="AK27" s="226"/>
      <c r="AL27" s="21"/>
      <c r="AM27" s="26"/>
      <c r="AN27" s="226"/>
      <c r="AO27" s="21"/>
      <c r="AP27" s="26"/>
    </row>
    <row r="28" spans="3:42">
      <c r="C28" s="25" t="s">
        <v>48</v>
      </c>
      <c r="D28" s="34" t="s">
        <v>31</v>
      </c>
      <c r="E28" s="21"/>
      <c r="F28" s="193" t="s">
        <v>32</v>
      </c>
      <c r="G28" s="226"/>
      <c r="H28" s="21"/>
      <c r="I28" s="26"/>
      <c r="J28" s="226"/>
      <c r="K28" s="21"/>
      <c r="L28" s="31"/>
      <c r="M28" s="226"/>
      <c r="N28" s="21"/>
      <c r="O28" s="26"/>
      <c r="P28" s="226"/>
      <c r="Q28" s="21"/>
      <c r="R28" s="31"/>
      <c r="S28" s="226"/>
      <c r="T28" s="21"/>
      <c r="U28" s="26"/>
      <c r="V28" s="226"/>
      <c r="W28" s="21"/>
      <c r="X28" s="31"/>
      <c r="Y28" s="226"/>
      <c r="Z28" s="21"/>
      <c r="AA28" s="26"/>
      <c r="AB28" s="226"/>
      <c r="AC28" s="21"/>
      <c r="AD28" s="31"/>
      <c r="AE28" s="226"/>
      <c r="AF28" s="21"/>
      <c r="AG28" s="26"/>
      <c r="AH28" s="226"/>
      <c r="AI28" s="21"/>
      <c r="AJ28" s="31"/>
      <c r="AK28" s="226"/>
      <c r="AL28" s="21"/>
      <c r="AM28" s="26"/>
      <c r="AN28" s="226"/>
      <c r="AO28" s="21"/>
      <c r="AP28" s="26"/>
    </row>
    <row r="29" spans="3:42">
      <c r="C29" s="25" t="s">
        <v>48</v>
      </c>
      <c r="D29" s="34" t="s">
        <v>2</v>
      </c>
      <c r="E29" s="21" t="s">
        <v>83</v>
      </c>
      <c r="F29" s="193" t="s">
        <v>16</v>
      </c>
      <c r="G29" s="226"/>
      <c r="H29" s="21"/>
      <c r="I29" s="26"/>
      <c r="J29" s="226"/>
      <c r="K29" s="21"/>
      <c r="L29" s="31"/>
      <c r="M29" s="226"/>
      <c r="N29" s="21"/>
      <c r="O29" s="26"/>
      <c r="P29" s="226"/>
      <c r="Q29" s="21"/>
      <c r="R29" s="31"/>
      <c r="S29" s="226"/>
      <c r="T29" s="21"/>
      <c r="U29" s="26"/>
      <c r="V29" s="226"/>
      <c r="W29" s="21"/>
      <c r="X29" s="31"/>
      <c r="Y29" s="226"/>
      <c r="Z29" s="21"/>
      <c r="AA29" s="26"/>
      <c r="AB29" s="226"/>
      <c r="AC29" s="21"/>
      <c r="AD29" s="31"/>
      <c r="AE29" s="226"/>
      <c r="AF29" s="21"/>
      <c r="AG29" s="26"/>
      <c r="AH29" s="226"/>
      <c r="AI29" s="21"/>
      <c r="AJ29" s="31"/>
      <c r="AK29" s="226"/>
      <c r="AL29" s="21"/>
      <c r="AM29" s="26"/>
      <c r="AN29" s="226"/>
      <c r="AO29" s="21"/>
      <c r="AP29" s="26"/>
    </row>
    <row r="30" spans="3:42">
      <c r="C30" s="25" t="s">
        <v>48</v>
      </c>
      <c r="D30" s="34" t="s">
        <v>3</v>
      </c>
      <c r="E30" s="21" t="s">
        <v>83</v>
      </c>
      <c r="F30" s="193" t="s">
        <v>14</v>
      </c>
      <c r="G30" s="226"/>
      <c r="H30" s="21"/>
      <c r="I30" s="26"/>
      <c r="J30" s="226"/>
      <c r="K30" s="21"/>
      <c r="L30" s="31"/>
      <c r="M30" s="226"/>
      <c r="N30" s="21"/>
      <c r="O30" s="26"/>
      <c r="P30" s="226"/>
      <c r="Q30" s="21"/>
      <c r="R30" s="31"/>
      <c r="S30" s="226"/>
      <c r="T30" s="21"/>
      <c r="U30" s="26"/>
      <c r="V30" s="226"/>
      <c r="W30" s="21"/>
      <c r="X30" s="31"/>
      <c r="Y30" s="226"/>
      <c r="Z30" s="21"/>
      <c r="AA30" s="26"/>
      <c r="AB30" s="226"/>
      <c r="AC30" s="21"/>
      <c r="AD30" s="31"/>
      <c r="AE30" s="226"/>
      <c r="AF30" s="21"/>
      <c r="AG30" s="26"/>
      <c r="AH30" s="226"/>
      <c r="AI30" s="21"/>
      <c r="AJ30" s="31"/>
      <c r="AK30" s="226"/>
      <c r="AL30" s="21"/>
      <c r="AM30" s="26"/>
      <c r="AN30" s="226"/>
      <c r="AO30" s="21"/>
      <c r="AP30" s="26"/>
    </row>
    <row r="31" spans="3:42">
      <c r="C31" s="25" t="s">
        <v>48</v>
      </c>
      <c r="D31" s="34" t="s">
        <v>33</v>
      </c>
      <c r="E31" s="21" t="s">
        <v>83</v>
      </c>
      <c r="F31" s="193" t="s">
        <v>34</v>
      </c>
      <c r="G31" s="226"/>
      <c r="H31" s="21"/>
      <c r="I31" s="26"/>
      <c r="J31" s="226"/>
      <c r="K31" s="21"/>
      <c r="L31" s="31"/>
      <c r="M31" s="226"/>
      <c r="N31" s="21"/>
      <c r="O31" s="26"/>
      <c r="P31" s="226"/>
      <c r="Q31" s="21"/>
      <c r="R31" s="31"/>
      <c r="S31" s="226"/>
      <c r="T31" s="21"/>
      <c r="U31" s="26"/>
      <c r="V31" s="226"/>
      <c r="W31" s="21"/>
      <c r="X31" s="31"/>
      <c r="Y31" s="226"/>
      <c r="Z31" s="21"/>
      <c r="AA31" s="26"/>
      <c r="AB31" s="226"/>
      <c r="AC31" s="21"/>
      <c r="AD31" s="31"/>
      <c r="AE31" s="226"/>
      <c r="AF31" s="21"/>
      <c r="AG31" s="26"/>
      <c r="AH31" s="226"/>
      <c r="AI31" s="21"/>
      <c r="AJ31" s="31"/>
      <c r="AK31" s="226"/>
      <c r="AL31" s="21"/>
      <c r="AM31" s="26"/>
      <c r="AN31" s="226"/>
      <c r="AO31" s="21"/>
      <c r="AP31" s="26"/>
    </row>
    <row r="32" spans="3:42">
      <c r="C32" s="25" t="s">
        <v>48</v>
      </c>
      <c r="D32" s="34" t="s">
        <v>125</v>
      </c>
      <c r="E32" s="21"/>
      <c r="F32" s="193" t="s">
        <v>126</v>
      </c>
      <c r="G32" s="226"/>
      <c r="H32" s="21"/>
      <c r="I32" s="26"/>
      <c r="J32" s="226"/>
      <c r="K32" s="21"/>
      <c r="L32" s="31"/>
      <c r="M32" s="226"/>
      <c r="N32" s="21"/>
      <c r="O32" s="26"/>
      <c r="P32" s="226"/>
      <c r="Q32" s="21"/>
      <c r="R32" s="31"/>
      <c r="S32" s="226"/>
      <c r="T32" s="21"/>
      <c r="U32" s="26"/>
      <c r="V32" s="226"/>
      <c r="W32" s="21"/>
      <c r="X32" s="31"/>
      <c r="Y32" s="226"/>
      <c r="Z32" s="21"/>
      <c r="AA32" s="26"/>
      <c r="AB32" s="226"/>
      <c r="AC32" s="21"/>
      <c r="AD32" s="31"/>
      <c r="AE32" s="226"/>
      <c r="AF32" s="21"/>
      <c r="AG32" s="26"/>
      <c r="AH32" s="226"/>
      <c r="AI32" s="21"/>
      <c r="AJ32" s="31"/>
      <c r="AK32" s="226"/>
      <c r="AL32" s="21"/>
      <c r="AM32" s="26"/>
      <c r="AN32" s="226"/>
      <c r="AO32" s="21"/>
      <c r="AP32" s="26"/>
    </row>
    <row r="33" spans="2:42">
      <c r="C33" s="25" t="s">
        <v>48</v>
      </c>
      <c r="D33" s="34" t="s">
        <v>36</v>
      </c>
      <c r="E33" s="21"/>
      <c r="F33" s="193" t="s">
        <v>37</v>
      </c>
      <c r="G33" s="226"/>
      <c r="H33" s="21"/>
      <c r="I33" s="26"/>
      <c r="J33" s="226"/>
      <c r="K33" s="21"/>
      <c r="L33" s="31"/>
      <c r="M33" s="226"/>
      <c r="N33" s="21"/>
      <c r="O33" s="26"/>
      <c r="P33" s="226"/>
      <c r="Q33" s="21"/>
      <c r="R33" s="31"/>
      <c r="S33" s="226"/>
      <c r="T33" s="21"/>
      <c r="U33" s="26"/>
      <c r="V33" s="226"/>
      <c r="W33" s="21"/>
      <c r="X33" s="31"/>
      <c r="Y33" s="226"/>
      <c r="Z33" s="21"/>
      <c r="AA33" s="26"/>
      <c r="AB33" s="226"/>
      <c r="AC33" s="21"/>
      <c r="AD33" s="31"/>
      <c r="AE33" s="226"/>
      <c r="AF33" s="21"/>
      <c r="AG33" s="26"/>
      <c r="AH33" s="226"/>
      <c r="AI33" s="21"/>
      <c r="AJ33" s="31"/>
      <c r="AK33" s="226"/>
      <c r="AL33" s="21"/>
      <c r="AM33" s="26"/>
      <c r="AN33" s="226"/>
      <c r="AO33" s="21"/>
      <c r="AP33" s="26"/>
    </row>
    <row r="34" spans="2:42">
      <c r="C34" s="25" t="s">
        <v>48</v>
      </c>
      <c r="D34" s="34" t="s">
        <v>38</v>
      </c>
      <c r="E34" s="21"/>
      <c r="F34" s="193" t="s">
        <v>39</v>
      </c>
      <c r="G34" s="226"/>
      <c r="H34" s="21"/>
      <c r="I34" s="26"/>
      <c r="J34" s="226"/>
      <c r="K34" s="21"/>
      <c r="L34" s="31"/>
      <c r="M34" s="226"/>
      <c r="N34" s="21"/>
      <c r="O34" s="26"/>
      <c r="P34" s="226"/>
      <c r="Q34" s="21"/>
      <c r="R34" s="31"/>
      <c r="S34" s="226"/>
      <c r="T34" s="21"/>
      <c r="U34" s="26"/>
      <c r="V34" s="226"/>
      <c r="W34" s="21"/>
      <c r="X34" s="31"/>
      <c r="Y34" s="226"/>
      <c r="Z34" s="21"/>
      <c r="AA34" s="26"/>
      <c r="AB34" s="226"/>
      <c r="AC34" s="21"/>
      <c r="AD34" s="31"/>
      <c r="AE34" s="226"/>
      <c r="AF34" s="21"/>
      <c r="AG34" s="26"/>
      <c r="AH34" s="226"/>
      <c r="AI34" s="21"/>
      <c r="AJ34" s="31"/>
      <c r="AK34" s="226"/>
      <c r="AL34" s="21"/>
      <c r="AM34" s="26"/>
      <c r="AN34" s="226"/>
      <c r="AO34" s="21"/>
      <c r="AP34" s="26"/>
    </row>
    <row r="35" spans="2:42" ht="14.25" thickBot="1">
      <c r="C35" s="27"/>
      <c r="D35" s="35"/>
      <c r="E35" s="28"/>
      <c r="F35" s="194"/>
      <c r="G35" s="227"/>
      <c r="H35" s="28"/>
      <c r="I35" s="29"/>
      <c r="J35" s="227"/>
      <c r="K35" s="28"/>
      <c r="L35" s="32"/>
      <c r="M35" s="227"/>
      <c r="N35" s="28"/>
      <c r="O35" s="29"/>
      <c r="P35" s="227"/>
      <c r="Q35" s="28"/>
      <c r="R35" s="32"/>
      <c r="S35" s="227"/>
      <c r="T35" s="28"/>
      <c r="U35" s="29"/>
      <c r="V35" s="227"/>
      <c r="W35" s="28"/>
      <c r="X35" s="32"/>
      <c r="Y35" s="227"/>
      <c r="Z35" s="28"/>
      <c r="AA35" s="29"/>
      <c r="AB35" s="227"/>
      <c r="AC35" s="28"/>
      <c r="AD35" s="32"/>
      <c r="AE35" s="227"/>
      <c r="AF35" s="28"/>
      <c r="AG35" s="29"/>
      <c r="AH35" s="227"/>
      <c r="AI35" s="28"/>
      <c r="AJ35" s="32"/>
      <c r="AK35" s="227"/>
      <c r="AL35" s="28"/>
      <c r="AM35" s="29"/>
      <c r="AN35" s="227"/>
      <c r="AO35" s="28"/>
      <c r="AP35" s="29"/>
    </row>
    <row r="37" spans="2:42">
      <c r="C37" t="s">
        <v>180</v>
      </c>
    </row>
    <row r="38" spans="2:42" ht="14.25" thickBot="1"/>
    <row r="39" spans="2:42" ht="14.25" thickBot="1">
      <c r="C39" s="355" t="s">
        <v>169</v>
      </c>
      <c r="D39" s="356"/>
      <c r="E39" s="356"/>
      <c r="F39" s="356"/>
      <c r="G39" s="352" t="s">
        <v>54</v>
      </c>
      <c r="H39" s="353"/>
      <c r="I39" s="351"/>
      <c r="J39" s="349" t="s">
        <v>55</v>
      </c>
      <c r="K39" s="350"/>
      <c r="L39" s="354"/>
      <c r="M39" s="352" t="s">
        <v>53</v>
      </c>
      <c r="N39" s="353"/>
      <c r="O39" s="351"/>
      <c r="P39" s="349" t="s">
        <v>56</v>
      </c>
      <c r="Q39" s="350"/>
      <c r="R39" s="354"/>
      <c r="S39" s="352" t="s">
        <v>57</v>
      </c>
      <c r="T39" s="353"/>
      <c r="U39" s="351"/>
      <c r="V39" s="349" t="s">
        <v>58</v>
      </c>
      <c r="W39" s="350"/>
      <c r="X39" s="354"/>
      <c r="Y39" s="352" t="s">
        <v>59</v>
      </c>
      <c r="Z39" s="353"/>
      <c r="AA39" s="351"/>
      <c r="AB39" s="349" t="s">
        <v>60</v>
      </c>
      <c r="AC39" s="350"/>
      <c r="AD39" s="354"/>
      <c r="AE39" s="352" t="s">
        <v>61</v>
      </c>
      <c r="AF39" s="353"/>
      <c r="AG39" s="351"/>
      <c r="AH39" s="349" t="s">
        <v>62</v>
      </c>
      <c r="AI39" s="350"/>
      <c r="AJ39" s="354"/>
      <c r="AK39" s="352" t="s">
        <v>63</v>
      </c>
      <c r="AL39" s="353"/>
      <c r="AM39" s="351"/>
      <c r="AN39" s="349" t="s">
        <v>64</v>
      </c>
      <c r="AO39" s="350"/>
      <c r="AP39" s="351"/>
    </row>
    <row r="40" spans="2:42" ht="14.25" thickBot="1">
      <c r="B40" s="280" t="s">
        <v>216</v>
      </c>
      <c r="C40" s="281" t="s">
        <v>178</v>
      </c>
      <c r="D40" s="198" t="s">
        <v>156</v>
      </c>
      <c r="E40" s="199" t="s">
        <v>167</v>
      </c>
      <c r="F40" s="282" t="s">
        <v>168</v>
      </c>
      <c r="G40" s="183" t="s">
        <v>6</v>
      </c>
      <c r="H40" s="184" t="s">
        <v>7</v>
      </c>
      <c r="I40" s="185" t="s">
        <v>8</v>
      </c>
      <c r="J40" s="186" t="s">
        <v>6</v>
      </c>
      <c r="K40" s="184" t="s">
        <v>7</v>
      </c>
      <c r="L40" s="187" t="s">
        <v>8</v>
      </c>
      <c r="M40" s="183" t="s">
        <v>6</v>
      </c>
      <c r="N40" s="184" t="s">
        <v>7</v>
      </c>
      <c r="O40" s="185" t="s">
        <v>8</v>
      </c>
      <c r="P40" s="186" t="s">
        <v>6</v>
      </c>
      <c r="Q40" s="184" t="s">
        <v>7</v>
      </c>
      <c r="R40" s="187" t="s">
        <v>8</v>
      </c>
      <c r="S40" s="183" t="s">
        <v>6</v>
      </c>
      <c r="T40" s="184" t="s">
        <v>7</v>
      </c>
      <c r="U40" s="185" t="s">
        <v>8</v>
      </c>
      <c r="V40" s="186" t="s">
        <v>6</v>
      </c>
      <c r="W40" s="184" t="s">
        <v>7</v>
      </c>
      <c r="X40" s="187" t="s">
        <v>8</v>
      </c>
      <c r="Y40" s="183" t="s">
        <v>6</v>
      </c>
      <c r="Z40" s="184" t="s">
        <v>7</v>
      </c>
      <c r="AA40" s="185" t="s">
        <v>8</v>
      </c>
      <c r="AB40" s="186" t="s">
        <v>6</v>
      </c>
      <c r="AC40" s="184" t="s">
        <v>7</v>
      </c>
      <c r="AD40" s="187" t="s">
        <v>8</v>
      </c>
      <c r="AE40" s="183" t="s">
        <v>6</v>
      </c>
      <c r="AF40" s="184" t="s">
        <v>7</v>
      </c>
      <c r="AG40" s="185" t="s">
        <v>8</v>
      </c>
      <c r="AH40" s="186" t="s">
        <v>6</v>
      </c>
      <c r="AI40" s="184" t="s">
        <v>7</v>
      </c>
      <c r="AJ40" s="187" t="s">
        <v>8</v>
      </c>
      <c r="AK40" s="183" t="s">
        <v>6</v>
      </c>
      <c r="AL40" s="184" t="s">
        <v>7</v>
      </c>
      <c r="AM40" s="185" t="s">
        <v>8</v>
      </c>
      <c r="AN40" s="186" t="s">
        <v>6</v>
      </c>
      <c r="AO40" s="184" t="s">
        <v>7</v>
      </c>
      <c r="AP40" s="185" t="s">
        <v>8</v>
      </c>
    </row>
    <row r="41" spans="2:42">
      <c r="B41" s="241" t="s">
        <v>47</v>
      </c>
      <c r="C41" s="243" t="s">
        <v>157</v>
      </c>
      <c r="D41" s="243"/>
      <c r="E41" s="243"/>
      <c r="F41" s="283"/>
      <c r="G41" s="289"/>
      <c r="H41" s="243"/>
      <c r="I41" s="244"/>
      <c r="J41" s="286"/>
      <c r="K41" s="243"/>
      <c r="L41" s="283"/>
      <c r="M41" s="289"/>
      <c r="N41" s="243"/>
      <c r="O41" s="244"/>
      <c r="P41" s="286"/>
      <c r="Q41" s="243"/>
      <c r="R41" s="283"/>
      <c r="S41" s="289"/>
      <c r="T41" s="243"/>
      <c r="U41" s="244"/>
      <c r="V41" s="286"/>
      <c r="W41" s="243"/>
      <c r="X41" s="283"/>
      <c r="Y41" s="289"/>
      <c r="Z41" s="243"/>
      <c r="AA41" s="244"/>
      <c r="AB41" s="286"/>
      <c r="AC41" s="243"/>
      <c r="AD41" s="283"/>
      <c r="AE41" s="289"/>
      <c r="AF41" s="243"/>
      <c r="AG41" s="244"/>
      <c r="AH41" s="286"/>
      <c r="AI41" s="243"/>
      <c r="AJ41" s="283"/>
      <c r="AK41" s="289"/>
      <c r="AL41" s="243"/>
      <c r="AM41" s="244"/>
      <c r="AN41" s="286"/>
      <c r="AO41" s="243"/>
      <c r="AP41" s="244"/>
    </row>
    <row r="42" spans="2:42">
      <c r="B42" s="245" t="s">
        <v>172</v>
      </c>
      <c r="C42" s="242" t="s">
        <v>157</v>
      </c>
      <c r="D42" s="242"/>
      <c r="E42" s="242"/>
      <c r="F42" s="284"/>
      <c r="G42" s="290"/>
      <c r="H42" s="242"/>
      <c r="I42" s="246"/>
      <c r="J42" s="287"/>
      <c r="K42" s="242"/>
      <c r="L42" s="284"/>
      <c r="M42" s="290"/>
      <c r="N42" s="242"/>
      <c r="O42" s="246"/>
      <c r="P42" s="287"/>
      <c r="Q42" s="242"/>
      <c r="R42" s="284"/>
      <c r="S42" s="290"/>
      <c r="T42" s="242"/>
      <c r="U42" s="246"/>
      <c r="V42" s="287"/>
      <c r="W42" s="242"/>
      <c r="X42" s="284"/>
      <c r="Y42" s="290"/>
      <c r="Z42" s="242"/>
      <c r="AA42" s="246"/>
      <c r="AB42" s="287"/>
      <c r="AC42" s="242"/>
      <c r="AD42" s="284"/>
      <c r="AE42" s="290"/>
      <c r="AF42" s="242"/>
      <c r="AG42" s="246"/>
      <c r="AH42" s="287"/>
      <c r="AI42" s="242"/>
      <c r="AJ42" s="284"/>
      <c r="AK42" s="290"/>
      <c r="AL42" s="242"/>
      <c r="AM42" s="246"/>
      <c r="AN42" s="287"/>
      <c r="AO42" s="242"/>
      <c r="AP42" s="246"/>
    </row>
    <row r="43" spans="2:42" ht="14.25" thickBot="1">
      <c r="B43" s="247" t="s">
        <v>48</v>
      </c>
      <c r="C43" s="248" t="s">
        <v>157</v>
      </c>
      <c r="D43" s="248"/>
      <c r="E43" s="248"/>
      <c r="F43" s="285"/>
      <c r="G43" s="291"/>
      <c r="H43" s="248"/>
      <c r="I43" s="249"/>
      <c r="J43" s="288"/>
      <c r="K43" s="248"/>
      <c r="L43" s="285"/>
      <c r="M43" s="291"/>
      <c r="N43" s="248"/>
      <c r="O43" s="249"/>
      <c r="P43" s="288"/>
      <c r="Q43" s="248"/>
      <c r="R43" s="285"/>
      <c r="S43" s="291"/>
      <c r="T43" s="248"/>
      <c r="U43" s="249"/>
      <c r="V43" s="288"/>
      <c r="W43" s="248"/>
      <c r="X43" s="285"/>
      <c r="Y43" s="291"/>
      <c r="Z43" s="248"/>
      <c r="AA43" s="249"/>
      <c r="AB43" s="288"/>
      <c r="AC43" s="248"/>
      <c r="AD43" s="285"/>
      <c r="AE43" s="291"/>
      <c r="AF43" s="248"/>
      <c r="AG43" s="249"/>
      <c r="AH43" s="288"/>
      <c r="AI43" s="248"/>
      <c r="AJ43" s="285"/>
      <c r="AK43" s="291"/>
      <c r="AL43" s="248"/>
      <c r="AM43" s="249"/>
      <c r="AN43" s="288"/>
      <c r="AO43" s="248"/>
      <c r="AP43" s="249"/>
    </row>
  </sheetData>
  <mergeCells count="25">
    <mergeCell ref="AK39:AM39"/>
    <mergeCell ref="AN39:AP39"/>
    <mergeCell ref="AK6:AM6"/>
    <mergeCell ref="AN6:AP6"/>
    <mergeCell ref="M39:O39"/>
    <mergeCell ref="P39:R39"/>
    <mergeCell ref="S39:U39"/>
    <mergeCell ref="AE39:AG39"/>
    <mergeCell ref="AH39:AJ39"/>
    <mergeCell ref="C39:F39"/>
    <mergeCell ref="AB6:AD6"/>
    <mergeCell ref="AE6:AG6"/>
    <mergeCell ref="AH6:AJ6"/>
    <mergeCell ref="AB39:AD39"/>
    <mergeCell ref="G6:I6"/>
    <mergeCell ref="J6:L6"/>
    <mergeCell ref="M6:O6"/>
    <mergeCell ref="P6:R6"/>
    <mergeCell ref="V39:X39"/>
    <mergeCell ref="Y39:AA39"/>
    <mergeCell ref="S6:U6"/>
    <mergeCell ref="V6:X6"/>
    <mergeCell ref="Y6:AA6"/>
    <mergeCell ref="G39:I39"/>
    <mergeCell ref="J39:L39"/>
  </mergeCells>
  <phoneticPr fontId="9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P48"/>
  <sheetViews>
    <sheetView showGridLines="0" zoomScale="85" zoomScaleNormal="85" workbookViewId="0">
      <selection activeCell="P2" sqref="P2:P3"/>
    </sheetView>
  </sheetViews>
  <sheetFormatPr defaultRowHeight="13.5"/>
  <cols>
    <col min="1" max="1" width="4.5" customWidth="1"/>
    <col min="3" max="3" width="14.875" customWidth="1"/>
    <col min="5" max="5" width="10.25" customWidth="1"/>
    <col min="6" max="6" width="18.375" customWidth="1"/>
  </cols>
  <sheetData>
    <row r="2" spans="2:42" ht="17.25">
      <c r="B2" s="41" t="s">
        <v>181</v>
      </c>
    </row>
    <row r="3" spans="2:42" ht="7.5" customHeight="1">
      <c r="B3" s="41"/>
    </row>
    <row r="4" spans="2:42" ht="17.25">
      <c r="C4" s="41"/>
      <c r="D4" s="41"/>
      <c r="E4" s="41"/>
      <c r="G4" s="14" t="s">
        <v>221</v>
      </c>
    </row>
    <row r="5" spans="2:42" ht="14.25" thickBot="1"/>
    <row r="6" spans="2:42" ht="14.25" thickBot="1">
      <c r="G6" s="352" t="s">
        <v>54</v>
      </c>
      <c r="H6" s="353"/>
      <c r="I6" s="351"/>
      <c r="J6" s="349" t="s">
        <v>55</v>
      </c>
      <c r="K6" s="350"/>
      <c r="L6" s="354"/>
      <c r="M6" s="352" t="s">
        <v>53</v>
      </c>
      <c r="N6" s="353"/>
      <c r="O6" s="351"/>
      <c r="P6" s="349" t="s">
        <v>56</v>
      </c>
      <c r="Q6" s="350"/>
      <c r="R6" s="354"/>
      <c r="S6" s="352" t="s">
        <v>57</v>
      </c>
      <c r="T6" s="353"/>
      <c r="U6" s="351"/>
      <c r="V6" s="349" t="s">
        <v>58</v>
      </c>
      <c r="W6" s="350"/>
      <c r="X6" s="354"/>
      <c r="Y6" s="352" t="s">
        <v>59</v>
      </c>
      <c r="Z6" s="353"/>
      <c r="AA6" s="351"/>
      <c r="AB6" s="349" t="s">
        <v>60</v>
      </c>
      <c r="AC6" s="350"/>
      <c r="AD6" s="354"/>
      <c r="AE6" s="352" t="s">
        <v>61</v>
      </c>
      <c r="AF6" s="353"/>
      <c r="AG6" s="351"/>
      <c r="AH6" s="349" t="s">
        <v>62</v>
      </c>
      <c r="AI6" s="350"/>
      <c r="AJ6" s="354"/>
      <c r="AK6" s="352" t="s">
        <v>63</v>
      </c>
      <c r="AL6" s="353"/>
      <c r="AM6" s="351"/>
      <c r="AN6" s="349" t="s">
        <v>64</v>
      </c>
      <c r="AO6" s="350"/>
      <c r="AP6" s="351"/>
    </row>
    <row r="7" spans="2:42" ht="24.75" thickBot="1">
      <c r="B7" s="60" t="s">
        <v>174</v>
      </c>
      <c r="C7" s="61" t="s">
        <v>18</v>
      </c>
      <c r="D7" s="61" t="s">
        <v>175</v>
      </c>
      <c r="E7" s="61" t="s">
        <v>84</v>
      </c>
      <c r="F7" s="62" t="s">
        <v>23</v>
      </c>
      <c r="G7" s="63" t="s">
        <v>6</v>
      </c>
      <c r="H7" s="64" t="s">
        <v>7</v>
      </c>
      <c r="I7" s="65" t="s">
        <v>8</v>
      </c>
      <c r="J7" s="66" t="s">
        <v>6</v>
      </c>
      <c r="K7" s="64" t="s">
        <v>7</v>
      </c>
      <c r="L7" s="67" t="s">
        <v>8</v>
      </c>
      <c r="M7" s="63" t="s">
        <v>6</v>
      </c>
      <c r="N7" s="64" t="s">
        <v>7</v>
      </c>
      <c r="O7" s="65" t="s">
        <v>8</v>
      </c>
      <c r="P7" s="66" t="s">
        <v>6</v>
      </c>
      <c r="Q7" s="64" t="s">
        <v>7</v>
      </c>
      <c r="R7" s="67" t="s">
        <v>8</v>
      </c>
      <c r="S7" s="63" t="s">
        <v>6</v>
      </c>
      <c r="T7" s="64" t="s">
        <v>7</v>
      </c>
      <c r="U7" s="65" t="s">
        <v>8</v>
      </c>
      <c r="V7" s="66" t="s">
        <v>6</v>
      </c>
      <c r="W7" s="64" t="s">
        <v>7</v>
      </c>
      <c r="X7" s="67" t="s">
        <v>8</v>
      </c>
      <c r="Y7" s="63" t="s">
        <v>6</v>
      </c>
      <c r="Z7" s="64" t="s">
        <v>7</v>
      </c>
      <c r="AA7" s="65" t="s">
        <v>8</v>
      </c>
      <c r="AB7" s="66" t="s">
        <v>6</v>
      </c>
      <c r="AC7" s="64" t="s">
        <v>7</v>
      </c>
      <c r="AD7" s="67" t="s">
        <v>8</v>
      </c>
      <c r="AE7" s="63" t="s">
        <v>6</v>
      </c>
      <c r="AF7" s="64" t="s">
        <v>7</v>
      </c>
      <c r="AG7" s="65" t="s">
        <v>8</v>
      </c>
      <c r="AH7" s="66" t="s">
        <v>6</v>
      </c>
      <c r="AI7" s="64" t="s">
        <v>7</v>
      </c>
      <c r="AJ7" s="67" t="s">
        <v>8</v>
      </c>
      <c r="AK7" s="63" t="s">
        <v>6</v>
      </c>
      <c r="AL7" s="64" t="s">
        <v>7</v>
      </c>
      <c r="AM7" s="65" t="s">
        <v>8</v>
      </c>
      <c r="AN7" s="66" t="s">
        <v>6</v>
      </c>
      <c r="AO7" s="64" t="s">
        <v>7</v>
      </c>
      <c r="AP7" s="65" t="s">
        <v>8</v>
      </c>
    </row>
    <row r="8" spans="2:42">
      <c r="B8" s="22" t="s">
        <v>176</v>
      </c>
      <c r="C8" s="23" t="s">
        <v>0</v>
      </c>
      <c r="D8" s="30" t="s">
        <v>159</v>
      </c>
      <c r="E8" s="30" t="s">
        <v>83</v>
      </c>
      <c r="F8" s="30" t="s">
        <v>12</v>
      </c>
      <c r="G8" s="224"/>
      <c r="H8" s="23"/>
      <c r="I8" s="24"/>
      <c r="J8" s="224"/>
      <c r="K8" s="23"/>
      <c r="L8" s="30"/>
      <c r="M8" s="224"/>
      <c r="N8" s="23"/>
      <c r="O8" s="24"/>
      <c r="P8" s="224"/>
      <c r="Q8" s="23"/>
      <c r="R8" s="30"/>
      <c r="S8" s="224"/>
      <c r="T8" s="23"/>
      <c r="U8" s="24"/>
      <c r="V8" s="224"/>
      <c r="W8" s="23"/>
      <c r="X8" s="30"/>
      <c r="Y8" s="224"/>
      <c r="Z8" s="23"/>
      <c r="AA8" s="24"/>
      <c r="AB8" s="224"/>
      <c r="AC8" s="23"/>
      <c r="AD8" s="30"/>
      <c r="AE8" s="224"/>
      <c r="AF8" s="23"/>
      <c r="AG8" s="24"/>
      <c r="AH8" s="224"/>
      <c r="AI8" s="23"/>
      <c r="AJ8" s="30"/>
      <c r="AK8" s="224"/>
      <c r="AL8" s="23"/>
      <c r="AM8" s="24"/>
      <c r="AN8" s="224"/>
      <c r="AO8" s="23"/>
      <c r="AP8" s="24"/>
    </row>
    <row r="9" spans="2:42">
      <c r="B9" s="36" t="s">
        <v>26</v>
      </c>
      <c r="C9" s="37" t="s">
        <v>1</v>
      </c>
      <c r="D9" s="38" t="s">
        <v>159</v>
      </c>
      <c r="E9" s="38" t="s">
        <v>83</v>
      </c>
      <c r="F9" s="38" t="s">
        <v>13</v>
      </c>
      <c r="G9" s="225"/>
      <c r="H9" s="37"/>
      <c r="I9" s="39"/>
      <c r="J9" s="225"/>
      <c r="K9" s="37"/>
      <c r="L9" s="38"/>
      <c r="M9" s="225"/>
      <c r="N9" s="37"/>
      <c r="O9" s="39"/>
      <c r="P9" s="225"/>
      <c r="Q9" s="37"/>
      <c r="R9" s="38"/>
      <c r="S9" s="225"/>
      <c r="T9" s="37"/>
      <c r="U9" s="39"/>
      <c r="V9" s="225"/>
      <c r="W9" s="37"/>
      <c r="X9" s="38"/>
      <c r="Y9" s="225"/>
      <c r="Z9" s="37"/>
      <c r="AA9" s="39"/>
      <c r="AB9" s="225"/>
      <c r="AC9" s="37"/>
      <c r="AD9" s="38"/>
      <c r="AE9" s="225"/>
      <c r="AF9" s="37"/>
      <c r="AG9" s="39"/>
      <c r="AH9" s="225"/>
      <c r="AI9" s="37"/>
      <c r="AJ9" s="38"/>
      <c r="AK9" s="225"/>
      <c r="AL9" s="37"/>
      <c r="AM9" s="39"/>
      <c r="AN9" s="225"/>
      <c r="AO9" s="37"/>
      <c r="AP9" s="39"/>
    </row>
    <row r="10" spans="2:42">
      <c r="B10" s="36" t="s">
        <v>26</v>
      </c>
      <c r="C10" s="37" t="s">
        <v>31</v>
      </c>
      <c r="D10" s="38" t="s">
        <v>159</v>
      </c>
      <c r="E10" s="38"/>
      <c r="F10" s="38" t="s">
        <v>32</v>
      </c>
      <c r="G10" s="225"/>
      <c r="H10" s="37"/>
      <c r="I10" s="39"/>
      <c r="J10" s="225"/>
      <c r="K10" s="37"/>
      <c r="L10" s="38"/>
      <c r="M10" s="225"/>
      <c r="N10" s="37"/>
      <c r="O10" s="39"/>
      <c r="P10" s="225"/>
      <c r="Q10" s="37"/>
      <c r="R10" s="38"/>
      <c r="S10" s="225"/>
      <c r="T10" s="37"/>
      <c r="U10" s="39"/>
      <c r="V10" s="225"/>
      <c r="W10" s="37"/>
      <c r="X10" s="38"/>
      <c r="Y10" s="225"/>
      <c r="Z10" s="37"/>
      <c r="AA10" s="39"/>
      <c r="AB10" s="225"/>
      <c r="AC10" s="37"/>
      <c r="AD10" s="38"/>
      <c r="AE10" s="225"/>
      <c r="AF10" s="37"/>
      <c r="AG10" s="39"/>
      <c r="AH10" s="225"/>
      <c r="AI10" s="37"/>
      <c r="AJ10" s="38"/>
      <c r="AK10" s="225"/>
      <c r="AL10" s="37"/>
      <c r="AM10" s="39"/>
      <c r="AN10" s="225"/>
      <c r="AO10" s="37"/>
      <c r="AP10" s="39"/>
    </row>
    <row r="11" spans="2:42">
      <c r="B11" s="36" t="s">
        <v>26</v>
      </c>
      <c r="C11" s="37" t="s">
        <v>2</v>
      </c>
      <c r="D11" s="38" t="s">
        <v>159</v>
      </c>
      <c r="E11" s="38" t="s">
        <v>83</v>
      </c>
      <c r="F11" s="38" t="s">
        <v>16</v>
      </c>
      <c r="G11" s="225"/>
      <c r="H11" s="37"/>
      <c r="I11" s="39"/>
      <c r="J11" s="225"/>
      <c r="K11" s="37"/>
      <c r="L11" s="38"/>
      <c r="M11" s="225"/>
      <c r="N11" s="37"/>
      <c r="O11" s="39"/>
      <c r="P11" s="225"/>
      <c r="Q11" s="37"/>
      <c r="R11" s="38"/>
      <c r="S11" s="225"/>
      <c r="T11" s="37"/>
      <c r="U11" s="39"/>
      <c r="V11" s="225"/>
      <c r="W11" s="37"/>
      <c r="X11" s="38"/>
      <c r="Y11" s="225"/>
      <c r="Z11" s="37"/>
      <c r="AA11" s="39"/>
      <c r="AB11" s="225"/>
      <c r="AC11" s="37"/>
      <c r="AD11" s="38"/>
      <c r="AE11" s="225"/>
      <c r="AF11" s="37"/>
      <c r="AG11" s="39"/>
      <c r="AH11" s="225"/>
      <c r="AI11" s="37"/>
      <c r="AJ11" s="38"/>
      <c r="AK11" s="225"/>
      <c r="AL11" s="37"/>
      <c r="AM11" s="39"/>
      <c r="AN11" s="225"/>
      <c r="AO11" s="37"/>
      <c r="AP11" s="39"/>
    </row>
    <row r="12" spans="2:42">
      <c r="B12" s="36" t="s">
        <v>26</v>
      </c>
      <c r="C12" s="37" t="s">
        <v>3</v>
      </c>
      <c r="D12" s="38" t="s">
        <v>159</v>
      </c>
      <c r="E12" s="38" t="s">
        <v>83</v>
      </c>
      <c r="F12" s="38" t="s">
        <v>14</v>
      </c>
      <c r="G12" s="225"/>
      <c r="H12" s="37"/>
      <c r="I12" s="39"/>
      <c r="J12" s="225"/>
      <c r="K12" s="37"/>
      <c r="L12" s="38"/>
      <c r="M12" s="225"/>
      <c r="N12" s="37"/>
      <c r="O12" s="39"/>
      <c r="P12" s="225"/>
      <c r="Q12" s="37"/>
      <c r="R12" s="38"/>
      <c r="S12" s="225"/>
      <c r="T12" s="37"/>
      <c r="U12" s="39"/>
      <c r="V12" s="225"/>
      <c r="W12" s="37"/>
      <c r="X12" s="38"/>
      <c r="Y12" s="225"/>
      <c r="Z12" s="37"/>
      <c r="AA12" s="39"/>
      <c r="AB12" s="225"/>
      <c r="AC12" s="37"/>
      <c r="AD12" s="38"/>
      <c r="AE12" s="225"/>
      <c r="AF12" s="37"/>
      <c r="AG12" s="39"/>
      <c r="AH12" s="225"/>
      <c r="AI12" s="37"/>
      <c r="AJ12" s="38"/>
      <c r="AK12" s="225"/>
      <c r="AL12" s="37"/>
      <c r="AM12" s="39"/>
      <c r="AN12" s="225"/>
      <c r="AO12" s="37"/>
      <c r="AP12" s="39"/>
    </row>
    <row r="13" spans="2:42">
      <c r="B13" s="36" t="s">
        <v>26</v>
      </c>
      <c r="C13" s="37" t="s">
        <v>33</v>
      </c>
      <c r="D13" s="38" t="s">
        <v>159</v>
      </c>
      <c r="E13" s="38" t="s">
        <v>83</v>
      </c>
      <c r="F13" s="38" t="s">
        <v>34</v>
      </c>
      <c r="G13" s="225"/>
      <c r="H13" s="37"/>
      <c r="I13" s="39"/>
      <c r="J13" s="225"/>
      <c r="K13" s="37"/>
      <c r="L13" s="38"/>
      <c r="M13" s="225"/>
      <c r="N13" s="37"/>
      <c r="O13" s="39"/>
      <c r="P13" s="225"/>
      <c r="Q13" s="37"/>
      <c r="R13" s="38"/>
      <c r="S13" s="225"/>
      <c r="T13" s="37"/>
      <c r="U13" s="39"/>
      <c r="V13" s="225"/>
      <c r="W13" s="37"/>
      <c r="X13" s="38"/>
      <c r="Y13" s="225"/>
      <c r="Z13" s="37"/>
      <c r="AA13" s="39"/>
      <c r="AB13" s="225"/>
      <c r="AC13" s="37"/>
      <c r="AD13" s="38"/>
      <c r="AE13" s="225"/>
      <c r="AF13" s="37"/>
      <c r="AG13" s="39"/>
      <c r="AH13" s="225"/>
      <c r="AI13" s="37"/>
      <c r="AJ13" s="38"/>
      <c r="AK13" s="225"/>
      <c r="AL13" s="37"/>
      <c r="AM13" s="39"/>
      <c r="AN13" s="225"/>
      <c r="AO13" s="37"/>
      <c r="AP13" s="39"/>
    </row>
    <row r="14" spans="2:42">
      <c r="B14" s="36" t="s">
        <v>26</v>
      </c>
      <c r="C14" s="37" t="s">
        <v>125</v>
      </c>
      <c r="D14" s="38" t="s">
        <v>159</v>
      </c>
      <c r="E14" s="38"/>
      <c r="F14" s="38" t="s">
        <v>126</v>
      </c>
      <c r="G14" s="225"/>
      <c r="H14" s="37"/>
      <c r="I14" s="39"/>
      <c r="J14" s="225"/>
      <c r="K14" s="37"/>
      <c r="L14" s="38"/>
      <c r="M14" s="225"/>
      <c r="N14" s="37"/>
      <c r="O14" s="39"/>
      <c r="P14" s="225"/>
      <c r="Q14" s="37"/>
      <c r="R14" s="38"/>
      <c r="S14" s="225"/>
      <c r="T14" s="37"/>
      <c r="U14" s="39"/>
      <c r="V14" s="225"/>
      <c r="W14" s="37"/>
      <c r="X14" s="38"/>
      <c r="Y14" s="225"/>
      <c r="Z14" s="37"/>
      <c r="AA14" s="39"/>
      <c r="AB14" s="225"/>
      <c r="AC14" s="37"/>
      <c r="AD14" s="38"/>
      <c r="AE14" s="225"/>
      <c r="AF14" s="37"/>
      <c r="AG14" s="39"/>
      <c r="AH14" s="225"/>
      <c r="AI14" s="37"/>
      <c r="AJ14" s="38"/>
      <c r="AK14" s="225"/>
      <c r="AL14" s="37"/>
      <c r="AM14" s="39"/>
      <c r="AN14" s="225"/>
      <c r="AO14" s="37"/>
      <c r="AP14" s="39"/>
    </row>
    <row r="15" spans="2:42">
      <c r="B15" s="36" t="s">
        <v>26</v>
      </c>
      <c r="C15" s="21" t="s">
        <v>36</v>
      </c>
      <c r="D15" s="31" t="s">
        <v>159</v>
      </c>
      <c r="E15" s="31"/>
      <c r="F15" s="31" t="s">
        <v>37</v>
      </c>
      <c r="G15" s="226"/>
      <c r="H15" s="21"/>
      <c r="I15" s="26"/>
      <c r="J15" s="226"/>
      <c r="K15" s="21"/>
      <c r="L15" s="31"/>
      <c r="M15" s="226"/>
      <c r="N15" s="21"/>
      <c r="O15" s="26"/>
      <c r="P15" s="226"/>
      <c r="Q15" s="21"/>
      <c r="R15" s="31"/>
      <c r="S15" s="226"/>
      <c r="T15" s="21"/>
      <c r="U15" s="26"/>
      <c r="V15" s="226"/>
      <c r="W15" s="21"/>
      <c r="X15" s="31"/>
      <c r="Y15" s="226"/>
      <c r="Z15" s="21"/>
      <c r="AA15" s="26"/>
      <c r="AB15" s="226"/>
      <c r="AC15" s="21"/>
      <c r="AD15" s="31"/>
      <c r="AE15" s="226"/>
      <c r="AF15" s="21"/>
      <c r="AG15" s="26"/>
      <c r="AH15" s="226"/>
      <c r="AI15" s="21"/>
      <c r="AJ15" s="31"/>
      <c r="AK15" s="226"/>
      <c r="AL15" s="21"/>
      <c r="AM15" s="26"/>
      <c r="AN15" s="226"/>
      <c r="AO15" s="21"/>
      <c r="AP15" s="26"/>
    </row>
    <row r="16" spans="2:42">
      <c r="B16" s="36" t="s">
        <v>26</v>
      </c>
      <c r="C16" s="21" t="s">
        <v>38</v>
      </c>
      <c r="D16" s="31" t="s">
        <v>159</v>
      </c>
      <c r="E16" s="31"/>
      <c r="F16" s="31" t="s">
        <v>39</v>
      </c>
      <c r="G16" s="226"/>
      <c r="H16" s="21"/>
      <c r="I16" s="26"/>
      <c r="J16" s="226"/>
      <c r="K16" s="21"/>
      <c r="L16" s="31"/>
      <c r="M16" s="226"/>
      <c r="N16" s="21"/>
      <c r="O16" s="26"/>
      <c r="P16" s="226"/>
      <c r="Q16" s="21"/>
      <c r="R16" s="31"/>
      <c r="S16" s="226"/>
      <c r="T16" s="21"/>
      <c r="U16" s="26"/>
      <c r="V16" s="226"/>
      <c r="W16" s="21"/>
      <c r="X16" s="31"/>
      <c r="Y16" s="226"/>
      <c r="Z16" s="21"/>
      <c r="AA16" s="26"/>
      <c r="AB16" s="226"/>
      <c r="AC16" s="21"/>
      <c r="AD16" s="31"/>
      <c r="AE16" s="226"/>
      <c r="AF16" s="21"/>
      <c r="AG16" s="26"/>
      <c r="AH16" s="226"/>
      <c r="AI16" s="21"/>
      <c r="AJ16" s="31"/>
      <c r="AK16" s="226"/>
      <c r="AL16" s="21"/>
      <c r="AM16" s="26"/>
      <c r="AN16" s="226"/>
      <c r="AO16" s="21"/>
      <c r="AP16" s="26"/>
    </row>
    <row r="17" spans="2:42">
      <c r="B17" s="36" t="s">
        <v>26</v>
      </c>
      <c r="C17" s="21" t="s">
        <v>4</v>
      </c>
      <c r="D17" s="31" t="s">
        <v>160</v>
      </c>
      <c r="E17" s="31"/>
      <c r="F17" s="31" t="s">
        <v>15</v>
      </c>
      <c r="G17" s="226"/>
      <c r="H17" s="21"/>
      <c r="I17" s="26"/>
      <c r="J17" s="226"/>
      <c r="K17" s="21"/>
      <c r="L17" s="31"/>
      <c r="M17" s="226"/>
      <c r="N17" s="21"/>
      <c r="O17" s="26"/>
      <c r="P17" s="226"/>
      <c r="Q17" s="21"/>
      <c r="R17" s="31"/>
      <c r="S17" s="226"/>
      <c r="T17" s="21"/>
      <c r="U17" s="26"/>
      <c r="V17" s="226"/>
      <c r="W17" s="21"/>
      <c r="X17" s="31"/>
      <c r="Y17" s="226"/>
      <c r="Z17" s="21"/>
      <c r="AA17" s="26"/>
      <c r="AB17" s="226"/>
      <c r="AC17" s="21"/>
      <c r="AD17" s="31"/>
      <c r="AE17" s="226"/>
      <c r="AF17" s="21"/>
      <c r="AG17" s="26"/>
      <c r="AH17" s="226"/>
      <c r="AI17" s="21"/>
      <c r="AJ17" s="31"/>
      <c r="AK17" s="226"/>
      <c r="AL17" s="21"/>
      <c r="AM17" s="26"/>
      <c r="AN17" s="226"/>
      <c r="AO17" s="21"/>
      <c r="AP17" s="26"/>
    </row>
    <row r="18" spans="2:42">
      <c r="B18" s="36" t="s">
        <v>26</v>
      </c>
      <c r="C18" s="21" t="s">
        <v>5</v>
      </c>
      <c r="D18" s="31" t="s">
        <v>160</v>
      </c>
      <c r="E18" s="31"/>
      <c r="F18" s="31" t="s">
        <v>17</v>
      </c>
      <c r="G18" s="226"/>
      <c r="H18" s="21"/>
      <c r="I18" s="26"/>
      <c r="J18" s="226"/>
      <c r="K18" s="21"/>
      <c r="L18" s="31"/>
      <c r="M18" s="226"/>
      <c r="N18" s="21"/>
      <c r="O18" s="26"/>
      <c r="P18" s="226"/>
      <c r="Q18" s="21"/>
      <c r="R18" s="31"/>
      <c r="S18" s="226"/>
      <c r="T18" s="21"/>
      <c r="U18" s="26"/>
      <c r="V18" s="226"/>
      <c r="W18" s="21"/>
      <c r="X18" s="31"/>
      <c r="Y18" s="226"/>
      <c r="Z18" s="21"/>
      <c r="AA18" s="26"/>
      <c r="AB18" s="226"/>
      <c r="AC18" s="21"/>
      <c r="AD18" s="31"/>
      <c r="AE18" s="226"/>
      <c r="AF18" s="21"/>
      <c r="AG18" s="26"/>
      <c r="AH18" s="226"/>
      <c r="AI18" s="21"/>
      <c r="AJ18" s="31"/>
      <c r="AK18" s="226"/>
      <c r="AL18" s="21"/>
      <c r="AM18" s="26"/>
      <c r="AN18" s="226"/>
      <c r="AO18" s="21"/>
      <c r="AP18" s="26"/>
    </row>
    <row r="19" spans="2:42">
      <c r="B19" s="36" t="s">
        <v>26</v>
      </c>
      <c r="C19" s="21" t="s">
        <v>139</v>
      </c>
      <c r="D19" s="31" t="s">
        <v>161</v>
      </c>
      <c r="E19" s="31"/>
      <c r="F19" s="31" t="s">
        <v>154</v>
      </c>
      <c r="G19" s="226"/>
      <c r="H19" s="21"/>
      <c r="I19" s="26"/>
      <c r="J19" s="226"/>
      <c r="K19" s="21"/>
      <c r="L19" s="31"/>
      <c r="M19" s="226"/>
      <c r="N19" s="21"/>
      <c r="O19" s="26"/>
      <c r="P19" s="226"/>
      <c r="Q19" s="21"/>
      <c r="R19" s="31"/>
      <c r="S19" s="226"/>
      <c r="T19" s="21"/>
      <c r="U19" s="26"/>
      <c r="V19" s="226"/>
      <c r="W19" s="21"/>
      <c r="X19" s="31"/>
      <c r="Y19" s="226"/>
      <c r="Z19" s="21"/>
      <c r="AA19" s="26"/>
      <c r="AB19" s="226"/>
      <c r="AC19" s="21"/>
      <c r="AD19" s="31"/>
      <c r="AE19" s="226"/>
      <c r="AF19" s="21"/>
      <c r="AG19" s="26"/>
      <c r="AH19" s="226"/>
      <c r="AI19" s="21"/>
      <c r="AJ19" s="31"/>
      <c r="AK19" s="226"/>
      <c r="AL19" s="21"/>
      <c r="AM19" s="26"/>
      <c r="AN19" s="226"/>
      <c r="AO19" s="21"/>
      <c r="AP19" s="26"/>
    </row>
    <row r="20" spans="2:42">
      <c r="B20" s="36" t="s">
        <v>26</v>
      </c>
      <c r="C20" s="21" t="s">
        <v>142</v>
      </c>
      <c r="D20" s="31" t="s">
        <v>162</v>
      </c>
      <c r="E20" s="31"/>
      <c r="F20" s="31" t="s">
        <v>144</v>
      </c>
      <c r="G20" s="226"/>
      <c r="H20" s="21"/>
      <c r="I20" s="26"/>
      <c r="J20" s="226"/>
      <c r="K20" s="21"/>
      <c r="L20" s="31"/>
      <c r="M20" s="226"/>
      <c r="N20" s="21"/>
      <c r="O20" s="26"/>
      <c r="P20" s="226"/>
      <c r="Q20" s="21"/>
      <c r="R20" s="31"/>
      <c r="S20" s="226"/>
      <c r="T20" s="21"/>
      <c r="U20" s="26"/>
      <c r="V20" s="226"/>
      <c r="W20" s="21"/>
      <c r="X20" s="31"/>
      <c r="Y20" s="226"/>
      <c r="Z20" s="21"/>
      <c r="AA20" s="26"/>
      <c r="AB20" s="226"/>
      <c r="AC20" s="21"/>
      <c r="AD20" s="31"/>
      <c r="AE20" s="226"/>
      <c r="AF20" s="21"/>
      <c r="AG20" s="26"/>
      <c r="AH20" s="226"/>
      <c r="AI20" s="21"/>
      <c r="AJ20" s="31"/>
      <c r="AK20" s="226"/>
      <c r="AL20" s="21"/>
      <c r="AM20" s="26"/>
      <c r="AN20" s="226"/>
      <c r="AO20" s="21"/>
      <c r="AP20" s="26"/>
    </row>
    <row r="21" spans="2:42">
      <c r="B21" s="36" t="s">
        <v>26</v>
      </c>
      <c r="C21" s="21" t="s">
        <v>152</v>
      </c>
      <c r="D21" s="31" t="s">
        <v>163</v>
      </c>
      <c r="E21" s="31"/>
      <c r="F21" s="31" t="s">
        <v>155</v>
      </c>
      <c r="G21" s="226"/>
      <c r="H21" s="21"/>
      <c r="I21" s="26"/>
      <c r="J21" s="226"/>
      <c r="K21" s="21"/>
      <c r="L21" s="31"/>
      <c r="M21" s="226"/>
      <c r="N21" s="21"/>
      <c r="O21" s="26"/>
      <c r="P21" s="226"/>
      <c r="Q21" s="21"/>
      <c r="R21" s="31"/>
      <c r="S21" s="226"/>
      <c r="T21" s="21"/>
      <c r="U21" s="26"/>
      <c r="V21" s="226"/>
      <c r="W21" s="21"/>
      <c r="X21" s="31"/>
      <c r="Y21" s="226"/>
      <c r="Z21" s="21"/>
      <c r="AA21" s="26"/>
      <c r="AB21" s="226"/>
      <c r="AC21" s="21"/>
      <c r="AD21" s="31"/>
      <c r="AE21" s="226"/>
      <c r="AF21" s="21"/>
      <c r="AG21" s="26"/>
      <c r="AH21" s="226"/>
      <c r="AI21" s="21"/>
      <c r="AJ21" s="31"/>
      <c r="AK21" s="226"/>
      <c r="AL21" s="21"/>
      <c r="AM21" s="26"/>
      <c r="AN21" s="226"/>
      <c r="AO21" s="21"/>
      <c r="AP21" s="26"/>
    </row>
    <row r="22" spans="2:42">
      <c r="B22" s="25" t="s">
        <v>177</v>
      </c>
      <c r="C22" s="21" t="s">
        <v>0</v>
      </c>
      <c r="D22" s="31" t="s">
        <v>159</v>
      </c>
      <c r="E22" s="31" t="s">
        <v>83</v>
      </c>
      <c r="F22" s="31" t="s">
        <v>12</v>
      </c>
      <c r="G22" s="226"/>
      <c r="H22" s="21"/>
      <c r="I22" s="26"/>
      <c r="J22" s="226"/>
      <c r="K22" s="21"/>
      <c r="L22" s="31"/>
      <c r="M22" s="226"/>
      <c r="N22" s="21"/>
      <c r="O22" s="26"/>
      <c r="P22" s="226"/>
      <c r="Q22" s="21"/>
      <c r="R22" s="31"/>
      <c r="S22" s="226"/>
      <c r="T22" s="21"/>
      <c r="U22" s="26"/>
      <c r="V22" s="226"/>
      <c r="W22" s="21"/>
      <c r="X22" s="31"/>
      <c r="Y22" s="226"/>
      <c r="Z22" s="21"/>
      <c r="AA22" s="26"/>
      <c r="AB22" s="226"/>
      <c r="AC22" s="21"/>
      <c r="AD22" s="31"/>
      <c r="AE22" s="226"/>
      <c r="AF22" s="21"/>
      <c r="AG22" s="26"/>
      <c r="AH22" s="226"/>
      <c r="AI22" s="21"/>
      <c r="AJ22" s="31"/>
      <c r="AK22" s="226"/>
      <c r="AL22" s="21"/>
      <c r="AM22" s="26"/>
      <c r="AN22" s="226"/>
      <c r="AO22" s="21"/>
      <c r="AP22" s="26"/>
    </row>
    <row r="23" spans="2:42">
      <c r="B23" s="25" t="s">
        <v>177</v>
      </c>
      <c r="C23" s="21" t="s">
        <v>1</v>
      </c>
      <c r="D23" s="31" t="s">
        <v>159</v>
      </c>
      <c r="E23" s="31" t="s">
        <v>83</v>
      </c>
      <c r="F23" s="31" t="s">
        <v>13</v>
      </c>
      <c r="G23" s="226"/>
      <c r="H23" s="21"/>
      <c r="I23" s="26"/>
      <c r="J23" s="226"/>
      <c r="K23" s="21"/>
      <c r="L23" s="31"/>
      <c r="M23" s="226"/>
      <c r="N23" s="21"/>
      <c r="O23" s="26"/>
      <c r="P23" s="226"/>
      <c r="Q23" s="21"/>
      <c r="R23" s="31"/>
      <c r="S23" s="226"/>
      <c r="T23" s="21"/>
      <c r="U23" s="26"/>
      <c r="V23" s="226"/>
      <c r="W23" s="21"/>
      <c r="X23" s="31"/>
      <c r="Y23" s="226"/>
      <c r="Z23" s="21"/>
      <c r="AA23" s="26"/>
      <c r="AB23" s="226"/>
      <c r="AC23" s="21"/>
      <c r="AD23" s="31"/>
      <c r="AE23" s="226"/>
      <c r="AF23" s="21"/>
      <c r="AG23" s="26"/>
      <c r="AH23" s="226"/>
      <c r="AI23" s="21"/>
      <c r="AJ23" s="31"/>
      <c r="AK23" s="226"/>
      <c r="AL23" s="21"/>
      <c r="AM23" s="26"/>
      <c r="AN23" s="226"/>
      <c r="AO23" s="21"/>
      <c r="AP23" s="26"/>
    </row>
    <row r="24" spans="2:42">
      <c r="B24" s="25" t="s">
        <v>177</v>
      </c>
      <c r="C24" s="21" t="s">
        <v>31</v>
      </c>
      <c r="D24" s="31" t="s">
        <v>159</v>
      </c>
      <c r="E24" s="31"/>
      <c r="F24" s="31" t="s">
        <v>32</v>
      </c>
      <c r="G24" s="226"/>
      <c r="H24" s="21"/>
      <c r="I24" s="26"/>
      <c r="J24" s="226"/>
      <c r="K24" s="21"/>
      <c r="L24" s="31"/>
      <c r="M24" s="226"/>
      <c r="N24" s="21"/>
      <c r="O24" s="26"/>
      <c r="P24" s="226"/>
      <c r="Q24" s="21"/>
      <c r="R24" s="31"/>
      <c r="S24" s="226"/>
      <c r="T24" s="21"/>
      <c r="U24" s="26"/>
      <c r="V24" s="226"/>
      <c r="W24" s="21"/>
      <c r="X24" s="31"/>
      <c r="Y24" s="226"/>
      <c r="Z24" s="21"/>
      <c r="AA24" s="26"/>
      <c r="AB24" s="226"/>
      <c r="AC24" s="21"/>
      <c r="AD24" s="31"/>
      <c r="AE24" s="226"/>
      <c r="AF24" s="21"/>
      <c r="AG24" s="26"/>
      <c r="AH24" s="226"/>
      <c r="AI24" s="21"/>
      <c r="AJ24" s="31"/>
      <c r="AK24" s="226"/>
      <c r="AL24" s="21"/>
      <c r="AM24" s="26"/>
      <c r="AN24" s="226"/>
      <c r="AO24" s="21"/>
      <c r="AP24" s="26"/>
    </row>
    <row r="25" spans="2:42">
      <c r="B25" s="25" t="s">
        <v>177</v>
      </c>
      <c r="C25" s="21" t="s">
        <v>2</v>
      </c>
      <c r="D25" s="31" t="s">
        <v>159</v>
      </c>
      <c r="E25" s="31" t="s">
        <v>83</v>
      </c>
      <c r="F25" s="31" t="s">
        <v>16</v>
      </c>
      <c r="G25" s="226"/>
      <c r="H25" s="21"/>
      <c r="I25" s="26"/>
      <c r="J25" s="226"/>
      <c r="K25" s="21"/>
      <c r="L25" s="31"/>
      <c r="M25" s="226"/>
      <c r="N25" s="21"/>
      <c r="O25" s="26"/>
      <c r="P25" s="226"/>
      <c r="Q25" s="21"/>
      <c r="R25" s="31"/>
      <c r="S25" s="226"/>
      <c r="T25" s="21"/>
      <c r="U25" s="26"/>
      <c r="V25" s="226"/>
      <c r="W25" s="21"/>
      <c r="X25" s="31"/>
      <c r="Y25" s="226"/>
      <c r="Z25" s="21"/>
      <c r="AA25" s="26"/>
      <c r="AB25" s="226"/>
      <c r="AC25" s="21"/>
      <c r="AD25" s="31"/>
      <c r="AE25" s="226"/>
      <c r="AF25" s="21"/>
      <c r="AG25" s="26"/>
      <c r="AH25" s="226"/>
      <c r="AI25" s="21"/>
      <c r="AJ25" s="31"/>
      <c r="AK25" s="226"/>
      <c r="AL25" s="21"/>
      <c r="AM25" s="26"/>
      <c r="AN25" s="226"/>
      <c r="AO25" s="21"/>
      <c r="AP25" s="26"/>
    </row>
    <row r="26" spans="2:42">
      <c r="B26" s="25" t="s">
        <v>177</v>
      </c>
      <c r="C26" s="21" t="s">
        <v>3</v>
      </c>
      <c r="D26" s="31" t="s">
        <v>159</v>
      </c>
      <c r="E26" s="31" t="s">
        <v>83</v>
      </c>
      <c r="F26" s="31" t="s">
        <v>14</v>
      </c>
      <c r="G26" s="226"/>
      <c r="H26" s="21"/>
      <c r="I26" s="26"/>
      <c r="J26" s="226"/>
      <c r="K26" s="21"/>
      <c r="L26" s="31"/>
      <c r="M26" s="226"/>
      <c r="N26" s="21"/>
      <c r="O26" s="26"/>
      <c r="P26" s="226"/>
      <c r="Q26" s="21"/>
      <c r="R26" s="31"/>
      <c r="S26" s="226"/>
      <c r="T26" s="21"/>
      <c r="U26" s="26"/>
      <c r="V26" s="226"/>
      <c r="W26" s="21"/>
      <c r="X26" s="31"/>
      <c r="Y26" s="226"/>
      <c r="Z26" s="21"/>
      <c r="AA26" s="26"/>
      <c r="AB26" s="226"/>
      <c r="AC26" s="21"/>
      <c r="AD26" s="31"/>
      <c r="AE26" s="226"/>
      <c r="AF26" s="21"/>
      <c r="AG26" s="26"/>
      <c r="AH26" s="226"/>
      <c r="AI26" s="21"/>
      <c r="AJ26" s="31"/>
      <c r="AK26" s="226"/>
      <c r="AL26" s="21"/>
      <c r="AM26" s="26"/>
      <c r="AN26" s="226"/>
      <c r="AO26" s="21"/>
      <c r="AP26" s="26"/>
    </row>
    <row r="27" spans="2:42">
      <c r="B27" s="25" t="s">
        <v>177</v>
      </c>
      <c r="C27" s="21" t="s">
        <v>33</v>
      </c>
      <c r="D27" s="31" t="s">
        <v>159</v>
      </c>
      <c r="E27" s="31" t="s">
        <v>83</v>
      </c>
      <c r="F27" s="31" t="s">
        <v>34</v>
      </c>
      <c r="G27" s="226"/>
      <c r="H27" s="21"/>
      <c r="I27" s="26"/>
      <c r="J27" s="226"/>
      <c r="K27" s="21"/>
      <c r="L27" s="31"/>
      <c r="M27" s="226"/>
      <c r="N27" s="21"/>
      <c r="O27" s="26"/>
      <c r="P27" s="226"/>
      <c r="Q27" s="21"/>
      <c r="R27" s="31"/>
      <c r="S27" s="226"/>
      <c r="T27" s="21"/>
      <c r="U27" s="26"/>
      <c r="V27" s="226"/>
      <c r="W27" s="21"/>
      <c r="X27" s="31"/>
      <c r="Y27" s="226"/>
      <c r="Z27" s="21"/>
      <c r="AA27" s="26"/>
      <c r="AB27" s="226"/>
      <c r="AC27" s="21"/>
      <c r="AD27" s="31"/>
      <c r="AE27" s="226"/>
      <c r="AF27" s="21"/>
      <c r="AG27" s="26"/>
      <c r="AH27" s="226"/>
      <c r="AI27" s="21"/>
      <c r="AJ27" s="31"/>
      <c r="AK27" s="226"/>
      <c r="AL27" s="21"/>
      <c r="AM27" s="26"/>
      <c r="AN27" s="226"/>
      <c r="AO27" s="21"/>
      <c r="AP27" s="26"/>
    </row>
    <row r="28" spans="2:42">
      <c r="B28" s="25" t="s">
        <v>177</v>
      </c>
      <c r="C28" s="21" t="s">
        <v>125</v>
      </c>
      <c r="D28" s="31" t="s">
        <v>159</v>
      </c>
      <c r="E28" s="31"/>
      <c r="F28" s="31" t="s">
        <v>126</v>
      </c>
      <c r="G28" s="226"/>
      <c r="H28" s="21"/>
      <c r="I28" s="26"/>
      <c r="J28" s="226"/>
      <c r="K28" s="21"/>
      <c r="L28" s="31"/>
      <c r="M28" s="226"/>
      <c r="N28" s="21"/>
      <c r="O28" s="26"/>
      <c r="P28" s="226"/>
      <c r="Q28" s="21"/>
      <c r="R28" s="31"/>
      <c r="S28" s="226"/>
      <c r="T28" s="21"/>
      <c r="U28" s="26"/>
      <c r="V28" s="226"/>
      <c r="W28" s="21"/>
      <c r="X28" s="31"/>
      <c r="Y28" s="226"/>
      <c r="Z28" s="21"/>
      <c r="AA28" s="26"/>
      <c r="AB28" s="226"/>
      <c r="AC28" s="21"/>
      <c r="AD28" s="31"/>
      <c r="AE28" s="226"/>
      <c r="AF28" s="21"/>
      <c r="AG28" s="26"/>
      <c r="AH28" s="226"/>
      <c r="AI28" s="21"/>
      <c r="AJ28" s="31"/>
      <c r="AK28" s="226"/>
      <c r="AL28" s="21"/>
      <c r="AM28" s="26"/>
      <c r="AN28" s="226"/>
      <c r="AO28" s="21"/>
      <c r="AP28" s="26"/>
    </row>
    <row r="29" spans="2:42">
      <c r="B29" s="25" t="s">
        <v>177</v>
      </c>
      <c r="C29" s="21" t="s">
        <v>36</v>
      </c>
      <c r="D29" s="31" t="s">
        <v>159</v>
      </c>
      <c r="E29" s="31"/>
      <c r="F29" s="31" t="s">
        <v>37</v>
      </c>
      <c r="G29" s="226"/>
      <c r="H29" s="21"/>
      <c r="I29" s="26"/>
      <c r="J29" s="226"/>
      <c r="K29" s="21"/>
      <c r="L29" s="31"/>
      <c r="M29" s="226"/>
      <c r="N29" s="21"/>
      <c r="O29" s="26"/>
      <c r="P29" s="226"/>
      <c r="Q29" s="21"/>
      <c r="R29" s="31"/>
      <c r="S29" s="226"/>
      <c r="T29" s="21"/>
      <c r="U29" s="26"/>
      <c r="V29" s="226"/>
      <c r="W29" s="21"/>
      <c r="X29" s="31"/>
      <c r="Y29" s="226"/>
      <c r="Z29" s="21"/>
      <c r="AA29" s="26"/>
      <c r="AB29" s="226"/>
      <c r="AC29" s="21"/>
      <c r="AD29" s="31"/>
      <c r="AE29" s="226"/>
      <c r="AF29" s="21"/>
      <c r="AG29" s="26"/>
      <c r="AH29" s="226"/>
      <c r="AI29" s="21"/>
      <c r="AJ29" s="31"/>
      <c r="AK29" s="226"/>
      <c r="AL29" s="21"/>
      <c r="AM29" s="26"/>
      <c r="AN29" s="226"/>
      <c r="AO29" s="21"/>
      <c r="AP29" s="26"/>
    </row>
    <row r="30" spans="2:42">
      <c r="B30" s="25" t="s">
        <v>177</v>
      </c>
      <c r="C30" s="21" t="s">
        <v>38</v>
      </c>
      <c r="D30" s="31" t="s">
        <v>159</v>
      </c>
      <c r="E30" s="31"/>
      <c r="F30" s="31" t="s">
        <v>39</v>
      </c>
      <c r="G30" s="226"/>
      <c r="H30" s="21"/>
      <c r="I30" s="26"/>
      <c r="J30" s="226"/>
      <c r="K30" s="21"/>
      <c r="L30" s="31"/>
      <c r="M30" s="226"/>
      <c r="N30" s="21"/>
      <c r="O30" s="26"/>
      <c r="P30" s="226"/>
      <c r="Q30" s="21"/>
      <c r="R30" s="31"/>
      <c r="S30" s="226"/>
      <c r="T30" s="21"/>
      <c r="U30" s="26"/>
      <c r="V30" s="226"/>
      <c r="W30" s="21"/>
      <c r="X30" s="31"/>
      <c r="Y30" s="226"/>
      <c r="Z30" s="21"/>
      <c r="AA30" s="26"/>
      <c r="AB30" s="226"/>
      <c r="AC30" s="21"/>
      <c r="AD30" s="31"/>
      <c r="AE30" s="226"/>
      <c r="AF30" s="21"/>
      <c r="AG30" s="26"/>
      <c r="AH30" s="226"/>
      <c r="AI30" s="21"/>
      <c r="AJ30" s="31"/>
      <c r="AK30" s="226"/>
      <c r="AL30" s="21"/>
      <c r="AM30" s="26"/>
      <c r="AN30" s="226"/>
      <c r="AO30" s="21"/>
      <c r="AP30" s="26"/>
    </row>
    <row r="31" spans="2:42">
      <c r="B31" s="25" t="s">
        <v>177</v>
      </c>
      <c r="C31" s="21" t="s">
        <v>4</v>
      </c>
      <c r="D31" s="31" t="s">
        <v>160</v>
      </c>
      <c r="E31" s="31"/>
      <c r="F31" s="31" t="s">
        <v>15</v>
      </c>
      <c r="G31" s="226"/>
      <c r="H31" s="21"/>
      <c r="I31" s="26"/>
      <c r="J31" s="226"/>
      <c r="K31" s="21"/>
      <c r="L31" s="31"/>
      <c r="M31" s="226"/>
      <c r="N31" s="21"/>
      <c r="O31" s="26"/>
      <c r="P31" s="226"/>
      <c r="Q31" s="21"/>
      <c r="R31" s="31"/>
      <c r="S31" s="226"/>
      <c r="T31" s="21"/>
      <c r="U31" s="26"/>
      <c r="V31" s="226"/>
      <c r="W31" s="21"/>
      <c r="X31" s="31"/>
      <c r="Y31" s="226"/>
      <c r="Z31" s="21"/>
      <c r="AA31" s="26"/>
      <c r="AB31" s="226"/>
      <c r="AC31" s="21"/>
      <c r="AD31" s="31"/>
      <c r="AE31" s="226"/>
      <c r="AF31" s="21"/>
      <c r="AG31" s="26"/>
      <c r="AH31" s="226"/>
      <c r="AI31" s="21"/>
      <c r="AJ31" s="31"/>
      <c r="AK31" s="226"/>
      <c r="AL31" s="21"/>
      <c r="AM31" s="26"/>
      <c r="AN31" s="226"/>
      <c r="AO31" s="21"/>
      <c r="AP31" s="26"/>
    </row>
    <row r="32" spans="2:42">
      <c r="B32" s="25" t="s">
        <v>177</v>
      </c>
      <c r="C32" s="21" t="s">
        <v>5</v>
      </c>
      <c r="D32" s="31" t="s">
        <v>160</v>
      </c>
      <c r="E32" s="31"/>
      <c r="F32" s="31" t="s">
        <v>17</v>
      </c>
      <c r="G32" s="226"/>
      <c r="H32" s="21"/>
      <c r="I32" s="26"/>
      <c r="J32" s="226"/>
      <c r="K32" s="21"/>
      <c r="L32" s="31"/>
      <c r="M32" s="226"/>
      <c r="N32" s="21"/>
      <c r="O32" s="26"/>
      <c r="P32" s="226"/>
      <c r="Q32" s="21"/>
      <c r="R32" s="31"/>
      <c r="S32" s="226"/>
      <c r="T32" s="21"/>
      <c r="U32" s="26"/>
      <c r="V32" s="226"/>
      <c r="W32" s="21"/>
      <c r="X32" s="31"/>
      <c r="Y32" s="226"/>
      <c r="Z32" s="21"/>
      <c r="AA32" s="26"/>
      <c r="AB32" s="226"/>
      <c r="AC32" s="21"/>
      <c r="AD32" s="31"/>
      <c r="AE32" s="226"/>
      <c r="AF32" s="21"/>
      <c r="AG32" s="26"/>
      <c r="AH32" s="226"/>
      <c r="AI32" s="21"/>
      <c r="AJ32" s="31"/>
      <c r="AK32" s="226"/>
      <c r="AL32" s="21"/>
      <c r="AM32" s="26"/>
      <c r="AN32" s="226"/>
      <c r="AO32" s="21"/>
      <c r="AP32" s="26"/>
    </row>
    <row r="33" spans="2:42">
      <c r="B33" s="25" t="s">
        <v>177</v>
      </c>
      <c r="C33" s="21" t="s">
        <v>139</v>
      </c>
      <c r="D33" s="31" t="s">
        <v>161</v>
      </c>
      <c r="E33" s="31"/>
      <c r="F33" s="31" t="s">
        <v>154</v>
      </c>
      <c r="G33" s="226"/>
      <c r="H33" s="21"/>
      <c r="I33" s="26"/>
      <c r="J33" s="226"/>
      <c r="K33" s="21"/>
      <c r="L33" s="31"/>
      <c r="M33" s="226"/>
      <c r="N33" s="21"/>
      <c r="O33" s="26"/>
      <c r="P33" s="226"/>
      <c r="Q33" s="21"/>
      <c r="R33" s="31"/>
      <c r="S33" s="226"/>
      <c r="T33" s="21"/>
      <c r="U33" s="26"/>
      <c r="V33" s="226"/>
      <c r="W33" s="21"/>
      <c r="X33" s="31"/>
      <c r="Y33" s="226"/>
      <c r="Z33" s="21"/>
      <c r="AA33" s="26"/>
      <c r="AB33" s="226"/>
      <c r="AC33" s="21"/>
      <c r="AD33" s="31"/>
      <c r="AE33" s="226"/>
      <c r="AF33" s="21"/>
      <c r="AG33" s="26"/>
      <c r="AH33" s="226"/>
      <c r="AI33" s="21"/>
      <c r="AJ33" s="31"/>
      <c r="AK33" s="226"/>
      <c r="AL33" s="21"/>
      <c r="AM33" s="26"/>
      <c r="AN33" s="226"/>
      <c r="AO33" s="21"/>
      <c r="AP33" s="26"/>
    </row>
    <row r="34" spans="2:42">
      <c r="B34" s="25" t="s">
        <v>177</v>
      </c>
      <c r="C34" s="21" t="s">
        <v>142</v>
      </c>
      <c r="D34" s="31" t="s">
        <v>162</v>
      </c>
      <c r="E34" s="31"/>
      <c r="F34" s="31" t="s">
        <v>144</v>
      </c>
      <c r="G34" s="226"/>
      <c r="H34" s="21"/>
      <c r="I34" s="26"/>
      <c r="J34" s="226"/>
      <c r="K34" s="21"/>
      <c r="L34" s="31"/>
      <c r="M34" s="226"/>
      <c r="N34" s="21"/>
      <c r="O34" s="26"/>
      <c r="P34" s="226"/>
      <c r="Q34" s="21"/>
      <c r="R34" s="31"/>
      <c r="S34" s="226"/>
      <c r="T34" s="21"/>
      <c r="U34" s="26"/>
      <c r="V34" s="226"/>
      <c r="W34" s="21"/>
      <c r="X34" s="31"/>
      <c r="Y34" s="226"/>
      <c r="Z34" s="21"/>
      <c r="AA34" s="26"/>
      <c r="AB34" s="226"/>
      <c r="AC34" s="21"/>
      <c r="AD34" s="31"/>
      <c r="AE34" s="226"/>
      <c r="AF34" s="21"/>
      <c r="AG34" s="26"/>
      <c r="AH34" s="226"/>
      <c r="AI34" s="21"/>
      <c r="AJ34" s="31"/>
      <c r="AK34" s="226"/>
      <c r="AL34" s="21"/>
      <c r="AM34" s="26"/>
      <c r="AN34" s="226"/>
      <c r="AO34" s="21"/>
      <c r="AP34" s="26"/>
    </row>
    <row r="35" spans="2:42">
      <c r="B35" s="25" t="s">
        <v>177</v>
      </c>
      <c r="C35" s="21" t="s">
        <v>152</v>
      </c>
      <c r="D35" s="31" t="s">
        <v>163</v>
      </c>
      <c r="E35" s="31"/>
      <c r="F35" s="31" t="s">
        <v>155</v>
      </c>
      <c r="G35" s="226"/>
      <c r="H35" s="21"/>
      <c r="I35" s="26"/>
      <c r="J35" s="226"/>
      <c r="K35" s="21"/>
      <c r="L35" s="31"/>
      <c r="M35" s="226"/>
      <c r="N35" s="21"/>
      <c r="O35" s="26"/>
      <c r="P35" s="226"/>
      <c r="Q35" s="21"/>
      <c r="R35" s="31"/>
      <c r="S35" s="226"/>
      <c r="T35" s="21"/>
      <c r="U35" s="26"/>
      <c r="V35" s="226"/>
      <c r="W35" s="21"/>
      <c r="X35" s="31"/>
      <c r="Y35" s="226"/>
      <c r="Z35" s="21"/>
      <c r="AA35" s="26"/>
      <c r="AB35" s="226"/>
      <c r="AC35" s="21"/>
      <c r="AD35" s="31"/>
      <c r="AE35" s="226"/>
      <c r="AF35" s="21"/>
      <c r="AG35" s="26"/>
      <c r="AH35" s="226"/>
      <c r="AI35" s="21"/>
      <c r="AJ35" s="31"/>
      <c r="AK35" s="226"/>
      <c r="AL35" s="21"/>
      <c r="AM35" s="26"/>
      <c r="AN35" s="226"/>
      <c r="AO35" s="21"/>
      <c r="AP35" s="26"/>
    </row>
    <row r="36" spans="2:42">
      <c r="B36" s="25"/>
      <c r="C36" s="21"/>
      <c r="D36" s="31"/>
      <c r="E36" s="31"/>
      <c r="F36" s="31"/>
      <c r="G36" s="226"/>
      <c r="H36" s="21"/>
      <c r="I36" s="26"/>
      <c r="J36" s="226"/>
      <c r="K36" s="21"/>
      <c r="L36" s="31"/>
      <c r="M36" s="226"/>
      <c r="N36" s="21"/>
      <c r="O36" s="26"/>
      <c r="P36" s="226"/>
      <c r="Q36" s="21"/>
      <c r="R36" s="31"/>
      <c r="S36" s="226"/>
      <c r="T36" s="21"/>
      <c r="U36" s="26"/>
      <c r="V36" s="226"/>
      <c r="W36" s="21"/>
      <c r="X36" s="31"/>
      <c r="Y36" s="226"/>
      <c r="Z36" s="21"/>
      <c r="AA36" s="26"/>
      <c r="AB36" s="226"/>
      <c r="AC36" s="21"/>
      <c r="AD36" s="31"/>
      <c r="AE36" s="226"/>
      <c r="AF36" s="21"/>
      <c r="AG36" s="26"/>
      <c r="AH36" s="226"/>
      <c r="AI36" s="21"/>
      <c r="AJ36" s="31"/>
      <c r="AK36" s="226"/>
      <c r="AL36" s="21"/>
      <c r="AM36" s="26"/>
      <c r="AN36" s="226"/>
      <c r="AO36" s="21"/>
      <c r="AP36" s="26"/>
    </row>
    <row r="37" spans="2:42" ht="14.25" thickBot="1">
      <c r="B37" s="27"/>
      <c r="C37" s="28"/>
      <c r="D37" s="32"/>
      <c r="E37" s="32"/>
      <c r="F37" s="32"/>
      <c r="G37" s="227"/>
      <c r="H37" s="28"/>
      <c r="I37" s="29"/>
      <c r="J37" s="227"/>
      <c r="K37" s="28"/>
      <c r="L37" s="32"/>
      <c r="M37" s="227"/>
      <c r="N37" s="28"/>
      <c r="O37" s="29"/>
      <c r="P37" s="227"/>
      <c r="Q37" s="28"/>
      <c r="R37" s="32"/>
      <c r="S37" s="227"/>
      <c r="T37" s="28"/>
      <c r="U37" s="29"/>
      <c r="V37" s="227"/>
      <c r="W37" s="28"/>
      <c r="X37" s="32"/>
      <c r="Y37" s="227"/>
      <c r="Z37" s="28"/>
      <c r="AA37" s="29"/>
      <c r="AB37" s="227"/>
      <c r="AC37" s="28"/>
      <c r="AD37" s="32"/>
      <c r="AE37" s="227"/>
      <c r="AF37" s="28"/>
      <c r="AG37" s="29"/>
      <c r="AH37" s="227"/>
      <c r="AI37" s="28"/>
      <c r="AJ37" s="32"/>
      <c r="AK37" s="227"/>
      <c r="AL37" s="28"/>
      <c r="AM37" s="29"/>
      <c r="AN37" s="227"/>
      <c r="AO37" s="28"/>
      <c r="AP37" s="29"/>
    </row>
    <row r="39" spans="2:42">
      <c r="B39" t="s">
        <v>182</v>
      </c>
    </row>
    <row r="40" spans="2:42" ht="14.25" thickBot="1"/>
    <row r="41" spans="2:42" ht="14.25" thickBot="1">
      <c r="D41" s="358" t="s">
        <v>169</v>
      </c>
      <c r="E41" s="359"/>
      <c r="F41" s="360"/>
      <c r="G41" s="357" t="s">
        <v>54</v>
      </c>
      <c r="H41" s="353"/>
      <c r="I41" s="351"/>
      <c r="J41" s="349" t="s">
        <v>55</v>
      </c>
      <c r="K41" s="350"/>
      <c r="L41" s="354"/>
      <c r="M41" s="352" t="s">
        <v>53</v>
      </c>
      <c r="N41" s="353"/>
      <c r="O41" s="351"/>
      <c r="P41" s="349" t="s">
        <v>56</v>
      </c>
      <c r="Q41" s="350"/>
      <c r="R41" s="354"/>
      <c r="S41" s="352" t="s">
        <v>57</v>
      </c>
      <c r="T41" s="353"/>
      <c r="U41" s="351"/>
      <c r="V41" s="349" t="s">
        <v>58</v>
      </c>
      <c r="W41" s="350"/>
      <c r="X41" s="354"/>
      <c r="Y41" s="352" t="s">
        <v>59</v>
      </c>
      <c r="Z41" s="353"/>
      <c r="AA41" s="351"/>
      <c r="AB41" s="349" t="s">
        <v>60</v>
      </c>
      <c r="AC41" s="350"/>
      <c r="AD41" s="354"/>
      <c r="AE41" s="352" t="s">
        <v>61</v>
      </c>
      <c r="AF41" s="353"/>
      <c r="AG41" s="351"/>
      <c r="AH41" s="349" t="s">
        <v>62</v>
      </c>
      <c r="AI41" s="350"/>
      <c r="AJ41" s="354"/>
      <c r="AK41" s="352" t="s">
        <v>63</v>
      </c>
      <c r="AL41" s="353"/>
      <c r="AM41" s="351"/>
      <c r="AN41" s="349" t="s">
        <v>64</v>
      </c>
      <c r="AO41" s="350"/>
      <c r="AP41" s="351"/>
    </row>
    <row r="42" spans="2:42" ht="14.25" thickBot="1">
      <c r="C42" s="197" t="s">
        <v>178</v>
      </c>
      <c r="D42" s="188" t="s">
        <v>156</v>
      </c>
      <c r="E42" s="189" t="s">
        <v>167</v>
      </c>
      <c r="F42" s="190" t="s">
        <v>168</v>
      </c>
      <c r="G42" s="186" t="s">
        <v>6</v>
      </c>
      <c r="H42" s="184" t="s">
        <v>7</v>
      </c>
      <c r="I42" s="185" t="s">
        <v>8</v>
      </c>
      <c r="J42" s="186" t="s">
        <v>6</v>
      </c>
      <c r="K42" s="184" t="s">
        <v>7</v>
      </c>
      <c r="L42" s="187" t="s">
        <v>8</v>
      </c>
      <c r="M42" s="183" t="s">
        <v>6</v>
      </c>
      <c r="N42" s="184" t="s">
        <v>7</v>
      </c>
      <c r="O42" s="185" t="s">
        <v>8</v>
      </c>
      <c r="P42" s="186" t="s">
        <v>6</v>
      </c>
      <c r="Q42" s="184" t="s">
        <v>7</v>
      </c>
      <c r="R42" s="187" t="s">
        <v>8</v>
      </c>
      <c r="S42" s="183" t="s">
        <v>6</v>
      </c>
      <c r="T42" s="184" t="s">
        <v>7</v>
      </c>
      <c r="U42" s="185" t="s">
        <v>8</v>
      </c>
      <c r="V42" s="186" t="s">
        <v>6</v>
      </c>
      <c r="W42" s="184" t="s">
        <v>7</v>
      </c>
      <c r="X42" s="187" t="s">
        <v>8</v>
      </c>
      <c r="Y42" s="183" t="s">
        <v>6</v>
      </c>
      <c r="Z42" s="184" t="s">
        <v>7</v>
      </c>
      <c r="AA42" s="185" t="s">
        <v>8</v>
      </c>
      <c r="AB42" s="186" t="s">
        <v>6</v>
      </c>
      <c r="AC42" s="184" t="s">
        <v>7</v>
      </c>
      <c r="AD42" s="187" t="s">
        <v>8</v>
      </c>
      <c r="AE42" s="183" t="s">
        <v>6</v>
      </c>
      <c r="AF42" s="184" t="s">
        <v>7</v>
      </c>
      <c r="AG42" s="185" t="s">
        <v>8</v>
      </c>
      <c r="AH42" s="186" t="s">
        <v>6</v>
      </c>
      <c r="AI42" s="184" t="s">
        <v>7</v>
      </c>
      <c r="AJ42" s="187" t="s">
        <v>8</v>
      </c>
      <c r="AK42" s="183" t="s">
        <v>6</v>
      </c>
      <c r="AL42" s="184" t="s">
        <v>7</v>
      </c>
      <c r="AM42" s="185" t="s">
        <v>8</v>
      </c>
      <c r="AN42" s="186" t="s">
        <v>6</v>
      </c>
      <c r="AO42" s="184" t="s">
        <v>7</v>
      </c>
      <c r="AP42" s="185" t="s">
        <v>8</v>
      </c>
    </row>
    <row r="43" spans="2:42">
      <c r="C43" s="195" t="s">
        <v>157</v>
      </c>
      <c r="D43" s="25"/>
      <c r="E43" s="21"/>
      <c r="F43" s="26"/>
      <c r="G43" s="228"/>
      <c r="H43" s="21"/>
      <c r="I43" s="21"/>
      <c r="J43" s="228"/>
      <c r="K43" s="21"/>
      <c r="L43" s="21"/>
      <c r="M43" s="228"/>
      <c r="N43" s="21"/>
      <c r="O43" s="21"/>
      <c r="P43" s="228"/>
      <c r="Q43" s="21"/>
      <c r="R43" s="21"/>
      <c r="S43" s="228"/>
      <c r="T43" s="21"/>
      <c r="U43" s="21"/>
      <c r="V43" s="228"/>
      <c r="W43" s="21"/>
      <c r="X43" s="21"/>
      <c r="Y43" s="228"/>
      <c r="Z43" s="21"/>
      <c r="AA43" s="21"/>
      <c r="AB43" s="228"/>
      <c r="AC43" s="21"/>
      <c r="AD43" s="21"/>
      <c r="AE43" s="228"/>
      <c r="AF43" s="21"/>
      <c r="AG43" s="21"/>
      <c r="AH43" s="228"/>
      <c r="AI43" s="21"/>
      <c r="AJ43" s="21"/>
      <c r="AK43" s="228"/>
      <c r="AL43" s="21"/>
      <c r="AM43" s="21"/>
      <c r="AN43" s="228"/>
      <c r="AO43" s="21"/>
      <c r="AP43" s="26"/>
    </row>
    <row r="44" spans="2:42">
      <c r="C44" s="195" t="s">
        <v>198</v>
      </c>
      <c r="D44" s="25"/>
      <c r="E44" s="21"/>
      <c r="F44" s="26"/>
      <c r="G44" s="228"/>
      <c r="H44" s="21"/>
      <c r="I44" s="21"/>
      <c r="J44" s="228"/>
      <c r="K44" s="21"/>
      <c r="L44" s="21"/>
      <c r="M44" s="228"/>
      <c r="N44" s="21"/>
      <c r="O44" s="21"/>
      <c r="P44" s="228"/>
      <c r="Q44" s="21"/>
      <c r="R44" s="21"/>
      <c r="S44" s="228"/>
      <c r="T44" s="21"/>
      <c r="U44" s="21"/>
      <c r="V44" s="228"/>
      <c r="W44" s="21"/>
      <c r="X44" s="21"/>
      <c r="Y44" s="228"/>
      <c r="Z44" s="21"/>
      <c r="AA44" s="21"/>
      <c r="AB44" s="228"/>
      <c r="AC44" s="21"/>
      <c r="AD44" s="21"/>
      <c r="AE44" s="228"/>
      <c r="AF44" s="21"/>
      <c r="AG44" s="21"/>
      <c r="AH44" s="228"/>
      <c r="AI44" s="21"/>
      <c r="AJ44" s="21"/>
      <c r="AK44" s="228"/>
      <c r="AL44" s="21"/>
      <c r="AM44" s="21"/>
      <c r="AN44" s="228"/>
      <c r="AO44" s="21"/>
      <c r="AP44" s="26"/>
    </row>
    <row r="45" spans="2:42">
      <c r="C45" s="195" t="s">
        <v>201</v>
      </c>
      <c r="D45" s="25"/>
      <c r="E45" s="21"/>
      <c r="F45" s="26"/>
      <c r="G45" s="228"/>
      <c r="H45" s="21"/>
      <c r="I45" s="21"/>
      <c r="J45" s="228"/>
      <c r="K45" s="21"/>
      <c r="L45" s="21"/>
      <c r="M45" s="228"/>
      <c r="N45" s="21"/>
      <c r="O45" s="21"/>
      <c r="P45" s="228"/>
      <c r="Q45" s="21"/>
      <c r="R45" s="21"/>
      <c r="S45" s="228"/>
      <c r="T45" s="21"/>
      <c r="U45" s="21"/>
      <c r="V45" s="228"/>
      <c r="W45" s="21"/>
      <c r="X45" s="21"/>
      <c r="Y45" s="228"/>
      <c r="Z45" s="21"/>
      <c r="AA45" s="21"/>
      <c r="AB45" s="228"/>
      <c r="AC45" s="21"/>
      <c r="AD45" s="21"/>
      <c r="AE45" s="228"/>
      <c r="AF45" s="21"/>
      <c r="AG45" s="21"/>
      <c r="AH45" s="228"/>
      <c r="AI45" s="21"/>
      <c r="AJ45" s="21"/>
      <c r="AK45" s="228"/>
      <c r="AL45" s="21"/>
      <c r="AM45" s="21"/>
      <c r="AN45" s="228"/>
      <c r="AO45" s="21"/>
      <c r="AP45" s="26"/>
    </row>
    <row r="46" spans="2:42">
      <c r="C46" s="195" t="s">
        <v>164</v>
      </c>
      <c r="D46" s="25"/>
      <c r="E46" s="21"/>
      <c r="F46" s="26"/>
      <c r="G46" s="228"/>
      <c r="H46" s="21"/>
      <c r="I46" s="21"/>
      <c r="J46" s="228"/>
      <c r="K46" s="21"/>
      <c r="L46" s="21"/>
      <c r="M46" s="228"/>
      <c r="N46" s="21"/>
      <c r="O46" s="21"/>
      <c r="P46" s="228"/>
      <c r="Q46" s="21"/>
      <c r="R46" s="21"/>
      <c r="S46" s="228"/>
      <c r="T46" s="21"/>
      <c r="U46" s="21"/>
      <c r="V46" s="228"/>
      <c r="W46" s="21"/>
      <c r="X46" s="21"/>
      <c r="Y46" s="228"/>
      <c r="Z46" s="21"/>
      <c r="AA46" s="21"/>
      <c r="AB46" s="228"/>
      <c r="AC46" s="21"/>
      <c r="AD46" s="21"/>
      <c r="AE46" s="228"/>
      <c r="AF46" s="21"/>
      <c r="AG46" s="21"/>
      <c r="AH46" s="228"/>
      <c r="AI46" s="21"/>
      <c r="AJ46" s="21"/>
      <c r="AK46" s="228"/>
      <c r="AL46" s="21"/>
      <c r="AM46" s="21"/>
      <c r="AN46" s="228"/>
      <c r="AO46" s="21"/>
      <c r="AP46" s="26"/>
    </row>
    <row r="47" spans="2:42">
      <c r="C47" s="195" t="s">
        <v>165</v>
      </c>
      <c r="D47" s="25"/>
      <c r="E47" s="21"/>
      <c r="F47" s="26"/>
      <c r="G47" s="228"/>
      <c r="H47" s="21"/>
      <c r="I47" s="21"/>
      <c r="J47" s="228"/>
      <c r="K47" s="21"/>
      <c r="L47" s="21"/>
      <c r="M47" s="228"/>
      <c r="N47" s="21"/>
      <c r="O47" s="21"/>
      <c r="P47" s="228"/>
      <c r="Q47" s="21"/>
      <c r="R47" s="21"/>
      <c r="S47" s="228"/>
      <c r="T47" s="21"/>
      <c r="U47" s="21"/>
      <c r="V47" s="228"/>
      <c r="W47" s="21"/>
      <c r="X47" s="21"/>
      <c r="Y47" s="228"/>
      <c r="Z47" s="21"/>
      <c r="AA47" s="21"/>
      <c r="AB47" s="228"/>
      <c r="AC47" s="21"/>
      <c r="AD47" s="21"/>
      <c r="AE47" s="228"/>
      <c r="AF47" s="21"/>
      <c r="AG47" s="21"/>
      <c r="AH47" s="228"/>
      <c r="AI47" s="21"/>
      <c r="AJ47" s="21"/>
      <c r="AK47" s="228"/>
      <c r="AL47" s="21"/>
      <c r="AM47" s="21"/>
      <c r="AN47" s="228"/>
      <c r="AO47" s="21"/>
      <c r="AP47" s="26"/>
    </row>
    <row r="48" spans="2:42" ht="14.25" thickBot="1">
      <c r="C48" s="196" t="s">
        <v>166</v>
      </c>
      <c r="D48" s="27"/>
      <c r="E48" s="28"/>
      <c r="F48" s="29"/>
      <c r="G48" s="229"/>
      <c r="H48" s="28"/>
      <c r="I48" s="28"/>
      <c r="J48" s="229"/>
      <c r="K48" s="28"/>
      <c r="L48" s="28"/>
      <c r="M48" s="229"/>
      <c r="N48" s="28"/>
      <c r="O48" s="28"/>
      <c r="P48" s="229"/>
      <c r="Q48" s="28"/>
      <c r="R48" s="28"/>
      <c r="S48" s="229"/>
      <c r="T48" s="28"/>
      <c r="U48" s="28"/>
      <c r="V48" s="229"/>
      <c r="W48" s="28"/>
      <c r="X48" s="28"/>
      <c r="Y48" s="229"/>
      <c r="Z48" s="28"/>
      <c r="AA48" s="28"/>
      <c r="AB48" s="229"/>
      <c r="AC48" s="28"/>
      <c r="AD48" s="28"/>
      <c r="AE48" s="229"/>
      <c r="AF48" s="28"/>
      <c r="AG48" s="28"/>
      <c r="AH48" s="229"/>
      <c r="AI48" s="28"/>
      <c r="AJ48" s="28"/>
      <c r="AK48" s="229"/>
      <c r="AL48" s="28"/>
      <c r="AM48" s="28"/>
      <c r="AN48" s="229"/>
      <c r="AO48" s="28"/>
      <c r="AP48" s="29"/>
    </row>
  </sheetData>
  <mergeCells count="25">
    <mergeCell ref="AN41:AP41"/>
    <mergeCell ref="V41:X41"/>
    <mergeCell ref="Y41:AA41"/>
    <mergeCell ref="AB41:AD41"/>
    <mergeCell ref="AE41:AG41"/>
    <mergeCell ref="AH41:AJ41"/>
    <mergeCell ref="AK41:AM41"/>
    <mergeCell ref="D41:F41"/>
    <mergeCell ref="G41:I41"/>
    <mergeCell ref="J41:L41"/>
    <mergeCell ref="M41:O41"/>
    <mergeCell ref="P41:R41"/>
    <mergeCell ref="S41:U41"/>
    <mergeCell ref="Y6:AA6"/>
    <mergeCell ref="AB6:AD6"/>
    <mergeCell ref="AE6:AG6"/>
    <mergeCell ref="AH6:AJ6"/>
    <mergeCell ref="AK6:AM6"/>
    <mergeCell ref="AN6:AP6"/>
    <mergeCell ref="G6:I6"/>
    <mergeCell ref="J6:L6"/>
    <mergeCell ref="M6:O6"/>
    <mergeCell ref="P6:R6"/>
    <mergeCell ref="S6:U6"/>
    <mergeCell ref="V6:X6"/>
  </mergeCells>
  <phoneticPr fontId="9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O40"/>
  <sheetViews>
    <sheetView showGridLines="0" zoomScale="85" zoomScaleNormal="85" workbookViewId="0">
      <selection activeCell="F40" sqref="F40"/>
    </sheetView>
  </sheetViews>
  <sheetFormatPr defaultRowHeight="13.5"/>
  <cols>
    <col min="1" max="1" width="2.625" customWidth="1"/>
    <col min="2" max="2" width="12" style="162" customWidth="1"/>
    <col min="3" max="3" width="10.25" style="162" customWidth="1"/>
    <col min="4" max="4" width="15.375" customWidth="1"/>
    <col min="5" max="5" width="16.125" customWidth="1"/>
    <col min="6" max="6" width="6.375" bestFit="1" customWidth="1"/>
    <col min="7" max="7" width="8.375" bestFit="1" customWidth="1"/>
    <col min="8" max="8" width="17.375" customWidth="1"/>
    <col min="9" max="9" width="20" customWidth="1"/>
    <col min="10" max="10" width="2.875" customWidth="1"/>
    <col min="11" max="11" width="6.125" customWidth="1"/>
    <col min="12" max="12" width="3.375" customWidth="1"/>
    <col min="13" max="13" width="15.5" customWidth="1"/>
  </cols>
  <sheetData>
    <row r="1" spans="2:15" ht="21">
      <c r="B1" s="85"/>
      <c r="C1" s="85"/>
      <c r="D1" s="86"/>
      <c r="E1" s="86"/>
      <c r="F1" s="86"/>
      <c r="M1" t="s">
        <v>86</v>
      </c>
    </row>
    <row r="2" spans="2:15" ht="24.75" thickBot="1">
      <c r="B2" s="87" t="s">
        <v>87</v>
      </c>
      <c r="C2" s="85"/>
      <c r="M2" t="s">
        <v>88</v>
      </c>
    </row>
    <row r="3" spans="2:15" ht="38.25" thickBot="1">
      <c r="B3" s="88" t="s">
        <v>89</v>
      </c>
      <c r="C3" s="89" t="s">
        <v>90</v>
      </c>
      <c r="D3" s="90" t="s">
        <v>91</v>
      </c>
      <c r="E3" s="91" t="s">
        <v>92</v>
      </c>
      <c r="F3" s="91" t="s">
        <v>93</v>
      </c>
      <c r="G3" s="91" t="s">
        <v>94</v>
      </c>
      <c r="H3" s="92" t="s">
        <v>95</v>
      </c>
      <c r="I3" s="93"/>
      <c r="J3" s="93"/>
      <c r="K3" s="93"/>
      <c r="L3" s="94"/>
      <c r="M3" s="95" t="s">
        <v>96</v>
      </c>
    </row>
    <row r="4" spans="2:15" ht="21">
      <c r="B4" s="96" t="s">
        <v>97</v>
      </c>
      <c r="C4" s="96"/>
      <c r="D4" s="97">
        <v>2018</v>
      </c>
      <c r="E4" s="98" t="s">
        <v>0</v>
      </c>
      <c r="F4" s="98" t="s">
        <v>25</v>
      </c>
      <c r="G4" s="98" t="s">
        <v>98</v>
      </c>
      <c r="H4" s="99" t="s">
        <v>12</v>
      </c>
      <c r="I4" s="100"/>
      <c r="J4" s="100"/>
      <c r="K4" s="100"/>
      <c r="L4" s="101"/>
      <c r="M4" s="102">
        <v>1</v>
      </c>
    </row>
    <row r="5" spans="2:15" ht="21">
      <c r="B5" s="103" t="s">
        <v>97</v>
      </c>
      <c r="C5" s="103"/>
      <c r="D5" s="104">
        <v>2018</v>
      </c>
      <c r="E5" s="105" t="s">
        <v>1</v>
      </c>
      <c r="F5" s="105" t="s">
        <v>25</v>
      </c>
      <c r="G5" s="105" t="s">
        <v>98</v>
      </c>
      <c r="H5" s="106" t="s">
        <v>13</v>
      </c>
      <c r="I5" s="107"/>
      <c r="J5" s="107"/>
      <c r="K5" s="107"/>
      <c r="L5" s="108"/>
      <c r="M5" s="109">
        <v>1</v>
      </c>
      <c r="O5" s="110"/>
    </row>
    <row r="6" spans="2:15" ht="21">
      <c r="B6" s="103" t="s">
        <v>97</v>
      </c>
      <c r="C6" s="103"/>
      <c r="D6" s="104">
        <v>2018</v>
      </c>
      <c r="E6" s="105" t="s">
        <v>31</v>
      </c>
      <c r="F6" s="105" t="s">
        <v>25</v>
      </c>
      <c r="G6" s="105" t="s">
        <v>98</v>
      </c>
      <c r="H6" s="106" t="s">
        <v>32</v>
      </c>
      <c r="I6" s="107"/>
      <c r="J6" s="107"/>
      <c r="K6" s="107"/>
      <c r="L6" s="108"/>
      <c r="M6" s="109">
        <v>0</v>
      </c>
      <c r="O6" s="110"/>
    </row>
    <row r="7" spans="2:15" ht="21">
      <c r="B7" s="103" t="s">
        <v>97</v>
      </c>
      <c r="C7" s="103"/>
      <c r="D7" s="104">
        <v>2018</v>
      </c>
      <c r="E7" s="105" t="s">
        <v>2</v>
      </c>
      <c r="F7" s="105" t="s">
        <v>25</v>
      </c>
      <c r="G7" s="105" t="s">
        <v>98</v>
      </c>
      <c r="H7" s="106" t="s">
        <v>16</v>
      </c>
      <c r="I7" s="107"/>
      <c r="J7" s="107"/>
      <c r="K7" s="107"/>
      <c r="L7" s="108"/>
      <c r="M7" s="109">
        <v>1</v>
      </c>
      <c r="O7" s="110"/>
    </row>
    <row r="8" spans="2:15" ht="21">
      <c r="B8" s="103" t="s">
        <v>100</v>
      </c>
      <c r="C8" s="103"/>
      <c r="D8" s="104">
        <v>2018</v>
      </c>
      <c r="E8" s="105" t="s">
        <v>3</v>
      </c>
      <c r="F8" s="105" t="s">
        <v>25</v>
      </c>
      <c r="G8" s="105" t="s">
        <v>98</v>
      </c>
      <c r="H8" s="106" t="s">
        <v>14</v>
      </c>
      <c r="I8" s="107"/>
      <c r="J8" s="107"/>
      <c r="K8" s="107"/>
      <c r="L8" s="108"/>
      <c r="M8" s="109">
        <v>1</v>
      </c>
      <c r="O8" s="110"/>
    </row>
    <row r="9" spans="2:15" ht="21" hidden="1">
      <c r="B9" s="103"/>
      <c r="C9" s="103"/>
      <c r="D9" s="111">
        <v>2018</v>
      </c>
      <c r="E9" s="112" t="s">
        <v>102</v>
      </c>
      <c r="F9" s="112" t="s">
        <v>25</v>
      </c>
      <c r="G9" s="112" t="s">
        <v>98</v>
      </c>
      <c r="H9" s="113" t="s">
        <v>103</v>
      </c>
      <c r="I9" s="114"/>
      <c r="J9" s="114"/>
      <c r="K9" s="114"/>
      <c r="L9" s="115"/>
      <c r="M9" s="116">
        <v>1</v>
      </c>
    </row>
    <row r="10" spans="2:15" ht="21" hidden="1">
      <c r="B10" s="103"/>
      <c r="C10" s="103"/>
      <c r="D10" s="111">
        <v>2018</v>
      </c>
      <c r="E10" s="112" t="s">
        <v>104</v>
      </c>
      <c r="F10" s="112" t="s">
        <v>25</v>
      </c>
      <c r="G10" s="112" t="s">
        <v>98</v>
      </c>
      <c r="H10" s="113" t="s">
        <v>105</v>
      </c>
      <c r="I10" s="114"/>
      <c r="J10" s="114"/>
      <c r="K10" s="114"/>
      <c r="L10" s="115"/>
      <c r="M10" s="116">
        <v>1</v>
      </c>
    </row>
    <row r="11" spans="2:15" ht="21" hidden="1">
      <c r="B11" s="103"/>
      <c r="C11" s="103"/>
      <c r="D11" s="111">
        <v>2018</v>
      </c>
      <c r="E11" s="112" t="s">
        <v>106</v>
      </c>
      <c r="F11" s="112" t="s">
        <v>25</v>
      </c>
      <c r="G11" s="112" t="s">
        <v>98</v>
      </c>
      <c r="H11" s="113" t="s">
        <v>107</v>
      </c>
      <c r="I11" s="114"/>
      <c r="J11" s="114"/>
      <c r="K11" s="114"/>
      <c r="L11" s="115"/>
      <c r="M11" s="116">
        <v>1</v>
      </c>
    </row>
    <row r="12" spans="2:15" ht="21" hidden="1">
      <c r="B12" s="103"/>
      <c r="C12" s="103"/>
      <c r="D12" s="111">
        <v>2018</v>
      </c>
      <c r="E12" s="112" t="s">
        <v>108</v>
      </c>
      <c r="F12" s="112" t="s">
        <v>25</v>
      </c>
      <c r="G12" s="112" t="s">
        <v>98</v>
      </c>
      <c r="H12" s="113" t="s">
        <v>109</v>
      </c>
      <c r="I12" s="114"/>
      <c r="J12" s="114"/>
      <c r="K12" s="114"/>
      <c r="L12" s="115"/>
      <c r="M12" s="116">
        <v>1</v>
      </c>
    </row>
    <row r="13" spans="2:15" ht="21" hidden="1">
      <c r="B13" s="103"/>
      <c r="C13" s="103"/>
      <c r="D13" s="111">
        <v>2018</v>
      </c>
      <c r="E13" s="112" t="s">
        <v>110</v>
      </c>
      <c r="F13" s="112" t="s">
        <v>25</v>
      </c>
      <c r="G13" s="112" t="s">
        <v>98</v>
      </c>
      <c r="H13" s="113" t="s">
        <v>111</v>
      </c>
      <c r="I13" s="114"/>
      <c r="J13" s="114"/>
      <c r="K13" s="114"/>
      <c r="L13" s="115"/>
      <c r="M13" s="116">
        <v>1</v>
      </c>
    </row>
    <row r="14" spans="2:15" ht="21" hidden="1">
      <c r="B14" s="103"/>
      <c r="C14" s="103"/>
      <c r="D14" s="111">
        <v>2018</v>
      </c>
      <c r="E14" s="112" t="s">
        <v>112</v>
      </c>
      <c r="F14" s="112" t="s">
        <v>25</v>
      </c>
      <c r="G14" s="112" t="s">
        <v>98</v>
      </c>
      <c r="H14" s="113" t="s">
        <v>113</v>
      </c>
      <c r="I14" s="114"/>
      <c r="J14" s="114"/>
      <c r="K14" s="114"/>
      <c r="L14" s="115"/>
      <c r="M14" s="116">
        <v>1</v>
      </c>
    </row>
    <row r="15" spans="2:15" ht="21" hidden="1">
      <c r="B15" s="103"/>
      <c r="C15" s="103"/>
      <c r="D15" s="111">
        <v>2018</v>
      </c>
      <c r="E15" s="112" t="s">
        <v>114</v>
      </c>
      <c r="F15" s="112" t="s">
        <v>25</v>
      </c>
      <c r="G15" s="112" t="s">
        <v>98</v>
      </c>
      <c r="H15" s="113" t="s">
        <v>115</v>
      </c>
      <c r="I15" s="114"/>
      <c r="J15" s="114"/>
      <c r="K15" s="114"/>
      <c r="L15" s="115"/>
      <c r="M15" s="116">
        <v>1</v>
      </c>
    </row>
    <row r="16" spans="2:15" ht="21" hidden="1">
      <c r="B16" s="103"/>
      <c r="C16" s="103"/>
      <c r="D16" s="111">
        <v>2018</v>
      </c>
      <c r="E16" s="112" t="s">
        <v>116</v>
      </c>
      <c r="F16" s="112" t="s">
        <v>25</v>
      </c>
      <c r="G16" s="112" t="s">
        <v>98</v>
      </c>
      <c r="H16" s="113" t="s">
        <v>117</v>
      </c>
      <c r="I16" s="114"/>
      <c r="J16" s="114"/>
      <c r="K16" s="114"/>
      <c r="L16" s="115"/>
      <c r="M16" s="116">
        <v>1</v>
      </c>
    </row>
    <row r="17" spans="2:14" ht="21" hidden="1">
      <c r="B17" s="103"/>
      <c r="C17" s="103"/>
      <c r="D17" s="111">
        <v>2018</v>
      </c>
      <c r="E17" s="112" t="s">
        <v>118</v>
      </c>
      <c r="F17" s="112" t="s">
        <v>25</v>
      </c>
      <c r="G17" s="112" t="s">
        <v>98</v>
      </c>
      <c r="H17" s="113" t="s">
        <v>119</v>
      </c>
      <c r="I17" s="114"/>
      <c r="J17" s="114"/>
      <c r="K17" s="114"/>
      <c r="L17" s="115"/>
      <c r="M17" s="116">
        <v>1</v>
      </c>
    </row>
    <row r="18" spans="2:14" ht="21" hidden="1">
      <c r="B18" s="103"/>
      <c r="C18" s="103"/>
      <c r="D18" s="111">
        <v>2018</v>
      </c>
      <c r="E18" s="112" t="s">
        <v>120</v>
      </c>
      <c r="F18" s="112" t="s">
        <v>25</v>
      </c>
      <c r="G18" s="112" t="s">
        <v>98</v>
      </c>
      <c r="H18" s="113" t="s">
        <v>121</v>
      </c>
      <c r="I18" s="114"/>
      <c r="J18" s="114"/>
      <c r="K18" s="114"/>
      <c r="L18" s="115"/>
      <c r="M18" s="116">
        <v>1</v>
      </c>
    </row>
    <row r="19" spans="2:14" ht="21">
      <c r="B19" s="103" t="s">
        <v>100</v>
      </c>
      <c r="C19" s="103"/>
      <c r="D19" s="104">
        <v>2018</v>
      </c>
      <c r="E19" s="105" t="s">
        <v>33</v>
      </c>
      <c r="F19" s="105" t="s">
        <v>25</v>
      </c>
      <c r="G19" s="105" t="s">
        <v>98</v>
      </c>
      <c r="H19" s="106" t="s">
        <v>34</v>
      </c>
      <c r="I19" s="107"/>
      <c r="J19" s="107"/>
      <c r="K19" s="107"/>
      <c r="L19" s="108"/>
      <c r="M19" s="109">
        <v>1</v>
      </c>
    </row>
    <row r="20" spans="2:14" ht="21" hidden="1">
      <c r="B20" s="103"/>
      <c r="C20" s="103"/>
      <c r="D20" s="104">
        <v>2018</v>
      </c>
      <c r="E20" s="105" t="s">
        <v>35</v>
      </c>
      <c r="F20" s="105" t="s">
        <v>25</v>
      </c>
      <c r="G20" s="105" t="s">
        <v>98</v>
      </c>
      <c r="H20" s="106" t="s">
        <v>122</v>
      </c>
      <c r="I20" s="107"/>
      <c r="J20" s="107"/>
      <c r="K20" s="107"/>
      <c r="L20" s="108"/>
      <c r="M20" s="109">
        <v>1</v>
      </c>
    </row>
    <row r="21" spans="2:14" ht="21" hidden="1">
      <c r="B21" s="103"/>
      <c r="C21" s="103"/>
      <c r="D21" s="104">
        <v>2018</v>
      </c>
      <c r="E21" s="105" t="s">
        <v>123</v>
      </c>
      <c r="F21" s="105" t="s">
        <v>25</v>
      </c>
      <c r="G21" s="105" t="s">
        <v>98</v>
      </c>
      <c r="H21" s="106" t="s">
        <v>124</v>
      </c>
      <c r="I21" s="107"/>
      <c r="J21" s="107"/>
      <c r="K21" s="107"/>
      <c r="L21" s="108"/>
      <c r="M21" s="109">
        <v>1</v>
      </c>
    </row>
    <row r="22" spans="2:14" ht="21">
      <c r="B22" s="103" t="s">
        <v>100</v>
      </c>
      <c r="C22" s="103"/>
      <c r="D22" s="111">
        <v>2018</v>
      </c>
      <c r="E22" s="112" t="s">
        <v>125</v>
      </c>
      <c r="F22" s="112" t="s">
        <v>25</v>
      </c>
      <c r="G22" s="112" t="s">
        <v>98</v>
      </c>
      <c r="H22" s="113" t="s">
        <v>126</v>
      </c>
      <c r="I22" s="114"/>
      <c r="J22" s="114"/>
      <c r="K22" s="114"/>
      <c r="L22" s="115"/>
      <c r="M22" s="117">
        <v>0</v>
      </c>
    </row>
    <row r="23" spans="2:14" ht="21">
      <c r="B23" s="103" t="s">
        <v>100</v>
      </c>
      <c r="C23" s="103"/>
      <c r="D23" s="104">
        <v>2018</v>
      </c>
      <c r="E23" s="105" t="s">
        <v>127</v>
      </c>
      <c r="F23" s="105" t="s">
        <v>25</v>
      </c>
      <c r="G23" s="105" t="s">
        <v>98</v>
      </c>
      <c r="H23" s="106" t="s">
        <v>37</v>
      </c>
      <c r="I23" s="107"/>
      <c r="J23" s="107"/>
      <c r="K23" s="107"/>
      <c r="L23" s="108"/>
      <c r="M23" s="109">
        <v>0</v>
      </c>
    </row>
    <row r="24" spans="2:14" ht="21">
      <c r="B24" s="103" t="s">
        <v>100</v>
      </c>
      <c r="C24" s="103"/>
      <c r="D24" s="104">
        <v>2018</v>
      </c>
      <c r="E24" s="105" t="s">
        <v>38</v>
      </c>
      <c r="F24" s="105" t="s">
        <v>25</v>
      </c>
      <c r="G24" s="105" t="s">
        <v>98</v>
      </c>
      <c r="H24" s="106" t="s">
        <v>39</v>
      </c>
      <c r="I24" s="107"/>
      <c r="J24" s="107"/>
      <c r="K24" s="107"/>
      <c r="L24" s="108"/>
      <c r="M24" s="109">
        <v>0</v>
      </c>
      <c r="N24" s="118"/>
    </row>
    <row r="25" spans="2:14" ht="21.75" thickBot="1">
      <c r="B25" s="103"/>
      <c r="C25" s="119"/>
      <c r="D25" s="120">
        <v>2018</v>
      </c>
      <c r="E25" s="121" t="s">
        <v>128</v>
      </c>
      <c r="F25" s="121" t="s">
        <v>25</v>
      </c>
      <c r="G25" s="121" t="s">
        <v>98</v>
      </c>
      <c r="H25" s="122" t="s">
        <v>129</v>
      </c>
      <c r="I25" s="123"/>
      <c r="J25" s="123"/>
      <c r="K25" s="123"/>
      <c r="L25" s="124"/>
      <c r="M25" s="125">
        <v>0</v>
      </c>
      <c r="N25" s="118"/>
    </row>
    <row r="26" spans="2:14" ht="21">
      <c r="B26" s="103"/>
      <c r="C26" s="103" t="s">
        <v>130</v>
      </c>
      <c r="D26" s="126">
        <v>2018</v>
      </c>
      <c r="E26" s="127" t="s">
        <v>4</v>
      </c>
      <c r="F26" s="127">
        <v>2</v>
      </c>
      <c r="G26" s="127" t="s">
        <v>99</v>
      </c>
      <c r="H26" s="128" t="s">
        <v>15</v>
      </c>
      <c r="I26" s="129"/>
      <c r="J26" s="129"/>
      <c r="K26" s="129"/>
      <c r="L26" s="130"/>
      <c r="M26" s="131">
        <v>0</v>
      </c>
      <c r="N26" s="118"/>
    </row>
    <row r="27" spans="2:14" ht="21.75" thickBot="1">
      <c r="B27" s="103"/>
      <c r="C27" s="103" t="s">
        <v>130</v>
      </c>
      <c r="D27" s="132">
        <v>2018</v>
      </c>
      <c r="E27" s="133" t="s">
        <v>5</v>
      </c>
      <c r="F27" s="133">
        <v>2</v>
      </c>
      <c r="G27" s="133" t="s">
        <v>99</v>
      </c>
      <c r="H27" s="134" t="s">
        <v>17</v>
      </c>
      <c r="I27" s="135"/>
      <c r="J27" s="135"/>
      <c r="K27" s="135"/>
      <c r="L27" s="136"/>
      <c r="M27" s="137">
        <v>0</v>
      </c>
    </row>
    <row r="28" spans="2:14" ht="21">
      <c r="B28" s="103"/>
      <c r="C28" s="96"/>
      <c r="D28" s="138">
        <v>2018</v>
      </c>
      <c r="E28" s="139" t="s">
        <v>40</v>
      </c>
      <c r="F28" s="139" t="s">
        <v>131</v>
      </c>
      <c r="G28" s="139" t="s">
        <v>132</v>
      </c>
      <c r="H28" s="140" t="s">
        <v>41</v>
      </c>
      <c r="I28" s="141"/>
      <c r="J28" s="141"/>
      <c r="K28" s="141"/>
      <c r="L28" s="142"/>
      <c r="M28" s="143">
        <v>0</v>
      </c>
    </row>
    <row r="29" spans="2:14" ht="21">
      <c r="B29" s="103"/>
      <c r="C29" s="103"/>
      <c r="D29" s="144">
        <v>2018</v>
      </c>
      <c r="E29" s="145" t="s">
        <v>133</v>
      </c>
      <c r="F29" s="145" t="s">
        <v>131</v>
      </c>
      <c r="G29" s="145" t="s">
        <v>101</v>
      </c>
      <c r="H29" s="146" t="s">
        <v>134</v>
      </c>
      <c r="I29" s="147"/>
      <c r="J29" s="147"/>
      <c r="K29" s="147"/>
      <c r="L29" s="148"/>
      <c r="M29" s="116">
        <v>0</v>
      </c>
    </row>
    <row r="30" spans="2:14" ht="21">
      <c r="B30" s="103"/>
      <c r="C30" s="103"/>
      <c r="D30" s="149">
        <v>2018</v>
      </c>
      <c r="E30" s="150" t="s">
        <v>135</v>
      </c>
      <c r="F30" s="150" t="s">
        <v>131</v>
      </c>
      <c r="G30" s="150" t="s">
        <v>101</v>
      </c>
      <c r="H30" s="151" t="s">
        <v>136</v>
      </c>
      <c r="I30" s="152"/>
      <c r="J30" s="152"/>
      <c r="K30" s="152"/>
      <c r="L30" s="153"/>
      <c r="M30" s="154">
        <v>0</v>
      </c>
    </row>
    <row r="31" spans="2:14" ht="21">
      <c r="B31" s="103"/>
      <c r="C31" s="103"/>
      <c r="D31" s="144">
        <v>2018</v>
      </c>
      <c r="E31" s="145" t="s">
        <v>137</v>
      </c>
      <c r="F31" s="145" t="s">
        <v>131</v>
      </c>
      <c r="G31" s="145" t="s">
        <v>101</v>
      </c>
      <c r="H31" s="146" t="s">
        <v>138</v>
      </c>
      <c r="I31" s="147"/>
      <c r="J31" s="147"/>
      <c r="K31" s="147"/>
      <c r="L31" s="148"/>
      <c r="M31" s="116">
        <v>0</v>
      </c>
    </row>
    <row r="32" spans="2:14" ht="21">
      <c r="B32" s="103"/>
      <c r="C32" s="103" t="s">
        <v>130</v>
      </c>
      <c r="D32" s="144">
        <v>2018</v>
      </c>
      <c r="E32" s="145" t="s">
        <v>139</v>
      </c>
      <c r="F32" s="145" t="s">
        <v>131</v>
      </c>
      <c r="G32" s="145" t="s">
        <v>140</v>
      </c>
      <c r="H32" s="146" t="s">
        <v>141</v>
      </c>
      <c r="I32" s="147"/>
      <c r="J32" s="147"/>
      <c r="K32" s="147"/>
      <c r="L32" s="148"/>
      <c r="M32" s="116">
        <v>0</v>
      </c>
    </row>
    <row r="33" spans="2:14" ht="21">
      <c r="B33" s="103"/>
      <c r="C33" s="103"/>
      <c r="D33" s="144">
        <v>2018</v>
      </c>
      <c r="E33" s="145" t="s">
        <v>28</v>
      </c>
      <c r="F33" s="145" t="s">
        <v>131</v>
      </c>
      <c r="G33" s="145" t="s">
        <v>132</v>
      </c>
      <c r="H33" s="146" t="s">
        <v>29</v>
      </c>
      <c r="I33" s="147"/>
      <c r="J33" s="147"/>
      <c r="K33" s="147"/>
      <c r="L33" s="148"/>
      <c r="M33" s="116">
        <v>0</v>
      </c>
    </row>
    <row r="34" spans="2:14" ht="21">
      <c r="B34" s="103"/>
      <c r="C34" s="103"/>
      <c r="D34" s="144">
        <v>2018</v>
      </c>
      <c r="E34" s="145" t="s">
        <v>42</v>
      </c>
      <c r="F34" s="145" t="s">
        <v>131</v>
      </c>
      <c r="G34" s="145" t="s">
        <v>132</v>
      </c>
      <c r="H34" s="146" t="s">
        <v>43</v>
      </c>
      <c r="I34" s="147"/>
      <c r="J34" s="147"/>
      <c r="K34" s="147"/>
      <c r="L34" s="148"/>
      <c r="M34" s="116">
        <v>0</v>
      </c>
    </row>
    <row r="35" spans="2:14" ht="21">
      <c r="B35" s="103"/>
      <c r="C35" s="103"/>
      <c r="D35" s="144">
        <v>2018</v>
      </c>
      <c r="E35" s="145" t="s">
        <v>27</v>
      </c>
      <c r="F35" s="145" t="s">
        <v>131</v>
      </c>
      <c r="G35" s="145" t="s">
        <v>132</v>
      </c>
      <c r="H35" s="146" t="s">
        <v>44</v>
      </c>
      <c r="I35" s="147"/>
      <c r="J35" s="147"/>
      <c r="K35" s="147"/>
      <c r="L35" s="148"/>
      <c r="M35" s="116">
        <v>0</v>
      </c>
    </row>
    <row r="36" spans="2:14" ht="21">
      <c r="B36" s="103"/>
      <c r="C36" s="103" t="s">
        <v>130</v>
      </c>
      <c r="D36" s="144">
        <v>2018</v>
      </c>
      <c r="E36" s="145" t="s">
        <v>142</v>
      </c>
      <c r="F36" s="145" t="s">
        <v>131</v>
      </c>
      <c r="G36" s="145" t="s">
        <v>143</v>
      </c>
      <c r="H36" s="146" t="s">
        <v>144</v>
      </c>
      <c r="I36" s="147"/>
      <c r="J36" s="147"/>
      <c r="K36" s="147"/>
      <c r="L36" s="148"/>
      <c r="M36" s="116">
        <v>0</v>
      </c>
      <c r="N36" s="118"/>
    </row>
    <row r="37" spans="2:14" ht="18.75">
      <c r="B37" s="155"/>
      <c r="C37" s="155"/>
      <c r="D37" s="144">
        <v>2018</v>
      </c>
      <c r="E37" s="145" t="s">
        <v>145</v>
      </c>
      <c r="F37" s="145" t="s">
        <v>131</v>
      </c>
      <c r="G37" s="145" t="s">
        <v>140</v>
      </c>
      <c r="H37" s="146" t="s">
        <v>146</v>
      </c>
      <c r="I37" s="147"/>
      <c r="J37" s="147"/>
      <c r="K37" s="147"/>
      <c r="L37" s="148"/>
      <c r="M37" s="116">
        <v>0</v>
      </c>
      <c r="N37" s="118"/>
    </row>
    <row r="38" spans="2:14" ht="18.75">
      <c r="B38" s="155"/>
      <c r="C38" s="155"/>
      <c r="D38" s="144">
        <v>2018</v>
      </c>
      <c r="E38" s="145" t="s">
        <v>147</v>
      </c>
      <c r="F38" s="145" t="s">
        <v>131</v>
      </c>
      <c r="G38" s="145" t="s">
        <v>140</v>
      </c>
      <c r="H38" s="146" t="s">
        <v>148</v>
      </c>
      <c r="I38" s="147"/>
      <c r="J38" s="147"/>
      <c r="K38" s="147"/>
      <c r="L38" s="148"/>
      <c r="M38" s="116">
        <v>0</v>
      </c>
      <c r="N38" s="118"/>
    </row>
    <row r="39" spans="2:14" ht="18.75">
      <c r="B39" s="155"/>
      <c r="C39" s="155"/>
      <c r="D39" s="144">
        <v>2018</v>
      </c>
      <c r="E39" s="145" t="s">
        <v>149</v>
      </c>
      <c r="F39" s="145" t="s">
        <v>131</v>
      </c>
      <c r="G39" s="145" t="s">
        <v>140</v>
      </c>
      <c r="H39" s="146" t="s">
        <v>150</v>
      </c>
      <c r="I39" s="147"/>
      <c r="J39" s="147"/>
      <c r="K39" s="147"/>
      <c r="L39" s="148"/>
      <c r="M39" s="116">
        <v>0</v>
      </c>
      <c r="N39" s="118"/>
    </row>
    <row r="40" spans="2:14" ht="21.75" thickBot="1">
      <c r="B40" s="156"/>
      <c r="C40" s="156" t="s">
        <v>151</v>
      </c>
      <c r="D40" s="157">
        <v>2018</v>
      </c>
      <c r="E40" s="158" t="s">
        <v>152</v>
      </c>
      <c r="F40" s="158" t="s">
        <v>131</v>
      </c>
      <c r="G40" s="158" t="s">
        <v>132</v>
      </c>
      <c r="H40" s="159" t="s">
        <v>153</v>
      </c>
      <c r="I40" s="160"/>
      <c r="J40" s="160"/>
      <c r="K40" s="160"/>
      <c r="L40" s="161"/>
      <c r="M40" s="137">
        <v>0</v>
      </c>
      <c r="N40" s="118"/>
    </row>
  </sheetData>
  <phoneticPr fontId="9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12"/>
  <sheetViews>
    <sheetView showGridLines="0" workbookViewId="0">
      <selection activeCell="D20" sqref="D20"/>
    </sheetView>
  </sheetViews>
  <sheetFormatPr defaultRowHeight="13.5"/>
  <cols>
    <col min="1" max="1" width="5" customWidth="1"/>
    <col min="2" max="2" width="4.25" customWidth="1"/>
    <col min="9" max="9" width="7" customWidth="1"/>
  </cols>
  <sheetData>
    <row r="2" spans="2:3">
      <c r="B2" s="163" t="s">
        <v>217</v>
      </c>
    </row>
    <row r="3" spans="2:3">
      <c r="B3" s="163"/>
    </row>
    <row r="4" spans="2:3">
      <c r="C4" s="163" t="s">
        <v>218</v>
      </c>
    </row>
    <row r="5" spans="2:3">
      <c r="C5" s="163" t="s">
        <v>219</v>
      </c>
    </row>
    <row r="6" spans="2:3">
      <c r="C6" s="163" t="s">
        <v>220</v>
      </c>
    </row>
    <row r="7" spans="2:3">
      <c r="C7" s="163" t="s">
        <v>82</v>
      </c>
    </row>
    <row r="8" spans="2:3">
      <c r="C8" s="163" t="s">
        <v>81</v>
      </c>
    </row>
    <row r="9" spans="2:3">
      <c r="C9" s="163"/>
    </row>
    <row r="10" spans="2:3">
      <c r="C10" s="163"/>
    </row>
    <row r="11" spans="2:3">
      <c r="C11" s="163" t="s">
        <v>51</v>
      </c>
    </row>
    <row r="12" spans="2:3">
      <c r="C12" s="163" t="s">
        <v>52</v>
      </c>
    </row>
  </sheetData>
  <phoneticPr fontId="9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計画作成（原紙） (2)</vt:lpstr>
      <vt:lpstr>計画作成（原紙）</vt:lpstr>
      <vt:lpstr>計画と集計差異確認</vt:lpstr>
      <vt:lpstr>商品別_集計</vt:lpstr>
      <vt:lpstr>重点先別_調査集計</vt:lpstr>
      <vt:lpstr>都道府県別_集計</vt:lpstr>
      <vt:lpstr>2018年度の計画商品</vt:lpstr>
      <vt:lpstr>変更点につきまして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dcterms:created xsi:type="dcterms:W3CDTF">2015-04-01T04:49:07Z</dcterms:created>
  <dcterms:modified xsi:type="dcterms:W3CDTF">2018-01-17T08:57:15Z</dcterms:modified>
</cp:coreProperties>
</file>